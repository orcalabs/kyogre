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V1PEPF0000047C\EXCELCNV\1ed5e5bf-4e21-4b44-b56b-4d3433533df7\"/>
    </mc:Choice>
  </mc:AlternateContent>
  <xr:revisionPtr revIDLastSave="0" documentId="8_{B9923800-279C-4FD3-8AE7-B9CA0E36D08B}" xr6:coauthVersionLast="47" xr6:coauthVersionMax="47" xr10:uidLastSave="{00000000-0000-0000-0000-000000000000}"/>
  <bookViews>
    <workbookView xWindow="-60" yWindow="-60" windowWidth="15480" windowHeight="11640" xr2:uid="{53FB182D-FBF8-49A4-A678-473E259B84F0}"/>
  </bookViews>
  <sheets>
    <sheet name="Ark1" sheetId="1" r:id="rId1"/>
    <sheet name="Ark2" sheetId="2" r:id="rId2"/>
    <sheet name="Ark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1" l="1"/>
  <c r="H116" i="1"/>
  <c r="H115" i="1"/>
  <c r="H114" i="1"/>
  <c r="H113" i="1"/>
  <c r="H112" i="1"/>
  <c r="H111" i="1"/>
  <c r="G117" i="1"/>
  <c r="G116" i="1"/>
  <c r="G115" i="1"/>
  <c r="G114" i="1"/>
  <c r="G113" i="1"/>
  <c r="G112" i="1"/>
  <c r="G111" i="1"/>
  <c r="F117" i="1"/>
  <c r="F116" i="1"/>
  <c r="F115" i="1"/>
  <c r="F114" i="1"/>
  <c r="F113" i="1"/>
  <c r="F112" i="1"/>
  <c r="F111" i="1"/>
  <c r="E115" i="1"/>
  <c r="E116" i="1"/>
  <c r="D116" i="1"/>
  <c r="E114" i="1"/>
  <c r="E117" i="1"/>
  <c r="E113" i="1"/>
  <c r="E112" i="1"/>
  <c r="E111" i="1"/>
  <c r="D115" i="1"/>
  <c r="D117" i="1"/>
  <c r="D114" i="1"/>
  <c r="D113" i="1"/>
  <c r="D112" i="1"/>
  <c r="D111" i="1"/>
  <c r="D109" i="1"/>
  <c r="F109" i="1"/>
  <c r="E109" i="1"/>
  <c r="H105" i="1"/>
  <c r="H93" i="1"/>
  <c r="H107" i="1"/>
  <c r="G107" i="1"/>
  <c r="G105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G66" i="1"/>
  <c r="H66" i="1"/>
  <c r="F73" i="1"/>
  <c r="F72" i="1"/>
  <c r="F71" i="1"/>
  <c r="F70" i="1"/>
  <c r="F69" i="1"/>
  <c r="F68" i="1"/>
  <c r="F67" i="1"/>
  <c r="F66" i="1"/>
  <c r="E66" i="1"/>
  <c r="D66" i="1"/>
  <c r="D73" i="1"/>
  <c r="D72" i="1"/>
  <c r="D71" i="1"/>
  <c r="D70" i="1"/>
  <c r="D69" i="1"/>
  <c r="D68" i="1"/>
  <c r="D67" i="1"/>
  <c r="H64" i="1"/>
  <c r="G64" i="1"/>
  <c r="F64" i="1"/>
  <c r="D64" i="1"/>
  <c r="H55" i="1"/>
  <c r="H61" i="1"/>
  <c r="G61" i="1"/>
  <c r="H60" i="1"/>
  <c r="G60" i="1"/>
  <c r="H59" i="1"/>
  <c r="G59" i="1"/>
  <c r="H58" i="1"/>
  <c r="G58" i="1"/>
  <c r="H57" i="1"/>
  <c r="G57" i="1"/>
  <c r="G55" i="1"/>
  <c r="H54" i="1"/>
  <c r="G54" i="1"/>
  <c r="H53" i="1"/>
  <c r="G53" i="1"/>
  <c r="G52" i="1"/>
  <c r="H51" i="1"/>
  <c r="G51" i="1"/>
  <c r="H50" i="1"/>
  <c r="G50" i="1"/>
  <c r="H49" i="1"/>
  <c r="G49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3" i="1"/>
  <c r="H32" i="1"/>
  <c r="H31" i="1"/>
  <c r="H30" i="1"/>
  <c r="H29" i="1"/>
  <c r="H28" i="1"/>
  <c r="H27" i="1"/>
  <c r="G33" i="1"/>
  <c r="G32" i="1"/>
  <c r="G31" i="1"/>
  <c r="F33" i="1"/>
  <c r="F32" i="1"/>
  <c r="F31" i="1"/>
  <c r="F30" i="1"/>
  <c r="G30" i="1"/>
  <c r="F29" i="1"/>
  <c r="G29" i="1"/>
  <c r="F28" i="1"/>
  <c r="E33" i="1"/>
  <c r="E32" i="1"/>
  <c r="E31" i="1"/>
  <c r="E30" i="1"/>
  <c r="E29" i="1"/>
  <c r="E28" i="1"/>
  <c r="D30" i="1"/>
  <c r="D31" i="1"/>
  <c r="D32" i="1"/>
  <c r="D33" i="1"/>
  <c r="D29" i="1"/>
  <c r="D28" i="1"/>
  <c r="D27" i="1"/>
  <c r="H22" i="1"/>
  <c r="G25" i="1"/>
  <c r="H24" i="1"/>
  <c r="G24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F27" i="1"/>
  <c r="E27" i="1"/>
  <c r="G27" i="1"/>
  <c r="D20" i="1"/>
  <c r="D11" i="1"/>
  <c r="G28" i="1"/>
  <c r="E64" i="1"/>
  <c r="E73" i="1"/>
  <c r="E72" i="1"/>
  <c r="E71" i="1"/>
  <c r="F49" i="1"/>
  <c r="E70" i="1"/>
  <c r="E69" i="1"/>
  <c r="E68" i="1"/>
  <c r="E67" i="1"/>
  <c r="H109" i="1"/>
  <c r="G109" i="1"/>
</calcChain>
</file>

<file path=xl/sharedStrings.xml><?xml version="1.0" encoding="utf-8"?>
<sst xmlns="http://schemas.openxmlformats.org/spreadsheetml/2006/main" count="259" uniqueCount="131">
  <si>
    <t>HERØYFJORD 2024</t>
  </si>
  <si>
    <t>Dato</t>
  </si>
  <si>
    <t>Fiskeri</t>
  </si>
  <si>
    <t>Losset</t>
  </si>
  <si>
    <t>Kvantum</t>
  </si>
  <si>
    <t>Dager</t>
  </si>
  <si>
    <t>Oljeforbruk</t>
  </si>
  <si>
    <t>Forbruk/dg</t>
  </si>
  <si>
    <t>Forbruk/mt</t>
  </si>
  <si>
    <t>26.01 - 09.02</t>
  </si>
  <si>
    <t>NVG Sild</t>
  </si>
  <si>
    <t>Grøntvedt</t>
  </si>
  <si>
    <t>10.02 - 28.02</t>
  </si>
  <si>
    <t>29.02 - 09.03</t>
  </si>
  <si>
    <t>Lodde</t>
  </si>
  <si>
    <t>Sildavinsland, Island</t>
  </si>
  <si>
    <t>10.03 - 17.03</t>
  </si>
  <si>
    <t>Global Florø</t>
  </si>
  <si>
    <t>18.03 - 30.03</t>
  </si>
  <si>
    <t>Kolmule</t>
  </si>
  <si>
    <t>Karms. Protein</t>
  </si>
  <si>
    <t>15.04 - 22.04</t>
  </si>
  <si>
    <t>23.04 - 29.04</t>
  </si>
  <si>
    <t>Vedde</t>
  </si>
  <si>
    <t>2.06 - 09.06</t>
  </si>
  <si>
    <t>Tobis/Nordsjøsild</t>
  </si>
  <si>
    <t xml:space="preserve"> Global Florø/Pel.M</t>
  </si>
  <si>
    <t>01.08 - 7.08</t>
  </si>
  <si>
    <t>Nordsjøsild</t>
  </si>
  <si>
    <t xml:space="preserve">Pelagia Egersund </t>
  </si>
  <si>
    <t>8.08 -12.08</t>
  </si>
  <si>
    <t>Bomtur</t>
  </si>
  <si>
    <t>13.08 -19.08</t>
  </si>
  <si>
    <t>Makrell</t>
  </si>
  <si>
    <t>Olav E</t>
  </si>
  <si>
    <t>20.08 - 22.08</t>
  </si>
  <si>
    <t>23.08 - 25.08</t>
  </si>
  <si>
    <t>Pelagia</t>
  </si>
  <si>
    <t>26.08 - 28.08</t>
  </si>
  <si>
    <t>Fosnavåg</t>
  </si>
  <si>
    <t>29.08 - 31.08</t>
  </si>
  <si>
    <t>Pelagia Selje</t>
  </si>
  <si>
    <t>1.09 - 3.09</t>
  </si>
  <si>
    <t>12.09 - 24.09</t>
  </si>
  <si>
    <t>Pel. Kalvåg</t>
  </si>
  <si>
    <t>15.10 - 19.10</t>
  </si>
  <si>
    <t>Prima, Egersund</t>
  </si>
  <si>
    <t>20.10 - 26.10</t>
  </si>
  <si>
    <t>7.11 - 26.11</t>
  </si>
  <si>
    <t>Føring</t>
  </si>
  <si>
    <t>27.11 - 2.12</t>
  </si>
  <si>
    <t>Totalt</t>
  </si>
  <si>
    <t>NVG</t>
  </si>
  <si>
    <t>HERØYFJORD 2023</t>
  </si>
  <si>
    <t>01.01 - 14.01</t>
  </si>
  <si>
    <t>Føring NVG Sild</t>
  </si>
  <si>
    <t>Grønntvedt</t>
  </si>
  <si>
    <t>Opplag Eggesbønes</t>
  </si>
  <si>
    <t>25.01 - 04.02</t>
  </si>
  <si>
    <t>NVG-sild</t>
  </si>
  <si>
    <t>08.02 - 17.02</t>
  </si>
  <si>
    <t>Vikomar</t>
  </si>
  <si>
    <t>18.02 - 24.02</t>
  </si>
  <si>
    <t>Pelagia Måløy</t>
  </si>
  <si>
    <t>01.03 - 12.03</t>
  </si>
  <si>
    <t>13.03 - 22.03</t>
  </si>
  <si>
    <t>23.03 - 05.04</t>
  </si>
  <si>
    <t>14.04 - 22.04</t>
  </si>
  <si>
    <t>Tobis</t>
  </si>
  <si>
    <t>Pelagia Egersund</t>
  </si>
  <si>
    <t>23.04 - 27.04</t>
  </si>
  <si>
    <t>06.05  -15.05</t>
  </si>
  <si>
    <t>Prima Protein</t>
  </si>
  <si>
    <t>16.05 - 23.05</t>
  </si>
  <si>
    <t>28.05 - 4.06</t>
  </si>
  <si>
    <t>5.06 - 7.06</t>
  </si>
  <si>
    <t>Retur Eggesbønes</t>
  </si>
  <si>
    <t>31.07 - 6.08</t>
  </si>
  <si>
    <t xml:space="preserve">Vikomar </t>
  </si>
  <si>
    <t>27.08 - 06.09</t>
  </si>
  <si>
    <t>Brisling</t>
  </si>
  <si>
    <t>7.10 - 11.10</t>
  </si>
  <si>
    <t>Pel. Selje</t>
  </si>
  <si>
    <t>Pel. Måløy</t>
  </si>
  <si>
    <t>15.10 - 22.10</t>
  </si>
  <si>
    <t>Olav. E</t>
  </si>
  <si>
    <t>25.10 -28.10</t>
  </si>
  <si>
    <t>28.10 -29.10</t>
  </si>
  <si>
    <t>Karsten Flem</t>
  </si>
  <si>
    <t>2.11 - 4.11</t>
  </si>
  <si>
    <t>12.11 - 28.11</t>
  </si>
  <si>
    <t>Sildeføring</t>
  </si>
  <si>
    <t>Scandic Pelagic</t>
  </si>
  <si>
    <t>NVG sild</t>
  </si>
  <si>
    <t>Opplag</t>
  </si>
  <si>
    <t>HERØYFJORD 2022</t>
  </si>
  <si>
    <t>24.01 - 01.02</t>
  </si>
  <si>
    <t>2.02 - 12.02</t>
  </si>
  <si>
    <t>13.02 -17.02</t>
  </si>
  <si>
    <t>25.02 - 04.03</t>
  </si>
  <si>
    <t>11.03 - 19.03</t>
  </si>
  <si>
    <t>Pelagia Træna</t>
  </si>
  <si>
    <t>20.03 - 28.03</t>
  </si>
  <si>
    <t>29.03 - 11.04</t>
  </si>
  <si>
    <t>Pel. Karmsund</t>
  </si>
  <si>
    <t>2.05 - 10.05</t>
  </si>
  <si>
    <t>11.05 - 22.05</t>
  </si>
  <si>
    <t>Pelgaia Egersund</t>
  </si>
  <si>
    <t>23.05 -27.05</t>
  </si>
  <si>
    <t>28.05 - 8.06</t>
  </si>
  <si>
    <t>09.06 - 25.06</t>
  </si>
  <si>
    <t>08.08-11.08</t>
  </si>
  <si>
    <t>Nordskøsild</t>
  </si>
  <si>
    <t>12.08-17.08</t>
  </si>
  <si>
    <t>18.08-22.08</t>
  </si>
  <si>
    <t>23.08-26.08</t>
  </si>
  <si>
    <t>Brødrene Sperre</t>
  </si>
  <si>
    <t>27.08-30.08</t>
  </si>
  <si>
    <t>31.8 - 02.09</t>
  </si>
  <si>
    <t>3.09 - 5.09</t>
  </si>
  <si>
    <t>6.09-8.09</t>
  </si>
  <si>
    <t>Nordsjøs/makr.</t>
  </si>
  <si>
    <t>09.09 - 12.09</t>
  </si>
  <si>
    <t>14.09 - 15.09</t>
  </si>
  <si>
    <t>Larsnes Mek</t>
  </si>
  <si>
    <t>6.11 - 14.11</t>
  </si>
  <si>
    <t>Pelagia Kalvåg</t>
  </si>
  <si>
    <t>15.11 - 25.11</t>
  </si>
  <si>
    <t>Sildefrakting</t>
  </si>
  <si>
    <t xml:space="preserve">Nordsjøsild </t>
  </si>
  <si>
    <t>Verksted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</si>
</sst>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0"/>
      <name val="Arial"/>
    </font>
    <font>
      <sz val="10"/>
      <name val="Arial"/>
    </font>
    <font>
      <u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2" fontId="0" fillId="0" borderId="0" xfId="0" applyNumberFormat="1"/>
    <xf numFmtId="16" fontId="0" fillId="0" borderId="0" xfId="0" applyNumberFormat="1"/>
    <xf numFmtId="0" fontId="6" fillId="0" borderId="0" xfId="0" applyFont="1"/>
    <xf numFmtId="164" fontId="0" fillId="0" borderId="0" xfId="2" applyNumberFormat="1" applyFont="1"/>
    <xf numFmtId="10" fontId="0" fillId="0" borderId="0" xfId="0" applyNumberFormat="1"/>
    <xf numFmtId="164" fontId="0" fillId="0" borderId="0" xfId="0" applyNumberFormat="1"/>
    <xf numFmtId="164" fontId="4" fillId="0" borderId="0" xfId="2" applyNumberFormat="1" applyFont="1"/>
    <xf numFmtId="14" fontId="0" fillId="0" borderId="0" xfId="0" applyNumberFormat="1"/>
    <xf numFmtId="0" fontId="5" fillId="0" borderId="0" xfId="1" applyAlignment="1" applyProtection="1"/>
    <xf numFmtId="1" fontId="0" fillId="0" borderId="0" xfId="0" applyNumberFormat="1"/>
    <xf numFmtId="0" fontId="0" fillId="0" borderId="0" xfId="0" quotePrefix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7C31-EF6D-43AA-92FA-8B95B97FFBF8}">
  <dimension ref="A1:M619"/>
  <sheetViews>
    <sheetView tabSelected="1" workbookViewId="0">
      <selection activeCell="A2" sqref="A2"/>
    </sheetView>
  </sheetViews>
  <sheetFormatPr defaultRowHeight="12.75"/>
  <cols>
    <col min="1" max="1" width="11.42578125" customWidth="1"/>
    <col min="2" max="2" width="14.85546875" bestFit="1" customWidth="1"/>
    <col min="3" max="3" width="17.42578125" bestFit="1" customWidth="1"/>
    <col min="4" max="4" width="11.42578125" customWidth="1"/>
    <col min="5" max="5" width="7.7109375" customWidth="1"/>
    <col min="6" max="6" width="10.7109375" customWidth="1"/>
    <col min="7" max="7" width="9.85546875" bestFit="1" customWidth="1"/>
    <col min="8" max="8" width="9.7109375" customWidth="1"/>
    <col min="9" max="9" width="14.5703125" bestFit="1" customWidth="1"/>
    <col min="10" max="11" width="11.42578125" customWidth="1"/>
    <col min="12" max="13" width="6.7109375" customWidth="1"/>
    <col min="14" max="256" width="11.42578125" customWidth="1"/>
  </cols>
  <sheetData>
    <row r="1" spans="1:12">
      <c r="A1" s="2" t="s">
        <v>0</v>
      </c>
      <c r="L1" s="1"/>
    </row>
    <row r="3" spans="1:12">
      <c r="A3" s="1" t="s">
        <v>1</v>
      </c>
      <c r="B3" s="1" t="s">
        <v>2</v>
      </c>
      <c r="C3" s="1" t="s">
        <v>3</v>
      </c>
      <c r="D3" s="3" t="s">
        <v>4</v>
      </c>
      <c r="E3" s="3" t="s">
        <v>5</v>
      </c>
      <c r="F3" s="3" t="s">
        <v>6</v>
      </c>
      <c r="G3" s="1" t="s">
        <v>7</v>
      </c>
      <c r="H3" s="3" t="s">
        <v>8</v>
      </c>
      <c r="K3" s="3"/>
    </row>
    <row r="4" spans="1:12">
      <c r="A4" t="s">
        <v>9</v>
      </c>
      <c r="B4" t="s">
        <v>10</v>
      </c>
      <c r="C4" t="s">
        <v>11</v>
      </c>
      <c r="D4">
        <v>915</v>
      </c>
      <c r="E4">
        <v>15</v>
      </c>
      <c r="F4">
        <v>88</v>
      </c>
      <c r="G4" s="4">
        <f>+F4/E4</f>
        <v>5.8666666666666663</v>
      </c>
      <c r="H4" s="4">
        <f>+F4/D4</f>
        <v>9.6174863387978149E-2</v>
      </c>
    </row>
    <row r="5" spans="1:12">
      <c r="A5" t="s">
        <v>12</v>
      </c>
      <c r="B5" t="s">
        <v>10</v>
      </c>
      <c r="C5" t="s">
        <v>11</v>
      </c>
      <c r="D5">
        <v>1139</v>
      </c>
      <c r="E5">
        <v>19</v>
      </c>
      <c r="F5">
        <v>82</v>
      </c>
      <c r="G5" s="4">
        <f t="shared" ref="G5:G25" si="0">+F5/E5</f>
        <v>4.3157894736842106</v>
      </c>
      <c r="H5" s="4">
        <f t="shared" ref="H5:H24" si="1">+F5/D5</f>
        <v>7.1992976294995611E-2</v>
      </c>
    </row>
    <row r="6" spans="1:12">
      <c r="A6" t="s">
        <v>13</v>
      </c>
      <c r="B6" t="s">
        <v>14</v>
      </c>
      <c r="C6" t="s">
        <v>15</v>
      </c>
      <c r="D6">
        <v>631</v>
      </c>
      <c r="E6">
        <v>10</v>
      </c>
      <c r="F6">
        <v>95</v>
      </c>
      <c r="G6" s="4">
        <f t="shared" si="0"/>
        <v>9.5</v>
      </c>
      <c r="H6" s="4">
        <f t="shared" si="1"/>
        <v>0.15055467511885895</v>
      </c>
    </row>
    <row r="7" spans="1:12">
      <c r="A7" t="s">
        <v>16</v>
      </c>
      <c r="B7" t="s">
        <v>14</v>
      </c>
      <c r="C7" t="s">
        <v>17</v>
      </c>
      <c r="D7">
        <v>728</v>
      </c>
      <c r="E7">
        <v>8</v>
      </c>
      <c r="F7">
        <v>75</v>
      </c>
      <c r="G7" s="4">
        <f t="shared" si="0"/>
        <v>9.375</v>
      </c>
      <c r="H7" s="4">
        <f t="shared" si="1"/>
        <v>0.10302197802197802</v>
      </c>
    </row>
    <row r="8" spans="1:12">
      <c r="A8" t="s">
        <v>18</v>
      </c>
      <c r="B8" t="s">
        <v>19</v>
      </c>
      <c r="C8" t="s">
        <v>20</v>
      </c>
      <c r="D8">
        <v>1910</v>
      </c>
      <c r="E8">
        <v>13</v>
      </c>
      <c r="F8">
        <v>136</v>
      </c>
      <c r="G8" s="4">
        <f t="shared" si="0"/>
        <v>10.461538461538462</v>
      </c>
      <c r="H8" s="4">
        <f t="shared" si="1"/>
        <v>7.1204188481675396E-2</v>
      </c>
    </row>
    <row r="9" spans="1:12">
      <c r="A9" t="s">
        <v>21</v>
      </c>
      <c r="B9" t="s">
        <v>19</v>
      </c>
      <c r="C9" t="s">
        <v>20</v>
      </c>
      <c r="D9">
        <v>1937</v>
      </c>
      <c r="E9">
        <v>8</v>
      </c>
      <c r="F9">
        <v>98</v>
      </c>
      <c r="G9" s="4">
        <f t="shared" si="0"/>
        <v>12.25</v>
      </c>
      <c r="H9" s="4">
        <f t="shared" si="1"/>
        <v>5.0593701600413009E-2</v>
      </c>
    </row>
    <row r="10" spans="1:12">
      <c r="A10" t="s">
        <v>22</v>
      </c>
      <c r="B10" t="s">
        <v>19</v>
      </c>
      <c r="C10" t="s">
        <v>23</v>
      </c>
      <c r="D10">
        <v>954</v>
      </c>
      <c r="E10">
        <v>7</v>
      </c>
      <c r="F10">
        <v>73</v>
      </c>
      <c r="G10" s="4">
        <f t="shared" si="0"/>
        <v>10.428571428571429</v>
      </c>
      <c r="H10" s="4">
        <f t="shared" si="1"/>
        <v>7.6519916142557654E-2</v>
      </c>
    </row>
    <row r="11" spans="1:12">
      <c r="A11" t="s">
        <v>24</v>
      </c>
      <c r="B11" t="s">
        <v>25</v>
      </c>
      <c r="C11" t="s">
        <v>26</v>
      </c>
      <c r="D11">
        <f>86.6+39</f>
        <v>125.6</v>
      </c>
      <c r="E11">
        <v>8</v>
      </c>
      <c r="F11">
        <v>63</v>
      </c>
      <c r="G11" s="4">
        <f t="shared" si="0"/>
        <v>7.875</v>
      </c>
      <c r="H11" s="4">
        <f t="shared" si="1"/>
        <v>0.50159235668789814</v>
      </c>
    </row>
    <row r="12" spans="1:12">
      <c r="A12" t="s">
        <v>27</v>
      </c>
      <c r="B12" t="s">
        <v>28</v>
      </c>
      <c r="C12" t="s">
        <v>29</v>
      </c>
      <c r="D12">
        <v>131</v>
      </c>
      <c r="E12">
        <v>7</v>
      </c>
      <c r="F12">
        <v>50</v>
      </c>
      <c r="G12" s="4">
        <f t="shared" si="0"/>
        <v>7.1428571428571432</v>
      </c>
      <c r="H12" s="4">
        <f t="shared" si="1"/>
        <v>0.38167938931297712</v>
      </c>
    </row>
    <row r="13" spans="1:12">
      <c r="A13" t="s">
        <v>30</v>
      </c>
      <c r="B13" t="s">
        <v>28</v>
      </c>
      <c r="C13" t="s">
        <v>31</v>
      </c>
      <c r="D13">
        <v>18</v>
      </c>
      <c r="E13">
        <v>5</v>
      </c>
      <c r="F13">
        <v>50</v>
      </c>
      <c r="G13" s="4">
        <f t="shared" si="0"/>
        <v>10</v>
      </c>
      <c r="H13" s="4">
        <f t="shared" si="1"/>
        <v>2.7777777777777777</v>
      </c>
    </row>
    <row r="14" spans="1:12">
      <c r="A14" t="s">
        <v>32</v>
      </c>
      <c r="B14" t="s">
        <v>33</v>
      </c>
      <c r="C14" t="s">
        <v>34</v>
      </c>
      <c r="D14">
        <v>69</v>
      </c>
      <c r="E14">
        <v>7</v>
      </c>
      <c r="F14">
        <v>60</v>
      </c>
      <c r="G14" s="4">
        <f t="shared" si="0"/>
        <v>8.5714285714285712</v>
      </c>
      <c r="H14" s="4">
        <f t="shared" si="1"/>
        <v>0.86956521739130432</v>
      </c>
    </row>
    <row r="15" spans="1:12">
      <c r="A15" t="s">
        <v>35</v>
      </c>
      <c r="B15" t="s">
        <v>33</v>
      </c>
      <c r="C15" t="s">
        <v>34</v>
      </c>
      <c r="D15">
        <v>36</v>
      </c>
      <c r="E15">
        <v>3</v>
      </c>
      <c r="F15">
        <v>30</v>
      </c>
      <c r="G15" s="4">
        <f t="shared" si="0"/>
        <v>10</v>
      </c>
      <c r="H15" s="4">
        <f t="shared" si="1"/>
        <v>0.83333333333333337</v>
      </c>
    </row>
    <row r="16" spans="1:12">
      <c r="A16" t="s">
        <v>36</v>
      </c>
      <c r="B16" t="s">
        <v>33</v>
      </c>
      <c r="C16" t="s">
        <v>37</v>
      </c>
      <c r="D16">
        <v>101</v>
      </c>
      <c r="E16">
        <v>3</v>
      </c>
      <c r="F16">
        <v>30</v>
      </c>
      <c r="G16" s="4">
        <f t="shared" si="0"/>
        <v>10</v>
      </c>
      <c r="H16" s="4">
        <f t="shared" si="1"/>
        <v>0.29702970297029702</v>
      </c>
    </row>
    <row r="17" spans="1:8">
      <c r="A17" t="s">
        <v>38</v>
      </c>
      <c r="B17" t="s">
        <v>33</v>
      </c>
      <c r="C17" t="s">
        <v>39</v>
      </c>
      <c r="D17">
        <v>22</v>
      </c>
      <c r="E17">
        <v>3</v>
      </c>
      <c r="F17">
        <v>30</v>
      </c>
      <c r="G17" s="4">
        <f t="shared" si="0"/>
        <v>10</v>
      </c>
      <c r="H17" s="4">
        <f t="shared" si="1"/>
        <v>1.3636363636363635</v>
      </c>
    </row>
    <row r="18" spans="1:8">
      <c r="A18" t="s">
        <v>40</v>
      </c>
      <c r="B18" t="s">
        <v>33</v>
      </c>
      <c r="C18" t="s">
        <v>41</v>
      </c>
      <c r="D18">
        <v>104.5</v>
      </c>
      <c r="E18">
        <v>3</v>
      </c>
      <c r="F18">
        <v>25</v>
      </c>
      <c r="G18" s="4">
        <f t="shared" si="0"/>
        <v>8.3333333333333339</v>
      </c>
      <c r="H18" s="4">
        <f t="shared" si="1"/>
        <v>0.23923444976076555</v>
      </c>
    </row>
    <row r="19" spans="1:8">
      <c r="A19" t="s">
        <v>42</v>
      </c>
      <c r="B19" t="s">
        <v>33</v>
      </c>
      <c r="C19" t="s">
        <v>34</v>
      </c>
      <c r="D19">
        <v>222.2</v>
      </c>
      <c r="E19">
        <v>3</v>
      </c>
      <c r="F19">
        <v>25</v>
      </c>
      <c r="G19" s="4">
        <f t="shared" si="0"/>
        <v>8.3333333333333339</v>
      </c>
      <c r="H19" s="4">
        <f t="shared" si="1"/>
        <v>0.11251125112511251</v>
      </c>
    </row>
    <row r="20" spans="1:8">
      <c r="A20" t="s">
        <v>43</v>
      </c>
      <c r="B20" t="s">
        <v>28</v>
      </c>
      <c r="C20" t="s">
        <v>44</v>
      </c>
      <c r="D20">
        <f>170+14</f>
        <v>184</v>
      </c>
      <c r="E20">
        <v>13</v>
      </c>
      <c r="F20">
        <v>76</v>
      </c>
      <c r="G20" s="4">
        <f t="shared" si="0"/>
        <v>5.8461538461538458</v>
      </c>
      <c r="H20" s="4">
        <f t="shared" si="1"/>
        <v>0.41304347826086957</v>
      </c>
    </row>
    <row r="21" spans="1:8">
      <c r="A21" t="s">
        <v>45</v>
      </c>
      <c r="B21" t="s">
        <v>33</v>
      </c>
      <c r="C21" t="s">
        <v>46</v>
      </c>
      <c r="D21">
        <v>276.2</v>
      </c>
      <c r="E21">
        <v>5</v>
      </c>
      <c r="F21">
        <v>40</v>
      </c>
      <c r="G21" s="4">
        <f t="shared" si="0"/>
        <v>8</v>
      </c>
      <c r="H21" s="4">
        <f t="shared" si="1"/>
        <v>0.14482259232440262</v>
      </c>
    </row>
    <row r="22" spans="1:8">
      <c r="A22" t="s">
        <v>47</v>
      </c>
      <c r="B22" t="s">
        <v>28</v>
      </c>
      <c r="C22" t="s">
        <v>20</v>
      </c>
      <c r="D22">
        <v>92.6</v>
      </c>
      <c r="E22">
        <v>6</v>
      </c>
      <c r="F22">
        <v>40</v>
      </c>
      <c r="G22" s="4">
        <f t="shared" si="0"/>
        <v>6.666666666666667</v>
      </c>
      <c r="H22" s="4">
        <f>+F22/(D22+D23)</f>
        <v>0.38647342995169082</v>
      </c>
    </row>
    <row r="23" spans="1:8">
      <c r="B23" t="s">
        <v>33</v>
      </c>
      <c r="C23" t="s">
        <v>20</v>
      </c>
      <c r="D23">
        <v>10.9</v>
      </c>
      <c r="G23" s="4"/>
      <c r="H23" s="4"/>
    </row>
    <row r="24" spans="1:8">
      <c r="A24" t="s">
        <v>48</v>
      </c>
      <c r="B24" t="s">
        <v>49</v>
      </c>
      <c r="C24" t="s">
        <v>11</v>
      </c>
      <c r="D24">
        <v>1770</v>
      </c>
      <c r="E24">
        <v>19</v>
      </c>
      <c r="F24">
        <v>90</v>
      </c>
      <c r="G24" s="4">
        <f t="shared" si="0"/>
        <v>4.7368421052631575</v>
      </c>
      <c r="H24" s="4">
        <f t="shared" si="1"/>
        <v>5.0847457627118647E-2</v>
      </c>
    </row>
    <row r="25" spans="1:8">
      <c r="A25" t="s">
        <v>50</v>
      </c>
      <c r="B25" t="s">
        <v>28</v>
      </c>
      <c r="C25" t="s">
        <v>31</v>
      </c>
      <c r="E25">
        <v>6</v>
      </c>
      <c r="F25">
        <v>60</v>
      </c>
      <c r="G25" s="4">
        <f t="shared" si="0"/>
        <v>10</v>
      </c>
      <c r="H25" s="4"/>
    </row>
    <row r="27" spans="1:8">
      <c r="C27" t="s">
        <v>51</v>
      </c>
      <c r="D27">
        <f>SUM(D4:D25)</f>
        <v>11377.000000000002</v>
      </c>
      <c r="E27">
        <f>SUM(E4:E25)</f>
        <v>171</v>
      </c>
      <c r="F27">
        <f>SUM(F4:F25)</f>
        <v>1316</v>
      </c>
      <c r="G27" s="4">
        <f t="shared" ref="G27:G33" si="2">+F27/E27</f>
        <v>7.6959064327485383</v>
      </c>
      <c r="H27" s="4">
        <f>+F27/D27</f>
        <v>0.11567196976355804</v>
      </c>
    </row>
    <row r="28" spans="1:8">
      <c r="C28" t="s">
        <v>19</v>
      </c>
      <c r="D28">
        <f>+D10+D9+D8</f>
        <v>4801</v>
      </c>
      <c r="E28">
        <f>+E10+E9+E8</f>
        <v>28</v>
      </c>
      <c r="F28">
        <f>+F10+F9+F8</f>
        <v>307</v>
      </c>
      <c r="G28" s="4">
        <f t="shared" si="2"/>
        <v>10.964285714285714</v>
      </c>
      <c r="H28" s="4">
        <f t="shared" ref="H28:H33" si="3">+F28/D28</f>
        <v>6.3945011455946679E-2</v>
      </c>
    </row>
    <row r="29" spans="1:8">
      <c r="C29" t="s">
        <v>52</v>
      </c>
      <c r="D29">
        <f>+D4+D5</f>
        <v>2054</v>
      </c>
      <c r="E29">
        <f>+E4+E5</f>
        <v>34</v>
      </c>
      <c r="F29">
        <f>+F4+F5</f>
        <v>170</v>
      </c>
      <c r="G29" s="4">
        <f t="shared" si="2"/>
        <v>5</v>
      </c>
      <c r="H29" s="4">
        <f t="shared" si="3"/>
        <v>8.2765335929892894E-2</v>
      </c>
    </row>
    <row r="30" spans="1:8">
      <c r="C30" t="s">
        <v>33</v>
      </c>
      <c r="D30" s="13">
        <f>+D19+D18+D17+D16+D15+D14+D21+D23</f>
        <v>841.80000000000007</v>
      </c>
      <c r="E30" s="13">
        <f>+E19+E18+E17+E16+E15+E14+E21+E23</f>
        <v>27</v>
      </c>
      <c r="F30" s="13">
        <f>+F19+F18+F17+F16+F15+F14+F21+F23</f>
        <v>240</v>
      </c>
      <c r="G30" s="4">
        <f t="shared" si="2"/>
        <v>8.8888888888888893</v>
      </c>
      <c r="H30" s="4">
        <f t="shared" si="3"/>
        <v>0.28510334996436204</v>
      </c>
    </row>
    <row r="31" spans="1:8">
      <c r="C31" t="s">
        <v>28</v>
      </c>
      <c r="D31">
        <f>+D25+D22+D20+D13+D12+D11</f>
        <v>551.20000000000005</v>
      </c>
      <c r="E31">
        <f>+E25+E22+E20+E13+E12+E11</f>
        <v>45</v>
      </c>
      <c r="F31">
        <f>+F25+F22+F20+F13+F12+F11</f>
        <v>339</v>
      </c>
      <c r="G31" s="4">
        <f t="shared" si="2"/>
        <v>7.5333333333333332</v>
      </c>
      <c r="H31" s="4">
        <f t="shared" si="3"/>
        <v>0.61502177068214803</v>
      </c>
    </row>
    <row r="32" spans="1:8">
      <c r="C32" t="s">
        <v>14</v>
      </c>
      <c r="D32">
        <f>+D6+D7</f>
        <v>1359</v>
      </c>
      <c r="E32">
        <f>+E6+E7</f>
        <v>18</v>
      </c>
      <c r="F32">
        <f>+F6+F7</f>
        <v>170</v>
      </c>
      <c r="G32" s="4">
        <f t="shared" si="2"/>
        <v>9.4444444444444446</v>
      </c>
      <c r="H32" s="4">
        <f t="shared" si="3"/>
        <v>0.12509197939661515</v>
      </c>
    </row>
    <row r="33" spans="1:12">
      <c r="C33" t="s">
        <v>49</v>
      </c>
      <c r="D33">
        <f>+D24</f>
        <v>1770</v>
      </c>
      <c r="E33">
        <f>+E24</f>
        <v>19</v>
      </c>
      <c r="F33">
        <f>+F24</f>
        <v>90</v>
      </c>
      <c r="G33" s="4">
        <f t="shared" si="2"/>
        <v>4.7368421052631575</v>
      </c>
      <c r="H33" s="4">
        <f t="shared" si="3"/>
        <v>5.0847457627118647E-2</v>
      </c>
    </row>
    <row r="34" spans="1:12">
      <c r="G34" s="4"/>
    </row>
    <row r="35" spans="1:12">
      <c r="G35" s="4"/>
    </row>
    <row r="36" spans="1:12">
      <c r="A36" s="2" t="s">
        <v>53</v>
      </c>
      <c r="L36" s="1"/>
    </row>
    <row r="38" spans="1:12">
      <c r="A38" s="1" t="s">
        <v>1</v>
      </c>
      <c r="B38" s="1" t="s">
        <v>2</v>
      </c>
      <c r="C38" s="1" t="s">
        <v>3</v>
      </c>
      <c r="D38" s="3" t="s">
        <v>4</v>
      </c>
      <c r="E38" s="3" t="s">
        <v>5</v>
      </c>
      <c r="F38" s="3" t="s">
        <v>6</v>
      </c>
      <c r="G38" s="3" t="s">
        <v>7</v>
      </c>
      <c r="H38" s="3" t="s">
        <v>8</v>
      </c>
      <c r="I38" s="1"/>
      <c r="K38" s="3"/>
    </row>
    <row r="39" spans="1:12">
      <c r="A39" t="s">
        <v>54</v>
      </c>
      <c r="B39" t="s">
        <v>55</v>
      </c>
      <c r="C39" t="s">
        <v>56</v>
      </c>
      <c r="D39">
        <v>1797</v>
      </c>
      <c r="E39">
        <v>14</v>
      </c>
      <c r="F39">
        <v>86</v>
      </c>
      <c r="G39" s="4">
        <f>+F39/E39</f>
        <v>6.1428571428571432</v>
      </c>
      <c r="H39" s="4">
        <f>+F39/D39</f>
        <v>4.7857540345019475E-2</v>
      </c>
    </row>
    <row r="40" spans="1:12">
      <c r="B40" t="s">
        <v>57</v>
      </c>
      <c r="F40">
        <v>16</v>
      </c>
      <c r="G40" s="4"/>
      <c r="H40" s="4"/>
    </row>
    <row r="41" spans="1:12">
      <c r="A41" t="s">
        <v>58</v>
      </c>
      <c r="B41" t="s">
        <v>59</v>
      </c>
      <c r="C41" t="s">
        <v>39</v>
      </c>
      <c r="D41">
        <v>1328</v>
      </c>
      <c r="E41">
        <v>11</v>
      </c>
      <c r="F41">
        <v>80</v>
      </c>
      <c r="G41" s="4">
        <f t="shared" ref="G41:G61" si="4">+F41/E41</f>
        <v>7.2727272727272725</v>
      </c>
      <c r="H41" s="4">
        <f t="shared" ref="H41:H61" si="5">+F41/D41</f>
        <v>6.0240963855421686E-2</v>
      </c>
    </row>
    <row r="42" spans="1:12">
      <c r="A42" t="s">
        <v>60</v>
      </c>
      <c r="B42" t="s">
        <v>59</v>
      </c>
      <c r="C42" t="s">
        <v>61</v>
      </c>
      <c r="D42">
        <v>759</v>
      </c>
      <c r="E42">
        <v>10</v>
      </c>
      <c r="F42">
        <v>55</v>
      </c>
      <c r="G42" s="4">
        <f t="shared" si="4"/>
        <v>5.5</v>
      </c>
      <c r="H42" s="4">
        <f t="shared" si="5"/>
        <v>7.2463768115942032E-2</v>
      </c>
    </row>
    <row r="43" spans="1:12">
      <c r="A43" s="5" t="s">
        <v>62</v>
      </c>
      <c r="B43" t="s">
        <v>59</v>
      </c>
      <c r="C43" t="s">
        <v>63</v>
      </c>
      <c r="D43">
        <v>1012</v>
      </c>
      <c r="E43">
        <v>7</v>
      </c>
      <c r="F43">
        <v>64</v>
      </c>
      <c r="G43" s="4">
        <f t="shared" si="4"/>
        <v>9.1428571428571423</v>
      </c>
      <c r="H43" s="4">
        <f t="shared" si="5"/>
        <v>6.3241106719367585E-2</v>
      </c>
    </row>
    <row r="44" spans="1:12">
      <c r="A44" t="s">
        <v>64</v>
      </c>
      <c r="B44" t="s">
        <v>19</v>
      </c>
      <c r="C44" t="s">
        <v>23</v>
      </c>
      <c r="D44">
        <v>1967</v>
      </c>
      <c r="E44">
        <v>12</v>
      </c>
      <c r="F44">
        <v>120</v>
      </c>
      <c r="G44" s="4">
        <f t="shared" si="4"/>
        <v>10</v>
      </c>
      <c r="H44" s="4">
        <f t="shared" si="5"/>
        <v>6.1006609049313675E-2</v>
      </c>
    </row>
    <row r="45" spans="1:12">
      <c r="A45" t="s">
        <v>65</v>
      </c>
      <c r="B45" t="s">
        <v>14</v>
      </c>
      <c r="C45" t="s">
        <v>17</v>
      </c>
      <c r="D45">
        <v>1051</v>
      </c>
      <c r="E45">
        <v>10</v>
      </c>
      <c r="F45">
        <v>97</v>
      </c>
      <c r="G45" s="4">
        <f t="shared" si="4"/>
        <v>9.6999999999999993</v>
      </c>
      <c r="H45" s="4">
        <f t="shared" si="5"/>
        <v>9.2293054234062796E-2</v>
      </c>
    </row>
    <row r="46" spans="1:12">
      <c r="A46" t="s">
        <v>66</v>
      </c>
      <c r="B46" t="s">
        <v>19</v>
      </c>
      <c r="C46" t="s">
        <v>63</v>
      </c>
      <c r="D46">
        <v>1590</v>
      </c>
      <c r="E46">
        <v>14</v>
      </c>
      <c r="F46">
        <v>142</v>
      </c>
      <c r="G46" s="4">
        <f t="shared" si="4"/>
        <v>10.142857142857142</v>
      </c>
      <c r="H46" s="4">
        <f t="shared" si="5"/>
        <v>8.9308176100628925E-2</v>
      </c>
    </row>
    <row r="47" spans="1:12">
      <c r="A47" t="s">
        <v>67</v>
      </c>
      <c r="B47" t="s">
        <v>68</v>
      </c>
      <c r="C47" t="s">
        <v>69</v>
      </c>
      <c r="D47">
        <v>338</v>
      </c>
      <c r="E47">
        <v>9</v>
      </c>
      <c r="F47">
        <v>70</v>
      </c>
      <c r="G47" s="4">
        <f t="shared" si="4"/>
        <v>7.7777777777777777</v>
      </c>
      <c r="H47" s="4">
        <f t="shared" si="5"/>
        <v>0.20710059171597633</v>
      </c>
    </row>
    <row r="48" spans="1:12">
      <c r="A48" t="s">
        <v>70</v>
      </c>
      <c r="B48" t="s">
        <v>68</v>
      </c>
      <c r="C48" t="s">
        <v>31</v>
      </c>
      <c r="D48">
        <v>0</v>
      </c>
      <c r="E48">
        <v>5</v>
      </c>
      <c r="F48">
        <v>17</v>
      </c>
      <c r="G48" s="4">
        <f t="shared" si="4"/>
        <v>3.4</v>
      </c>
      <c r="H48" s="4"/>
    </row>
    <row r="49" spans="1:8">
      <c r="A49" t="s">
        <v>71</v>
      </c>
      <c r="B49" t="s">
        <v>68</v>
      </c>
      <c r="C49" t="s">
        <v>72</v>
      </c>
      <c r="D49">
        <v>294</v>
      </c>
      <c r="E49">
        <v>10</v>
      </c>
      <c r="F49">
        <f>85-17</f>
        <v>68</v>
      </c>
      <c r="G49" s="4">
        <f t="shared" si="4"/>
        <v>6.8</v>
      </c>
      <c r="H49" s="4">
        <f t="shared" si="5"/>
        <v>0.23129251700680273</v>
      </c>
    </row>
    <row r="50" spans="1:8">
      <c r="A50" t="s">
        <v>73</v>
      </c>
      <c r="B50" t="s">
        <v>68</v>
      </c>
      <c r="C50" t="s">
        <v>69</v>
      </c>
      <c r="D50">
        <v>155</v>
      </c>
      <c r="E50">
        <v>8</v>
      </c>
      <c r="F50">
        <v>42</v>
      </c>
      <c r="G50" s="4">
        <f t="shared" si="4"/>
        <v>5.25</v>
      </c>
      <c r="H50" s="4">
        <f t="shared" si="5"/>
        <v>0.2709677419354839</v>
      </c>
    </row>
    <row r="51" spans="1:8">
      <c r="A51" t="s">
        <v>74</v>
      </c>
      <c r="B51" t="s">
        <v>68</v>
      </c>
      <c r="C51" t="s">
        <v>72</v>
      </c>
      <c r="D51">
        <v>107</v>
      </c>
      <c r="E51">
        <v>8</v>
      </c>
      <c r="F51">
        <v>52</v>
      </c>
      <c r="G51" s="4">
        <f t="shared" si="4"/>
        <v>6.5</v>
      </c>
      <c r="H51" s="4">
        <f t="shared" si="5"/>
        <v>0.48598130841121495</v>
      </c>
    </row>
    <row r="52" spans="1:8">
      <c r="A52" t="s">
        <v>75</v>
      </c>
      <c r="B52" t="s">
        <v>76</v>
      </c>
      <c r="E52">
        <v>3</v>
      </c>
      <c r="F52">
        <v>6</v>
      </c>
      <c r="G52" s="4">
        <f t="shared" si="4"/>
        <v>2</v>
      </c>
      <c r="H52" s="4"/>
    </row>
    <row r="53" spans="1:8">
      <c r="A53" t="s">
        <v>77</v>
      </c>
      <c r="B53" t="s">
        <v>28</v>
      </c>
      <c r="C53" t="s">
        <v>78</v>
      </c>
      <c r="D53">
        <v>501</v>
      </c>
      <c r="E53">
        <v>7</v>
      </c>
      <c r="F53">
        <v>50</v>
      </c>
      <c r="G53" s="4">
        <f t="shared" si="4"/>
        <v>7.1428571428571432</v>
      </c>
      <c r="H53" s="4">
        <f t="shared" si="5"/>
        <v>9.9800399201596807E-2</v>
      </c>
    </row>
    <row r="54" spans="1:8">
      <c r="A54" t="s">
        <v>79</v>
      </c>
      <c r="B54" t="s">
        <v>80</v>
      </c>
      <c r="C54" t="s">
        <v>72</v>
      </c>
      <c r="D54">
        <v>500</v>
      </c>
      <c r="E54">
        <v>11</v>
      </c>
      <c r="F54">
        <v>80</v>
      </c>
      <c r="G54" s="4">
        <f t="shared" si="4"/>
        <v>7.2727272727272725</v>
      </c>
      <c r="H54" s="4">
        <f t="shared" si="5"/>
        <v>0.16</v>
      </c>
    </row>
    <row r="55" spans="1:8">
      <c r="A55" t="s">
        <v>81</v>
      </c>
      <c r="B55" t="s">
        <v>33</v>
      </c>
      <c r="C55" t="s">
        <v>82</v>
      </c>
      <c r="D55">
        <v>449</v>
      </c>
      <c r="E55">
        <v>5</v>
      </c>
      <c r="F55">
        <v>38</v>
      </c>
      <c r="G55" s="4">
        <f t="shared" si="4"/>
        <v>7.6</v>
      </c>
      <c r="H55" s="4">
        <f>+F55/(D55+D56)</f>
        <v>7.6458752515090544E-2</v>
      </c>
    </row>
    <row r="56" spans="1:8">
      <c r="C56" t="s">
        <v>83</v>
      </c>
      <c r="D56">
        <v>48</v>
      </c>
      <c r="G56" s="4"/>
      <c r="H56" s="4"/>
    </row>
    <row r="57" spans="1:8">
      <c r="A57" t="s">
        <v>84</v>
      </c>
      <c r="B57" t="s">
        <v>33</v>
      </c>
      <c r="C57" t="s">
        <v>85</v>
      </c>
      <c r="D57">
        <v>45</v>
      </c>
      <c r="E57">
        <v>8</v>
      </c>
      <c r="F57">
        <v>38</v>
      </c>
      <c r="G57" s="4">
        <f t="shared" si="4"/>
        <v>4.75</v>
      </c>
      <c r="H57" s="4">
        <f t="shared" si="5"/>
        <v>0.84444444444444444</v>
      </c>
    </row>
    <row r="58" spans="1:8">
      <c r="A58" t="s">
        <v>86</v>
      </c>
      <c r="B58" t="s">
        <v>33</v>
      </c>
      <c r="C58" t="s">
        <v>34</v>
      </c>
      <c r="D58">
        <v>58</v>
      </c>
      <c r="E58">
        <v>3</v>
      </c>
      <c r="F58">
        <v>31</v>
      </c>
      <c r="G58" s="4">
        <f t="shared" si="4"/>
        <v>10.333333333333334</v>
      </c>
      <c r="H58" s="4">
        <f t="shared" si="5"/>
        <v>0.53448275862068961</v>
      </c>
    </row>
    <row r="59" spans="1:8">
      <c r="A59" t="s">
        <v>87</v>
      </c>
      <c r="B59" t="s">
        <v>33</v>
      </c>
      <c r="C59" t="s">
        <v>88</v>
      </c>
      <c r="D59">
        <v>10</v>
      </c>
      <c r="E59">
        <v>2</v>
      </c>
      <c r="F59">
        <v>30</v>
      </c>
      <c r="G59" s="4">
        <f t="shared" si="4"/>
        <v>15</v>
      </c>
      <c r="H59" s="4">
        <f t="shared" si="5"/>
        <v>3</v>
      </c>
    </row>
    <row r="60" spans="1:8">
      <c r="A60" t="s">
        <v>89</v>
      </c>
      <c r="B60" t="s">
        <v>33</v>
      </c>
      <c r="C60" t="s">
        <v>34</v>
      </c>
      <c r="D60">
        <v>23</v>
      </c>
      <c r="E60">
        <v>3</v>
      </c>
      <c r="F60">
        <v>30</v>
      </c>
      <c r="G60" s="4">
        <f t="shared" si="4"/>
        <v>10</v>
      </c>
      <c r="H60" s="4">
        <f t="shared" si="5"/>
        <v>1.3043478260869565</v>
      </c>
    </row>
    <row r="61" spans="1:8">
      <c r="A61" t="s">
        <v>90</v>
      </c>
      <c r="B61" t="s">
        <v>91</v>
      </c>
      <c r="C61" t="s">
        <v>92</v>
      </c>
      <c r="D61">
        <v>1415</v>
      </c>
      <c r="E61">
        <v>17</v>
      </c>
      <c r="F61">
        <v>124</v>
      </c>
      <c r="G61" s="4">
        <f t="shared" si="4"/>
        <v>7.2941176470588234</v>
      </c>
      <c r="H61" s="4">
        <f t="shared" si="5"/>
        <v>8.7632508833922262E-2</v>
      </c>
    </row>
    <row r="64" spans="1:8">
      <c r="C64" s="6" t="s">
        <v>51</v>
      </c>
      <c r="D64">
        <f>SUM(D39:D61)</f>
        <v>13447</v>
      </c>
      <c r="E64">
        <f>SUM(E39:E61)</f>
        <v>177</v>
      </c>
      <c r="F64">
        <f>SUM(F39:F61)</f>
        <v>1336</v>
      </c>
      <c r="G64" s="4">
        <f>+F64/E64</f>
        <v>7.5480225988700562</v>
      </c>
      <c r="H64" s="4">
        <f>+F64/D64</f>
        <v>9.9353015542500187E-2</v>
      </c>
    </row>
    <row r="66" spans="1:12">
      <c r="C66" t="s">
        <v>49</v>
      </c>
      <c r="D66">
        <f>+D39+D61</f>
        <v>3212</v>
      </c>
      <c r="E66">
        <f>+E39+E61</f>
        <v>31</v>
      </c>
      <c r="F66">
        <f>+F39+F61</f>
        <v>210</v>
      </c>
      <c r="G66" s="4">
        <f>+F66/E66</f>
        <v>6.774193548387097</v>
      </c>
      <c r="H66" s="4">
        <f>+F66/D66</f>
        <v>6.5379825653798254E-2</v>
      </c>
    </row>
    <row r="67" spans="1:12">
      <c r="C67" t="s">
        <v>93</v>
      </c>
      <c r="D67">
        <f>+D41+D42+D43</f>
        <v>3099</v>
      </c>
      <c r="E67">
        <f>+E41+E42+E43</f>
        <v>28</v>
      </c>
      <c r="F67">
        <f>+F41+F42+F43</f>
        <v>199</v>
      </c>
      <c r="G67" s="4">
        <f t="shared" ref="G67:G73" si="6">+F67/E67</f>
        <v>7.1071428571428568</v>
      </c>
      <c r="H67" s="4">
        <f t="shared" ref="H67:H73" si="7">+F67/D67</f>
        <v>6.4214262665375929E-2</v>
      </c>
    </row>
    <row r="68" spans="1:12">
      <c r="C68" t="s">
        <v>19</v>
      </c>
      <c r="D68">
        <f>+D44+D46</f>
        <v>3557</v>
      </c>
      <c r="E68">
        <f>+E44+E46</f>
        <v>26</v>
      </c>
      <c r="F68">
        <f>+F44+F46</f>
        <v>262</v>
      </c>
      <c r="G68" s="4">
        <f t="shared" si="6"/>
        <v>10.076923076923077</v>
      </c>
      <c r="H68" s="4">
        <f t="shared" si="7"/>
        <v>7.3657576609502395E-2</v>
      </c>
    </row>
    <row r="69" spans="1:12">
      <c r="C69" t="s">
        <v>14</v>
      </c>
      <c r="D69">
        <f>+D45</f>
        <v>1051</v>
      </c>
      <c r="E69">
        <f>+E45</f>
        <v>10</v>
      </c>
      <c r="F69">
        <f>+F45</f>
        <v>97</v>
      </c>
      <c r="G69" s="4">
        <f t="shared" si="6"/>
        <v>9.6999999999999993</v>
      </c>
      <c r="H69" s="4">
        <f t="shared" si="7"/>
        <v>9.2293054234062796E-2</v>
      </c>
    </row>
    <row r="70" spans="1:12">
      <c r="C70" t="s">
        <v>68</v>
      </c>
      <c r="D70">
        <f>+D47+D48+D49+D50+D51+D52</f>
        <v>894</v>
      </c>
      <c r="E70">
        <f>+E47+E48+E49+E50+E51+E52</f>
        <v>43</v>
      </c>
      <c r="F70">
        <f>+F47+F48+F49+F50+F51+F52</f>
        <v>255</v>
      </c>
      <c r="G70" s="4">
        <f t="shared" si="6"/>
        <v>5.9302325581395348</v>
      </c>
      <c r="H70" s="4">
        <f t="shared" si="7"/>
        <v>0.28523489932885904</v>
      </c>
    </row>
    <row r="71" spans="1:12">
      <c r="C71" t="s">
        <v>33</v>
      </c>
      <c r="D71">
        <f>SUM(D55:D60)</f>
        <v>633</v>
      </c>
      <c r="E71">
        <f>SUM(E55:E60)</f>
        <v>21</v>
      </c>
      <c r="F71">
        <f>SUM(F55:F60)</f>
        <v>167</v>
      </c>
      <c r="G71" s="4">
        <f t="shared" si="6"/>
        <v>7.9523809523809526</v>
      </c>
      <c r="H71" s="4">
        <f t="shared" si="7"/>
        <v>0.26382306477093209</v>
      </c>
    </row>
    <row r="72" spans="1:12">
      <c r="C72" t="s">
        <v>28</v>
      </c>
      <c r="D72">
        <f t="shared" ref="D72:F73" si="8">+D53</f>
        <v>501</v>
      </c>
      <c r="E72">
        <f t="shared" si="8"/>
        <v>7</v>
      </c>
      <c r="F72">
        <f t="shared" si="8"/>
        <v>50</v>
      </c>
      <c r="G72" s="4">
        <f t="shared" si="6"/>
        <v>7.1428571428571432</v>
      </c>
      <c r="H72" s="4">
        <f t="shared" si="7"/>
        <v>9.9800399201596807E-2</v>
      </c>
    </row>
    <row r="73" spans="1:12">
      <c r="C73" t="s">
        <v>80</v>
      </c>
      <c r="D73">
        <f t="shared" si="8"/>
        <v>500</v>
      </c>
      <c r="E73">
        <f t="shared" si="8"/>
        <v>11</v>
      </c>
      <c r="F73">
        <f t="shared" si="8"/>
        <v>80</v>
      </c>
      <c r="G73" s="4">
        <f t="shared" si="6"/>
        <v>7.2727272727272725</v>
      </c>
      <c r="H73" s="4">
        <f t="shared" si="7"/>
        <v>0.16</v>
      </c>
    </row>
    <row r="74" spans="1:12">
      <c r="C74" s="6" t="s">
        <v>94</v>
      </c>
      <c r="F74">
        <v>16</v>
      </c>
    </row>
    <row r="77" spans="1:12">
      <c r="A77" s="2" t="s">
        <v>95</v>
      </c>
      <c r="L77" s="1"/>
    </row>
    <row r="79" spans="1:12">
      <c r="A79" s="1" t="s">
        <v>1</v>
      </c>
      <c r="B79" s="1" t="s">
        <v>2</v>
      </c>
      <c r="C79" s="1" t="s">
        <v>3</v>
      </c>
      <c r="D79" s="3" t="s">
        <v>4</v>
      </c>
      <c r="E79" s="3" t="s">
        <v>5</v>
      </c>
      <c r="F79" s="3" t="s">
        <v>6</v>
      </c>
      <c r="G79" s="3" t="s">
        <v>7</v>
      </c>
      <c r="H79" s="3" t="s">
        <v>8</v>
      </c>
      <c r="I79" s="1"/>
      <c r="K79" s="3"/>
    </row>
    <row r="80" spans="1:12">
      <c r="A80" t="s">
        <v>96</v>
      </c>
      <c r="B80" t="s">
        <v>10</v>
      </c>
      <c r="C80" t="s">
        <v>61</v>
      </c>
      <c r="D80">
        <v>494</v>
      </c>
      <c r="E80">
        <v>9</v>
      </c>
      <c r="F80">
        <v>69</v>
      </c>
      <c r="G80" s="4">
        <f t="shared" ref="G80:G93" si="9">+F80/E80</f>
        <v>7.666666666666667</v>
      </c>
      <c r="H80" s="4">
        <f t="shared" ref="H80:H92" si="10">+F80/D80</f>
        <v>0.1396761133603239</v>
      </c>
    </row>
    <row r="81" spans="1:8">
      <c r="A81" t="s">
        <v>97</v>
      </c>
      <c r="B81" t="s">
        <v>10</v>
      </c>
      <c r="C81" t="s">
        <v>61</v>
      </c>
      <c r="D81">
        <v>591</v>
      </c>
      <c r="E81">
        <v>11</v>
      </c>
      <c r="F81">
        <v>102</v>
      </c>
      <c r="G81" s="4">
        <f t="shared" si="9"/>
        <v>9.2727272727272734</v>
      </c>
      <c r="H81" s="4">
        <f t="shared" si="10"/>
        <v>0.17258883248730963</v>
      </c>
    </row>
    <row r="82" spans="1:8">
      <c r="A82" t="s">
        <v>98</v>
      </c>
      <c r="B82" t="s">
        <v>10</v>
      </c>
      <c r="C82" t="s">
        <v>63</v>
      </c>
      <c r="D82">
        <v>1031</v>
      </c>
      <c r="E82">
        <v>5</v>
      </c>
      <c r="F82">
        <v>52</v>
      </c>
      <c r="G82" s="4">
        <f t="shared" si="9"/>
        <v>10.4</v>
      </c>
      <c r="H82" s="4">
        <f t="shared" si="10"/>
        <v>5.0436469447138699E-2</v>
      </c>
    </row>
    <row r="83" spans="1:8">
      <c r="A83" t="s">
        <v>62</v>
      </c>
      <c r="B83" t="s">
        <v>10</v>
      </c>
      <c r="C83" t="s">
        <v>69</v>
      </c>
      <c r="D83">
        <v>754</v>
      </c>
      <c r="E83">
        <v>7</v>
      </c>
      <c r="F83">
        <v>81</v>
      </c>
      <c r="G83" s="4">
        <f t="shared" si="9"/>
        <v>11.571428571428571</v>
      </c>
      <c r="H83" s="4">
        <f t="shared" si="10"/>
        <v>0.10742705570291777</v>
      </c>
    </row>
    <row r="84" spans="1:8">
      <c r="A84" t="s">
        <v>99</v>
      </c>
      <c r="B84" t="s">
        <v>10</v>
      </c>
      <c r="C84" t="s">
        <v>17</v>
      </c>
      <c r="D84">
        <v>901</v>
      </c>
      <c r="E84">
        <v>8</v>
      </c>
      <c r="F84">
        <v>58</v>
      </c>
      <c r="G84" s="4">
        <f t="shared" si="9"/>
        <v>7.25</v>
      </c>
      <c r="H84" s="4">
        <f t="shared" si="10"/>
        <v>6.4372918978912314E-2</v>
      </c>
    </row>
    <row r="85" spans="1:8">
      <c r="A85" t="s">
        <v>100</v>
      </c>
      <c r="B85" t="s">
        <v>14</v>
      </c>
      <c r="C85" t="s">
        <v>101</v>
      </c>
      <c r="D85">
        <v>281</v>
      </c>
      <c r="E85">
        <v>9</v>
      </c>
      <c r="F85">
        <v>84</v>
      </c>
      <c r="G85" s="4">
        <f t="shared" si="9"/>
        <v>9.3333333333333339</v>
      </c>
      <c r="H85" s="4">
        <f t="shared" si="10"/>
        <v>0.29893238434163699</v>
      </c>
    </row>
    <row r="86" spans="1:8">
      <c r="A86" s="14" t="s">
        <v>102</v>
      </c>
      <c r="B86" t="s">
        <v>14</v>
      </c>
      <c r="C86" t="s">
        <v>39</v>
      </c>
      <c r="D86">
        <v>585</v>
      </c>
      <c r="E86">
        <v>9</v>
      </c>
      <c r="F86">
        <v>70</v>
      </c>
      <c r="G86" s="4">
        <f t="shared" si="9"/>
        <v>7.7777777777777777</v>
      </c>
      <c r="H86" s="4">
        <f t="shared" si="10"/>
        <v>0.11965811965811966</v>
      </c>
    </row>
    <row r="87" spans="1:8">
      <c r="A87" t="s">
        <v>103</v>
      </c>
      <c r="B87" t="s">
        <v>19</v>
      </c>
      <c r="C87" t="s">
        <v>104</v>
      </c>
      <c r="D87">
        <v>2036</v>
      </c>
      <c r="E87">
        <v>14</v>
      </c>
      <c r="F87">
        <v>150</v>
      </c>
      <c r="G87" s="4">
        <f t="shared" si="9"/>
        <v>10.714285714285714</v>
      </c>
      <c r="H87" s="4">
        <f t="shared" si="10"/>
        <v>7.3673870333988214E-2</v>
      </c>
    </row>
    <row r="88" spans="1:8">
      <c r="A88" t="s">
        <v>105</v>
      </c>
      <c r="B88" t="s">
        <v>68</v>
      </c>
      <c r="C88" t="s">
        <v>23</v>
      </c>
      <c r="D88">
        <v>2075</v>
      </c>
      <c r="E88">
        <v>9</v>
      </c>
      <c r="F88">
        <v>85</v>
      </c>
      <c r="G88" s="4">
        <f t="shared" si="9"/>
        <v>9.4444444444444446</v>
      </c>
      <c r="H88" s="4">
        <f t="shared" si="10"/>
        <v>4.0963855421686748E-2</v>
      </c>
    </row>
    <row r="89" spans="1:8">
      <c r="A89" t="s">
        <v>106</v>
      </c>
      <c r="B89" t="s">
        <v>68</v>
      </c>
      <c r="C89" t="s">
        <v>107</v>
      </c>
      <c r="D89">
        <v>815</v>
      </c>
      <c r="E89">
        <v>12</v>
      </c>
      <c r="F89">
        <v>78</v>
      </c>
      <c r="G89" s="4">
        <f t="shared" si="9"/>
        <v>6.5</v>
      </c>
      <c r="H89" s="4">
        <f t="shared" si="10"/>
        <v>9.5705521472392641E-2</v>
      </c>
    </row>
    <row r="90" spans="1:8">
      <c r="A90" t="s">
        <v>108</v>
      </c>
      <c r="B90" t="s">
        <v>68</v>
      </c>
      <c r="C90" t="s">
        <v>72</v>
      </c>
      <c r="D90">
        <v>48</v>
      </c>
      <c r="E90">
        <v>5</v>
      </c>
      <c r="F90">
        <v>35</v>
      </c>
      <c r="G90" s="4">
        <f t="shared" si="9"/>
        <v>7</v>
      </c>
      <c r="H90" s="4">
        <f t="shared" si="10"/>
        <v>0.72916666666666663</v>
      </c>
    </row>
    <row r="91" spans="1:8">
      <c r="A91" t="s">
        <v>109</v>
      </c>
      <c r="B91" t="s">
        <v>68</v>
      </c>
      <c r="C91" t="s">
        <v>69</v>
      </c>
      <c r="D91">
        <v>246</v>
      </c>
      <c r="E91">
        <v>12</v>
      </c>
      <c r="F91">
        <v>62</v>
      </c>
      <c r="G91" s="4">
        <f t="shared" si="9"/>
        <v>5.166666666666667</v>
      </c>
      <c r="H91" s="4">
        <f t="shared" si="10"/>
        <v>0.25203252032520324</v>
      </c>
    </row>
    <row r="92" spans="1:8">
      <c r="A92" t="s">
        <v>110</v>
      </c>
      <c r="B92" t="s">
        <v>68</v>
      </c>
      <c r="C92" t="s">
        <v>69</v>
      </c>
      <c r="D92">
        <v>625</v>
      </c>
      <c r="E92">
        <v>17</v>
      </c>
      <c r="F92">
        <v>116</v>
      </c>
      <c r="G92" s="4">
        <f t="shared" si="9"/>
        <v>6.8235294117647056</v>
      </c>
      <c r="H92" s="4">
        <f t="shared" si="10"/>
        <v>0.18559999999999999</v>
      </c>
    </row>
    <row r="93" spans="1:8">
      <c r="A93" t="s">
        <v>111</v>
      </c>
      <c r="B93" t="s">
        <v>112</v>
      </c>
      <c r="C93" t="s">
        <v>17</v>
      </c>
      <c r="D93">
        <v>48</v>
      </c>
      <c r="E93">
        <v>4</v>
      </c>
      <c r="F93">
        <v>38</v>
      </c>
      <c r="G93" s="4">
        <f t="shared" si="9"/>
        <v>9.5</v>
      </c>
      <c r="H93" s="4">
        <f>+F93/(D93+D94)</f>
        <v>0.38</v>
      </c>
    </row>
    <row r="94" spans="1:8">
      <c r="B94" t="s">
        <v>33</v>
      </c>
      <c r="C94" t="s">
        <v>17</v>
      </c>
      <c r="D94">
        <v>52</v>
      </c>
      <c r="G94" s="4"/>
      <c r="H94" s="4"/>
    </row>
    <row r="95" spans="1:8">
      <c r="A95" t="s">
        <v>113</v>
      </c>
      <c r="B95" t="s">
        <v>28</v>
      </c>
      <c r="C95" t="s">
        <v>61</v>
      </c>
      <c r="D95">
        <v>180</v>
      </c>
      <c r="E95">
        <v>6</v>
      </c>
      <c r="F95">
        <v>48</v>
      </c>
      <c r="G95" s="4">
        <f t="shared" ref="G95:G103" si="11">+F95/E95</f>
        <v>8</v>
      </c>
      <c r="H95" s="4">
        <f t="shared" ref="H95:H103" si="12">+F95/D95</f>
        <v>0.26666666666666666</v>
      </c>
    </row>
    <row r="96" spans="1:8">
      <c r="A96" t="s">
        <v>114</v>
      </c>
      <c r="B96" t="s">
        <v>33</v>
      </c>
      <c r="C96" t="s">
        <v>61</v>
      </c>
      <c r="D96">
        <v>114</v>
      </c>
      <c r="E96">
        <v>5</v>
      </c>
      <c r="F96">
        <v>50</v>
      </c>
      <c r="G96" s="4">
        <f t="shared" si="11"/>
        <v>10</v>
      </c>
      <c r="H96" s="4">
        <f t="shared" si="12"/>
        <v>0.43859649122807015</v>
      </c>
    </row>
    <row r="97" spans="1:8">
      <c r="A97" t="s">
        <v>115</v>
      </c>
      <c r="B97" t="s">
        <v>33</v>
      </c>
      <c r="C97" t="s">
        <v>116</v>
      </c>
      <c r="D97">
        <v>101</v>
      </c>
      <c r="E97">
        <v>4</v>
      </c>
      <c r="F97">
        <v>35</v>
      </c>
      <c r="G97" s="4">
        <f t="shared" si="11"/>
        <v>8.75</v>
      </c>
      <c r="H97" s="4">
        <f t="shared" si="12"/>
        <v>0.34653465346534651</v>
      </c>
    </row>
    <row r="98" spans="1:8">
      <c r="A98" t="s">
        <v>117</v>
      </c>
      <c r="B98" t="s">
        <v>33</v>
      </c>
      <c r="C98" t="s">
        <v>56</v>
      </c>
      <c r="D98">
        <v>275</v>
      </c>
      <c r="E98">
        <v>4</v>
      </c>
      <c r="F98">
        <v>43</v>
      </c>
      <c r="G98" s="4">
        <f t="shared" si="11"/>
        <v>10.75</v>
      </c>
      <c r="H98" s="4">
        <f t="shared" si="12"/>
        <v>0.15636363636363637</v>
      </c>
    </row>
    <row r="99" spans="1:8">
      <c r="A99" t="s">
        <v>118</v>
      </c>
      <c r="B99" t="s">
        <v>33</v>
      </c>
      <c r="C99" t="s">
        <v>82</v>
      </c>
      <c r="D99">
        <v>75</v>
      </c>
      <c r="E99">
        <v>3</v>
      </c>
      <c r="F99">
        <v>30</v>
      </c>
      <c r="G99" s="4">
        <f t="shared" si="11"/>
        <v>10</v>
      </c>
      <c r="H99" s="4">
        <f t="shared" si="12"/>
        <v>0.4</v>
      </c>
    </row>
    <row r="100" spans="1:8">
      <c r="A100" t="s">
        <v>119</v>
      </c>
      <c r="B100" t="s">
        <v>33</v>
      </c>
      <c r="C100" t="s">
        <v>56</v>
      </c>
      <c r="D100">
        <v>281</v>
      </c>
      <c r="E100">
        <v>3</v>
      </c>
      <c r="F100">
        <v>31</v>
      </c>
      <c r="G100" s="4">
        <f t="shared" si="11"/>
        <v>10.333333333333334</v>
      </c>
      <c r="H100" s="4">
        <f t="shared" si="12"/>
        <v>0.1103202846975089</v>
      </c>
    </row>
    <row r="101" spans="1:8">
      <c r="A101" t="s">
        <v>120</v>
      </c>
      <c r="B101" t="s">
        <v>121</v>
      </c>
      <c r="C101" t="s">
        <v>63</v>
      </c>
      <c r="D101">
        <v>94</v>
      </c>
      <c r="E101">
        <v>3</v>
      </c>
      <c r="F101">
        <v>31</v>
      </c>
      <c r="G101" s="4">
        <f t="shared" si="11"/>
        <v>10.333333333333334</v>
      </c>
      <c r="H101" s="4">
        <f t="shared" si="12"/>
        <v>0.32978723404255317</v>
      </c>
    </row>
    <row r="102" spans="1:8">
      <c r="A102" s="5" t="s">
        <v>122</v>
      </c>
      <c r="B102" t="s">
        <v>33</v>
      </c>
      <c r="C102" t="s">
        <v>56</v>
      </c>
      <c r="D102">
        <v>220</v>
      </c>
      <c r="E102">
        <v>4</v>
      </c>
      <c r="F102">
        <v>35</v>
      </c>
      <c r="G102" s="4">
        <f t="shared" si="11"/>
        <v>8.75</v>
      </c>
      <c r="H102" s="4">
        <f t="shared" si="12"/>
        <v>0.15909090909090909</v>
      </c>
    </row>
    <row r="103" spans="1:8">
      <c r="A103" s="5">
        <v>44817</v>
      </c>
      <c r="B103" t="s">
        <v>28</v>
      </c>
      <c r="C103" t="s">
        <v>23</v>
      </c>
      <c r="D103">
        <v>95</v>
      </c>
      <c r="E103">
        <v>1</v>
      </c>
      <c r="F103">
        <v>7</v>
      </c>
      <c r="G103" s="4">
        <f t="shared" si="11"/>
        <v>7</v>
      </c>
      <c r="H103" s="4">
        <f t="shared" si="12"/>
        <v>7.3684210526315783E-2</v>
      </c>
    </row>
    <row r="104" spans="1:8">
      <c r="A104" t="s">
        <v>123</v>
      </c>
      <c r="B104" t="s">
        <v>124</v>
      </c>
      <c r="E104">
        <v>2</v>
      </c>
      <c r="G104" s="4"/>
      <c r="H104" s="4"/>
    </row>
    <row r="105" spans="1:8">
      <c r="A105" t="s">
        <v>125</v>
      </c>
      <c r="B105" t="s">
        <v>28</v>
      </c>
      <c r="C105" t="s">
        <v>126</v>
      </c>
      <c r="D105">
        <v>257</v>
      </c>
      <c r="E105">
        <v>9</v>
      </c>
      <c r="F105">
        <v>66</v>
      </c>
      <c r="G105" s="4">
        <f>+F105/E105</f>
        <v>7.333333333333333</v>
      </c>
      <c r="H105" s="4">
        <f>+F105/(D105+D106)</f>
        <v>0.17934782608695651</v>
      </c>
    </row>
    <row r="106" spans="1:8">
      <c r="C106" t="s">
        <v>63</v>
      </c>
      <c r="D106">
        <v>111</v>
      </c>
      <c r="G106" s="4"/>
      <c r="H106" s="4"/>
    </row>
    <row r="107" spans="1:8">
      <c r="A107" t="s">
        <v>127</v>
      </c>
      <c r="C107" t="s">
        <v>128</v>
      </c>
      <c r="D107">
        <v>1571</v>
      </c>
      <c r="E107">
        <v>11</v>
      </c>
      <c r="F107">
        <v>60</v>
      </c>
      <c r="G107" s="4">
        <f>+F107/E107</f>
        <v>5.4545454545454541</v>
      </c>
      <c r="H107" s="4">
        <f>+F107/D107</f>
        <v>3.8192234245703373E-2</v>
      </c>
    </row>
    <row r="109" spans="1:8">
      <c r="D109">
        <f>SUM(D80:D107)</f>
        <v>13956</v>
      </c>
      <c r="E109">
        <f>SUM(E80:E107)</f>
        <v>186</v>
      </c>
      <c r="F109">
        <f>SUM(F80:F107)</f>
        <v>1516</v>
      </c>
      <c r="G109" s="4">
        <f>+F109/E109</f>
        <v>8.150537634408602</v>
      </c>
      <c r="H109" s="4">
        <f>+F109/D109</f>
        <v>0.10862711378618516</v>
      </c>
    </row>
    <row r="110" spans="1:8">
      <c r="F110" s="4"/>
    </row>
    <row r="111" spans="1:8">
      <c r="C111" t="s">
        <v>10</v>
      </c>
      <c r="D111">
        <f>+D80+D81+D82+D83+D84</f>
        <v>3771</v>
      </c>
      <c r="E111">
        <f>+E80+E81+E82+E83+E84</f>
        <v>40</v>
      </c>
      <c r="F111">
        <f>+F80+F81+F82+F83+F84</f>
        <v>362</v>
      </c>
      <c r="G111">
        <f>+F111/E111</f>
        <v>9.0500000000000007</v>
      </c>
      <c r="H111" s="4">
        <f>+F111/D111</f>
        <v>9.5995757093609121E-2</v>
      </c>
    </row>
    <row r="112" spans="1:8">
      <c r="C112" t="s">
        <v>14</v>
      </c>
      <c r="D112">
        <f>+D85+D86</f>
        <v>866</v>
      </c>
      <c r="E112">
        <f>+E85+E86</f>
        <v>18</v>
      </c>
      <c r="F112">
        <f>+F85+F86</f>
        <v>154</v>
      </c>
      <c r="G112" s="4">
        <f t="shared" ref="G112:G117" si="13">+F112/E112</f>
        <v>8.5555555555555554</v>
      </c>
      <c r="H112" s="4">
        <f t="shared" ref="H112:H117" si="14">+F112/D112</f>
        <v>0.17782909930715934</v>
      </c>
    </row>
    <row r="113" spans="3:8">
      <c r="C113" t="s">
        <v>19</v>
      </c>
      <c r="D113">
        <f>+D87</f>
        <v>2036</v>
      </c>
      <c r="E113">
        <f>+E87</f>
        <v>14</v>
      </c>
      <c r="F113">
        <f>+F87</f>
        <v>150</v>
      </c>
      <c r="G113" s="4">
        <f t="shared" si="13"/>
        <v>10.714285714285714</v>
      </c>
      <c r="H113" s="4">
        <f t="shared" si="14"/>
        <v>7.3673870333988214E-2</v>
      </c>
    </row>
    <row r="114" spans="3:8">
      <c r="C114" t="s">
        <v>68</v>
      </c>
      <c r="D114">
        <f>+D88+D89+D90+D91+D92</f>
        <v>3809</v>
      </c>
      <c r="E114">
        <f>+E88+E89+E90+E91+E92</f>
        <v>55</v>
      </c>
      <c r="F114">
        <f>+F88+F89+F90+F91+F92</f>
        <v>376</v>
      </c>
      <c r="G114" s="4">
        <f t="shared" si="13"/>
        <v>6.836363636363636</v>
      </c>
      <c r="H114" s="4">
        <f t="shared" si="14"/>
        <v>9.8713573116303494E-2</v>
      </c>
    </row>
    <row r="115" spans="3:8">
      <c r="C115" s="6" t="s">
        <v>33</v>
      </c>
      <c r="D115">
        <f>SUM(D96:D102)</f>
        <v>1160</v>
      </c>
      <c r="E115">
        <f>SUM(E96:E102)</f>
        <v>26</v>
      </c>
      <c r="F115">
        <f>SUM(F96:F102)</f>
        <v>255</v>
      </c>
      <c r="G115" s="4">
        <f t="shared" si="13"/>
        <v>9.8076923076923084</v>
      </c>
      <c r="H115" s="4">
        <f t="shared" si="14"/>
        <v>0.21982758620689655</v>
      </c>
    </row>
    <row r="116" spans="3:8">
      <c r="C116" s="6" t="s">
        <v>129</v>
      </c>
      <c r="D116">
        <f>+D93+D94+D95+D103+D105+D106</f>
        <v>743</v>
      </c>
      <c r="E116">
        <f>+E93+E94+E95+E103+E105+E106</f>
        <v>20</v>
      </c>
      <c r="F116">
        <f>+F93+F94+F95+F103+F105+F106</f>
        <v>159</v>
      </c>
      <c r="G116" s="4">
        <f t="shared" si="13"/>
        <v>7.95</v>
      </c>
      <c r="H116" s="4">
        <f t="shared" si="14"/>
        <v>0.21399730820995963</v>
      </c>
    </row>
    <row r="117" spans="3:8">
      <c r="C117" t="s">
        <v>91</v>
      </c>
      <c r="D117">
        <f>+D107</f>
        <v>1571</v>
      </c>
      <c r="E117">
        <f>+E107</f>
        <v>11</v>
      </c>
      <c r="F117">
        <f>+F107</f>
        <v>60</v>
      </c>
      <c r="G117" s="4">
        <f t="shared" si="13"/>
        <v>5.4545454545454541</v>
      </c>
      <c r="H117" s="4">
        <f t="shared" si="14"/>
        <v>3.8192234245703373E-2</v>
      </c>
    </row>
    <row r="118" spans="3:8">
      <c r="C118" s="6" t="s">
        <v>130</v>
      </c>
      <c r="E118">
        <v>2</v>
      </c>
    </row>
    <row r="315" spans="1:13">
      <c r="H315" s="13"/>
      <c r="M315" s="13"/>
    </row>
    <row r="316" spans="1:13">
      <c r="H316" s="13"/>
      <c r="M316" s="13"/>
    </row>
    <row r="317" spans="1:13">
      <c r="H317" s="13"/>
      <c r="M317" s="13"/>
    </row>
    <row r="318" spans="1:13">
      <c r="H318" s="13"/>
      <c r="M318" s="13"/>
    </row>
    <row r="319" spans="1:13">
      <c r="H319" s="13"/>
      <c r="M319" s="13"/>
    </row>
    <row r="320" spans="1:13">
      <c r="A320" s="5"/>
      <c r="H320" s="13"/>
      <c r="M320" s="13"/>
    </row>
    <row r="321" spans="1:13">
      <c r="M321" s="13"/>
    </row>
    <row r="322" spans="1:13">
      <c r="M322" s="13"/>
    </row>
    <row r="323" spans="1:13">
      <c r="M323" s="13"/>
    </row>
    <row r="324" spans="1:13">
      <c r="M324" s="13"/>
    </row>
    <row r="325" spans="1:13">
      <c r="M325" s="13"/>
    </row>
    <row r="326" spans="1:13">
      <c r="M326" s="13"/>
    </row>
    <row r="327" spans="1:13">
      <c r="M327" s="13"/>
    </row>
    <row r="328" spans="1:13">
      <c r="M328" s="13"/>
    </row>
    <row r="329" spans="1:13">
      <c r="H329" s="13"/>
      <c r="M329" s="13"/>
    </row>
    <row r="330" spans="1:13">
      <c r="H330" s="13"/>
      <c r="M330" s="13"/>
    </row>
    <row r="331" spans="1:13">
      <c r="M331" s="13"/>
    </row>
    <row r="333" spans="1:13">
      <c r="K333" s="13"/>
    </row>
    <row r="336" spans="1:13">
      <c r="A336" s="1"/>
      <c r="B336" s="1"/>
      <c r="C336" s="1"/>
      <c r="D336" s="3"/>
      <c r="E336" s="3"/>
      <c r="F336" s="3"/>
      <c r="G336" s="3"/>
      <c r="H336" s="3"/>
      <c r="I336" s="1"/>
      <c r="K336" s="3"/>
    </row>
    <row r="341" spans="1:1">
      <c r="A341" s="5"/>
    </row>
    <row r="360" spans="1:8">
      <c r="A360" s="5"/>
    </row>
    <row r="364" spans="1:8">
      <c r="H364" s="4"/>
    </row>
    <row r="365" spans="1:8">
      <c r="H365" s="4"/>
    </row>
    <row r="367" spans="1:8">
      <c r="E367" s="12"/>
      <c r="G367" s="12"/>
      <c r="H367" s="12"/>
    </row>
    <row r="384" spans="1:1">
      <c r="A384" s="5"/>
    </row>
    <row r="386" spans="1:9">
      <c r="A386" s="6"/>
      <c r="C386" s="6"/>
      <c r="I386" s="6"/>
    </row>
    <row r="387" spans="1:9">
      <c r="A387" s="6"/>
      <c r="C387" s="6"/>
    </row>
    <row r="388" spans="1:9">
      <c r="A388" s="6"/>
      <c r="C388" s="6"/>
    </row>
    <row r="389" spans="1:9">
      <c r="A389" s="6"/>
      <c r="C389" s="6"/>
    </row>
    <row r="390" spans="1:9">
      <c r="A390" s="6"/>
      <c r="C390" s="6"/>
    </row>
    <row r="391" spans="1:9">
      <c r="A391" s="6"/>
      <c r="C391" s="6"/>
    </row>
    <row r="406" spans="1:8">
      <c r="F406" s="4"/>
    </row>
    <row r="407" spans="1:8">
      <c r="H407" s="4"/>
    </row>
    <row r="409" spans="1:8">
      <c r="F409" s="4"/>
    </row>
    <row r="410" spans="1:8">
      <c r="H410" s="4"/>
    </row>
    <row r="411" spans="1:8">
      <c r="A411" s="5"/>
    </row>
    <row r="412" spans="1:8">
      <c r="A412" s="6"/>
      <c r="B412" s="6"/>
      <c r="C412" s="6"/>
    </row>
    <row r="413" spans="1:8">
      <c r="A413" s="6"/>
      <c r="B413" s="6"/>
      <c r="C413" s="6"/>
    </row>
    <row r="414" spans="1:8">
      <c r="A414" s="6"/>
      <c r="B414" s="6"/>
      <c r="C414" s="6"/>
    </row>
    <row r="415" spans="1:8">
      <c r="C415" s="6"/>
    </row>
    <row r="416" spans="1:8">
      <c r="H416" s="4"/>
    </row>
    <row r="433" spans="1:8">
      <c r="H433" s="4"/>
    </row>
    <row r="438" spans="1:8">
      <c r="H438" s="4"/>
    </row>
    <row r="440" spans="1:8">
      <c r="H440" s="4"/>
    </row>
    <row r="448" spans="1:8">
      <c r="A448" s="2"/>
    </row>
    <row r="450" spans="1:9">
      <c r="A450" s="1"/>
      <c r="B450" s="1"/>
      <c r="C450" s="1"/>
      <c r="D450" s="3"/>
      <c r="E450" s="3"/>
      <c r="F450" s="3"/>
      <c r="G450" s="3"/>
      <c r="H450" s="3"/>
      <c r="I450" s="1"/>
    </row>
    <row r="460" spans="1:9">
      <c r="A460" s="5"/>
    </row>
    <row r="466" spans="1:1">
      <c r="A466" s="5"/>
    </row>
    <row r="487" spans="1:1">
      <c r="A487" s="11"/>
    </row>
    <row r="524" spans="1:9">
      <c r="A524" s="2"/>
    </row>
    <row r="526" spans="1:9">
      <c r="A526" s="1"/>
      <c r="B526" s="1"/>
      <c r="C526" s="1"/>
      <c r="D526" s="3"/>
      <c r="E526" s="3"/>
      <c r="F526" s="3"/>
      <c r="G526" s="3"/>
      <c r="H526" s="3"/>
      <c r="I526" s="1"/>
    </row>
    <row r="550" spans="1:9">
      <c r="A550" s="2"/>
    </row>
    <row r="552" spans="1:9">
      <c r="A552" s="1"/>
      <c r="B552" s="1"/>
      <c r="C552" s="1"/>
      <c r="D552" s="3"/>
      <c r="E552" s="3"/>
      <c r="F552" s="3"/>
      <c r="G552" s="3"/>
      <c r="H552" s="3"/>
      <c r="I552" s="1"/>
    </row>
    <row r="569" spans="1:9">
      <c r="A569" s="5"/>
    </row>
    <row r="573" spans="1:9">
      <c r="I573" s="6"/>
    </row>
    <row r="574" spans="1:9">
      <c r="I574" s="6"/>
    </row>
    <row r="575" spans="1:9">
      <c r="I575" s="6"/>
    </row>
    <row r="592" spans="1:1">
      <c r="A592" s="1"/>
    </row>
    <row r="593" spans="1:5">
      <c r="D593" s="7"/>
    </row>
    <row r="594" spans="1:5">
      <c r="D594" s="7"/>
    </row>
    <row r="595" spans="1:5">
      <c r="D595" s="10"/>
    </row>
    <row r="596" spans="1:5">
      <c r="D596" s="7"/>
    </row>
    <row r="597" spans="1:5">
      <c r="A597" s="1"/>
      <c r="B597" s="1"/>
      <c r="D597" s="7"/>
    </row>
    <row r="598" spans="1:5">
      <c r="D598" s="7"/>
    </row>
    <row r="599" spans="1:5">
      <c r="D599" s="7"/>
    </row>
    <row r="600" spans="1:5">
      <c r="A600" s="5"/>
      <c r="D600" s="7"/>
    </row>
    <row r="601" spans="1:5">
      <c r="D601" s="7"/>
    </row>
    <row r="602" spans="1:5">
      <c r="D602" s="7"/>
    </row>
    <row r="603" spans="1:5">
      <c r="D603" s="7"/>
    </row>
    <row r="604" spans="1:5">
      <c r="A604" s="5"/>
      <c r="D604" s="7"/>
    </row>
    <row r="605" spans="1:5">
      <c r="D605" s="7"/>
    </row>
    <row r="606" spans="1:5">
      <c r="A606" s="2"/>
      <c r="D606" s="10"/>
    </row>
    <row r="607" spans="1:5">
      <c r="B607" s="8"/>
      <c r="D607" s="7"/>
      <c r="E607" s="9"/>
    </row>
    <row r="608" spans="1:5">
      <c r="D608" s="7"/>
    </row>
    <row r="609" spans="1:9">
      <c r="D609" s="7"/>
    </row>
    <row r="610" spans="1:9">
      <c r="A610" s="6"/>
      <c r="D610" s="7"/>
      <c r="F610" s="6"/>
    </row>
    <row r="611" spans="1:9">
      <c r="A611" s="6"/>
      <c r="C611" s="6"/>
      <c r="D611" s="7"/>
    </row>
    <row r="612" spans="1:9">
      <c r="A612" s="6"/>
      <c r="D612" s="7"/>
    </row>
    <row r="613" spans="1:9">
      <c r="A613" s="6"/>
      <c r="C613" s="8"/>
      <c r="D613" s="7"/>
    </row>
    <row r="614" spans="1:9">
      <c r="A614" s="6"/>
      <c r="C614" s="6"/>
      <c r="D614" s="7"/>
    </row>
    <row r="615" spans="1:9">
      <c r="A615" s="2"/>
      <c r="D615" s="10"/>
    </row>
    <row r="616" spans="1:9">
      <c r="D616" s="7"/>
    </row>
    <row r="619" spans="1:9">
      <c r="I619" s="4"/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9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2CB7-4DB5-4165-9628-D092688F0A6C}">
  <dimension ref="A1"/>
  <sheetViews>
    <sheetView workbookViewId="0"/>
  </sheetViews>
  <sheetFormatPr defaultRowHeight="12.75"/>
  <cols>
    <col min="1" max="256" width="11.42578125" customWidth="1"/>
  </cols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8F3C-359C-4FF9-BB5E-8B6D6E823834}">
  <dimension ref="A1"/>
  <sheetViews>
    <sheetView workbookViewId="0"/>
  </sheetViews>
  <sheetFormatPr defaultRowHeight="12.75"/>
  <cols>
    <col min="1" max="256" width="11.42578125" customWidth="1"/>
  </cols>
  <sheetData/>
  <phoneticPr fontId="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E4B86492992478DD0C21C4AE410B3" ma:contentTypeVersion="12" ma:contentTypeDescription="Create a new document." ma:contentTypeScope="" ma:versionID="b35eb2634e41ea66c2b292f6d3f507f0">
  <xsd:schema xmlns:xsd="http://www.w3.org/2001/XMLSchema" xmlns:xs="http://www.w3.org/2001/XMLSchema" xmlns:p="http://schemas.microsoft.com/office/2006/metadata/properties" xmlns:ns2="ff4319ef-f653-4582-80b3-40ea248ca4c7" xmlns:ns3="ceaf67a6-89bb-45c5-98de-6952eee8fb06" targetNamespace="http://schemas.microsoft.com/office/2006/metadata/properties" ma:root="true" ma:fieldsID="00107df9cf5876db5740dd3438c12244" ns2:_="" ns3:_="">
    <xsd:import namespace="ff4319ef-f653-4582-80b3-40ea248ca4c7"/>
    <xsd:import namespace="ceaf67a6-89bb-45c5-98de-6952eee8fb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4319ef-f653-4582-80b3-40ea248ca4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f9fe50-17a6-4b4a-ae5d-d25beabc99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f67a6-89bb-45c5-98de-6952eee8fb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f483d4d-1248-4815-aebb-1b5445156819}" ma:internalName="TaxCatchAll" ma:showField="CatchAllData" ma:web="ceaf67a6-89bb-45c5-98de-6952eee8fb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836A4B-F8C1-48E7-85E5-1F6786E2F61E}"/>
</file>

<file path=customXml/itemProps2.xml><?xml version="1.0" encoding="utf-8"?>
<ds:datastoreItem xmlns:ds="http://schemas.openxmlformats.org/officeDocument/2006/customXml" ds:itemID="{EA371819-8A76-4FFC-8869-1692A7396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X</cp:lastModifiedBy>
  <cp:revision/>
  <dcterms:created xsi:type="dcterms:W3CDTF">2005-11-08T13:44:05Z</dcterms:created>
  <dcterms:modified xsi:type="dcterms:W3CDTF">2025-02-24T09:59:02Z</dcterms:modified>
  <cp:category/>
  <cp:contentStatus/>
</cp:coreProperties>
</file>