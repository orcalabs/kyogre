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documenttasks/documenttask1.xml" ContentType="application/vnd.ms-excel.documenttask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documenttasks/documenttask2.xml" ContentType="application/vnd.ms-excel.documenttask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documenttasks/documenttask3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rgard-my.sharepoint.com/personal/ner-kennethh_nergard_no/Documents/Daglige rapporter/"/>
    </mc:Choice>
  </mc:AlternateContent>
  <xr:revisionPtr revIDLastSave="0" documentId="8_{9436CF59-EDDF-4CB7-91CB-A5127445FA0A}" xr6:coauthVersionLast="47" xr6:coauthVersionMax="47" xr10:uidLastSave="{00000000-0000-0000-0000-000000000000}"/>
  <bookViews>
    <workbookView xWindow="1275" yWindow="-120" windowWidth="37245" windowHeight="21840" firstSheet="35" activeTab="36" xr2:uid="{161F8554-8E74-4377-B7EE-1C284161CCBC}"/>
  </bookViews>
  <sheets>
    <sheet name="Tur 1 2022" sheetId="1" r:id="rId1"/>
    <sheet name="Tur 2 2022" sheetId="2" r:id="rId2"/>
    <sheet name="Ark2" sheetId="21" r:id="rId3"/>
    <sheet name="Tur 3 2022 " sheetId="3" r:id="rId4"/>
    <sheet name="Tur 4 2022" sheetId="4" r:id="rId5"/>
    <sheet name="Tur 5 2022" sheetId="5" r:id="rId6"/>
    <sheet name="Tur 6 2022" sheetId="6" r:id="rId7"/>
    <sheet name="Tur 8 2022 " sheetId="7" r:id="rId8"/>
    <sheet name="Ark1" sheetId="8" state="hidden" r:id="rId9"/>
    <sheet name="Tur 9 2022" sheetId="9" r:id="rId10"/>
    <sheet name="Tur 10 2022 " sheetId="10" r:id="rId11"/>
    <sheet name="Tur 11 2022" sheetId="12" r:id="rId12"/>
    <sheet name="Tur 1 2023" sheetId="13" r:id="rId13"/>
    <sheet name="Tur 2 2023" sheetId="14" r:id="rId14"/>
    <sheet name="Tur 3 2023" sheetId="15" r:id="rId15"/>
    <sheet name="Tur 4 OG 5 2023" sheetId="16" r:id="rId16"/>
    <sheet name="Tur 6 2023" sheetId="17" r:id="rId17"/>
    <sheet name="Tur 7 2023" sheetId="18" r:id="rId18"/>
    <sheet name="Tur 8 2023" sheetId="19" r:id="rId19"/>
    <sheet name="Tur 9 2023" sheetId="20" r:id="rId20"/>
    <sheet name="Tur 10 2023" sheetId="22" r:id="rId21"/>
    <sheet name="Tur 14 2023" sheetId="24" r:id="rId22"/>
    <sheet name="Tur 1 2024" sheetId="23" r:id="rId23"/>
    <sheet name="Tur 2 2024" sheetId="25" r:id="rId24"/>
    <sheet name="Tur 3 2024" sheetId="26" r:id="rId25"/>
    <sheet name="Ark3" sheetId="30" r:id="rId26"/>
    <sheet name="Tur 4 2024 reke" sheetId="27" r:id="rId27"/>
    <sheet name="Ark4" sheetId="31" state="hidden" r:id="rId28"/>
    <sheet name="Tur 5 2024 reke" sheetId="28" r:id="rId29"/>
    <sheet name="Tur 6 2024 Reke" sheetId="29" r:id="rId30"/>
    <sheet name="Tur 8 Fisk" sheetId="36" r:id="rId31"/>
    <sheet name="Tur 7 2024 Reke" sheetId="33" r:id="rId32"/>
    <sheet name="Ark9" sheetId="44" state="hidden" r:id="rId33"/>
    <sheet name="Tur 9 Fisk" sheetId="39" r:id="rId34"/>
    <sheet name="Tur-10 Fisk" sheetId="11" r:id="rId35"/>
    <sheet name="ØstGr2025" sheetId="41" r:id="rId36"/>
    <sheet name="Ark7" sheetId="42" r:id="rId37"/>
    <sheet name="Ark8" sheetId="43" r:id="rId38"/>
    <sheet name="Ark5" sheetId="37" r:id="rId39"/>
    <sheet name="Ark6" sheetId="38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38" i="41" l="1"/>
  <c r="D37" i="41"/>
  <c r="D36" i="41"/>
  <c r="V26" i="41"/>
  <c r="I24" i="41"/>
  <c r="F24" i="41"/>
  <c r="L69" i="41" l="1"/>
  <c r="AD38" i="41" l="1"/>
  <c r="AD37" i="41"/>
  <c r="AD36" i="41"/>
  <c r="F69" i="41"/>
  <c r="G69" i="41"/>
  <c r="H69" i="41"/>
  <c r="I69" i="41"/>
  <c r="J69" i="41"/>
  <c r="J59" i="41" s="1"/>
  <c r="K69" i="41"/>
  <c r="M69" i="41"/>
  <c r="N69" i="41"/>
  <c r="O69" i="41"/>
  <c r="P69" i="41"/>
  <c r="P59" i="41" s="1"/>
  <c r="Q69" i="41"/>
  <c r="R69" i="41"/>
  <c r="S69" i="41"/>
  <c r="T69" i="41"/>
  <c r="U69" i="41"/>
  <c r="U59" i="41" s="1"/>
  <c r="V69" i="41"/>
  <c r="W69" i="41"/>
  <c r="X69" i="41"/>
  <c r="Y69" i="41"/>
  <c r="Z69" i="41"/>
  <c r="AA69" i="41"/>
  <c r="AB69" i="41"/>
  <c r="AC69" i="41"/>
  <c r="AD69" i="41"/>
  <c r="AE69" i="41"/>
  <c r="AF69" i="41"/>
  <c r="AG69" i="41"/>
  <c r="AH69" i="41"/>
  <c r="AI69" i="41"/>
  <c r="AJ69" i="41"/>
  <c r="AK69" i="41"/>
  <c r="AL69" i="41"/>
  <c r="AM69" i="41"/>
  <c r="AN69" i="41"/>
  <c r="AO69" i="41"/>
  <c r="AP69" i="41"/>
  <c r="AQ69" i="41"/>
  <c r="AR69" i="41"/>
  <c r="AS69" i="41"/>
  <c r="AT69" i="41"/>
  <c r="AU69" i="41"/>
  <c r="AV69" i="41"/>
  <c r="AW69" i="41"/>
  <c r="AX69" i="41"/>
  <c r="AY69" i="41"/>
  <c r="AZ69" i="41"/>
  <c r="F70" i="41"/>
  <c r="G70" i="41"/>
  <c r="H70" i="41"/>
  <c r="I70" i="41"/>
  <c r="J70" i="41"/>
  <c r="K70" i="41"/>
  <c r="L70" i="41"/>
  <c r="M70" i="41"/>
  <c r="N70" i="41"/>
  <c r="O70" i="41"/>
  <c r="P70" i="41"/>
  <c r="Q70" i="41"/>
  <c r="R70" i="41"/>
  <c r="S70" i="41"/>
  <c r="T70" i="41"/>
  <c r="T59" i="41" s="1"/>
  <c r="U70" i="41"/>
  <c r="V70" i="41"/>
  <c r="W70" i="41"/>
  <c r="X70" i="41"/>
  <c r="Y70" i="41"/>
  <c r="Z70" i="41"/>
  <c r="AA70" i="41"/>
  <c r="AB70" i="41"/>
  <c r="AC70" i="41"/>
  <c r="AD70" i="41"/>
  <c r="AE70" i="41"/>
  <c r="AF70" i="41"/>
  <c r="AG70" i="41"/>
  <c r="AH70" i="41"/>
  <c r="AI70" i="41"/>
  <c r="AJ70" i="41"/>
  <c r="AK70" i="41"/>
  <c r="AL70" i="41"/>
  <c r="AM70" i="41"/>
  <c r="AN70" i="41"/>
  <c r="AO70" i="41"/>
  <c r="AP70" i="41"/>
  <c r="AQ70" i="41"/>
  <c r="AR70" i="41"/>
  <c r="AS70" i="41"/>
  <c r="AT70" i="41"/>
  <c r="AU70" i="41"/>
  <c r="AV70" i="41"/>
  <c r="AW70" i="41"/>
  <c r="AX70" i="41"/>
  <c r="AY70" i="41"/>
  <c r="AZ70" i="41"/>
  <c r="F71" i="41"/>
  <c r="G71" i="41"/>
  <c r="G59" i="41" s="1"/>
  <c r="H71" i="41"/>
  <c r="I71" i="41"/>
  <c r="J71" i="41"/>
  <c r="K71" i="41"/>
  <c r="L71" i="41"/>
  <c r="M71" i="41"/>
  <c r="N71" i="41"/>
  <c r="O71" i="41"/>
  <c r="P71" i="41"/>
  <c r="Q71" i="41"/>
  <c r="R71" i="41"/>
  <c r="S71" i="41"/>
  <c r="T71" i="41"/>
  <c r="U71" i="41"/>
  <c r="V71" i="41"/>
  <c r="W71" i="41"/>
  <c r="W59" i="41" s="1"/>
  <c r="X71" i="41"/>
  <c r="Y71" i="41"/>
  <c r="Z71" i="41"/>
  <c r="AA71" i="41"/>
  <c r="AB71" i="41"/>
  <c r="AB59" i="41" s="1"/>
  <c r="AC71" i="41"/>
  <c r="AD71" i="41"/>
  <c r="AE71" i="41"/>
  <c r="AF71" i="41"/>
  <c r="AG71" i="41"/>
  <c r="AH71" i="41"/>
  <c r="AI71" i="41"/>
  <c r="AJ71" i="41"/>
  <c r="AK71" i="41"/>
  <c r="AK59" i="41" s="1"/>
  <c r="AL71" i="41"/>
  <c r="AM71" i="41"/>
  <c r="AM59" i="41" s="1"/>
  <c r="AN71" i="41"/>
  <c r="AO71" i="41"/>
  <c r="AP71" i="41"/>
  <c r="AQ71" i="41"/>
  <c r="AR71" i="41"/>
  <c r="AR59" i="41" s="1"/>
  <c r="AS71" i="41"/>
  <c r="AT71" i="41"/>
  <c r="AU71" i="41"/>
  <c r="AV71" i="41"/>
  <c r="AW71" i="41"/>
  <c r="AX71" i="41"/>
  <c r="AY71" i="41"/>
  <c r="AZ71" i="41"/>
  <c r="F59" i="41"/>
  <c r="K59" i="41"/>
  <c r="L59" i="41"/>
  <c r="X59" i="41"/>
  <c r="D77" i="41"/>
  <c r="AZ16" i="41"/>
  <c r="AZ26" i="41"/>
  <c r="AZ39" i="41"/>
  <c r="AZ44" i="41"/>
  <c r="AZ60" i="41"/>
  <c r="AZ61" i="41"/>
  <c r="AZ62" i="41"/>
  <c r="AZ63" i="41"/>
  <c r="AZ64" i="41"/>
  <c r="AZ65" i="41"/>
  <c r="AZ66" i="41"/>
  <c r="AZ67" i="41"/>
  <c r="AZ68" i="41"/>
  <c r="AZ72" i="41"/>
  <c r="AZ77" i="41"/>
  <c r="AZ78" i="41"/>
  <c r="AZ79" i="41"/>
  <c r="AS16" i="41"/>
  <c r="AT16" i="41"/>
  <c r="AU16" i="41"/>
  <c r="AV16" i="41"/>
  <c r="AW16" i="41"/>
  <c r="AX16" i="41"/>
  <c r="AY16" i="41"/>
  <c r="AS26" i="41"/>
  <c r="AT26" i="41"/>
  <c r="AU26" i="41"/>
  <c r="AU39" i="41" s="1"/>
  <c r="AV26" i="41"/>
  <c r="AW26" i="41"/>
  <c r="AW39" i="41" s="1"/>
  <c r="AX26" i="41"/>
  <c r="AX39" i="41" s="1"/>
  <c r="AY26" i="41"/>
  <c r="AY39" i="41" s="1"/>
  <c r="AS39" i="41"/>
  <c r="AT39" i="41"/>
  <c r="AV39" i="41"/>
  <c r="AS44" i="41"/>
  <c r="AT44" i="41"/>
  <c r="AV44" i="41"/>
  <c r="AW44" i="41"/>
  <c r="AY44" i="41"/>
  <c r="AS60" i="41"/>
  <c r="AT60" i="41"/>
  <c r="AU60" i="41"/>
  <c r="AV60" i="41"/>
  <c r="AW60" i="41"/>
  <c r="AX60" i="41"/>
  <c r="AY60" i="41"/>
  <c r="AS61" i="41"/>
  <c r="AT61" i="41"/>
  <c r="AU61" i="41"/>
  <c r="AV61" i="41"/>
  <c r="AW61" i="41"/>
  <c r="AX61" i="41"/>
  <c r="AY61" i="41"/>
  <c r="AS62" i="41"/>
  <c r="AT62" i="41"/>
  <c r="AU62" i="41"/>
  <c r="AV62" i="41"/>
  <c r="AW62" i="41"/>
  <c r="AX62" i="41"/>
  <c r="AY62" i="41"/>
  <c r="AS63" i="41"/>
  <c r="AT63" i="41"/>
  <c r="AU63" i="41"/>
  <c r="AV63" i="41"/>
  <c r="AW63" i="41"/>
  <c r="AX63" i="41"/>
  <c r="AY63" i="41"/>
  <c r="AS64" i="41"/>
  <c r="AT64" i="41"/>
  <c r="AU64" i="41"/>
  <c r="AV64" i="41"/>
  <c r="AW64" i="41"/>
  <c r="AX64" i="41"/>
  <c r="AY64" i="41"/>
  <c r="AS65" i="41"/>
  <c r="AT65" i="41"/>
  <c r="AU65" i="41"/>
  <c r="AV65" i="41"/>
  <c r="AW65" i="41"/>
  <c r="AX65" i="41"/>
  <c r="AY65" i="41"/>
  <c r="AS66" i="41"/>
  <c r="AT66" i="41"/>
  <c r="AU66" i="41"/>
  <c r="AV66" i="41"/>
  <c r="AW66" i="41"/>
  <c r="AX66" i="41"/>
  <c r="AY66" i="41"/>
  <c r="AS67" i="41"/>
  <c r="AT67" i="41"/>
  <c r="AU67" i="41"/>
  <c r="AV67" i="41"/>
  <c r="AW67" i="41"/>
  <c r="AX67" i="41"/>
  <c r="AY67" i="41"/>
  <c r="AS68" i="41"/>
  <c r="AT68" i="41"/>
  <c r="AU68" i="41"/>
  <c r="AV68" i="41"/>
  <c r="AW68" i="41"/>
  <c r="AX68" i="41"/>
  <c r="AY68" i="41"/>
  <c r="AS72" i="41"/>
  <c r="AT72" i="41" s="1"/>
  <c r="AU72" i="41" s="1"/>
  <c r="AV72" i="41" s="1"/>
  <c r="AW72" i="41" s="1"/>
  <c r="AX72" i="41" s="1"/>
  <c r="AY72" i="41" s="1"/>
  <c r="AS77" i="41"/>
  <c r="AT77" i="41"/>
  <c r="AU77" i="41"/>
  <c r="AV77" i="41"/>
  <c r="AW77" i="41"/>
  <c r="AX77" i="41"/>
  <c r="AY77" i="41"/>
  <c r="AS78" i="41"/>
  <c r="AT78" i="41"/>
  <c r="AU78" i="41"/>
  <c r="AV78" i="41"/>
  <c r="AW78" i="41"/>
  <c r="AX78" i="41"/>
  <c r="AY78" i="41"/>
  <c r="AS79" i="41"/>
  <c r="AT79" i="41"/>
  <c r="AU79" i="41"/>
  <c r="AV79" i="41"/>
  <c r="AW79" i="41"/>
  <c r="AX79" i="41"/>
  <c r="AY79" i="41"/>
  <c r="K44" i="41"/>
  <c r="E44" i="41"/>
  <c r="F44" i="41"/>
  <c r="G44" i="41"/>
  <c r="H44" i="41"/>
  <c r="I44" i="41"/>
  <c r="J44" i="41"/>
  <c r="E79" i="41"/>
  <c r="W38" i="41"/>
  <c r="W37" i="41"/>
  <c r="W36" i="41"/>
  <c r="U39" i="41"/>
  <c r="Q37" i="41"/>
  <c r="P37" i="41"/>
  <c r="O37" i="41"/>
  <c r="O36" i="41"/>
  <c r="L39" i="41"/>
  <c r="M39" i="41"/>
  <c r="M37" i="41"/>
  <c r="M36" i="41"/>
  <c r="L36" i="41"/>
  <c r="L37" i="41"/>
  <c r="AR79" i="41"/>
  <c r="AQ79" i="41"/>
  <c r="AP79" i="41"/>
  <c r="AO79" i="41"/>
  <c r="AN79" i="41"/>
  <c r="AM79" i="41"/>
  <c r="AL79" i="41"/>
  <c r="AK79" i="41"/>
  <c r="AJ79" i="41"/>
  <c r="AI79" i="41"/>
  <c r="AH79" i="41"/>
  <c r="AG79" i="41"/>
  <c r="AF79" i="41"/>
  <c r="AE79" i="41"/>
  <c r="AD79" i="41"/>
  <c r="AC79" i="41"/>
  <c r="AB79" i="41"/>
  <c r="AA79" i="41"/>
  <c r="Z79" i="41"/>
  <c r="Y79" i="41"/>
  <c r="X79" i="41"/>
  <c r="W79" i="41"/>
  <c r="V79" i="41"/>
  <c r="U79" i="41"/>
  <c r="T79" i="41"/>
  <c r="S79" i="41"/>
  <c r="R79" i="41"/>
  <c r="Q79" i="41"/>
  <c r="P79" i="41"/>
  <c r="O79" i="41"/>
  <c r="N79" i="41"/>
  <c r="M79" i="41"/>
  <c r="L79" i="41"/>
  <c r="K79" i="41"/>
  <c r="J79" i="41"/>
  <c r="I79" i="41"/>
  <c r="H79" i="41"/>
  <c r="G79" i="41"/>
  <c r="F79" i="41"/>
  <c r="C77" i="41"/>
  <c r="E72" i="41"/>
  <c r="F72" i="41" s="1"/>
  <c r="G72" i="41" s="1"/>
  <c r="H72" i="41" s="1"/>
  <c r="I72" i="41" s="1"/>
  <c r="J72" i="41" s="1"/>
  <c r="K72" i="41" s="1"/>
  <c r="L72" i="41" s="1"/>
  <c r="M72" i="41" s="1"/>
  <c r="N72" i="41" s="1"/>
  <c r="O72" i="41" s="1"/>
  <c r="P72" i="41" s="1"/>
  <c r="Q72" i="41" s="1"/>
  <c r="R72" i="41" s="1"/>
  <c r="S72" i="41" s="1"/>
  <c r="T72" i="41" s="1"/>
  <c r="U72" i="41" s="1"/>
  <c r="V72" i="41" s="1"/>
  <c r="W72" i="41" s="1"/>
  <c r="X72" i="41" s="1"/>
  <c r="Y72" i="41" s="1"/>
  <c r="Z72" i="41" s="1"/>
  <c r="AA72" i="41" s="1"/>
  <c r="AB72" i="41" s="1"/>
  <c r="AC72" i="41" s="1"/>
  <c r="AD72" i="41" s="1"/>
  <c r="AE72" i="41" s="1"/>
  <c r="AF72" i="41" s="1"/>
  <c r="AG72" i="41" s="1"/>
  <c r="AH72" i="41" s="1"/>
  <c r="AI72" i="41" s="1"/>
  <c r="AJ72" i="41" s="1"/>
  <c r="AK72" i="41" s="1"/>
  <c r="AL72" i="41" s="1"/>
  <c r="AM72" i="41" s="1"/>
  <c r="AN72" i="41" s="1"/>
  <c r="AO72" i="41" s="1"/>
  <c r="AP72" i="41" s="1"/>
  <c r="AQ72" i="41" s="1"/>
  <c r="AR72" i="41" s="1"/>
  <c r="E71" i="41"/>
  <c r="AF59" i="41"/>
  <c r="AD59" i="41"/>
  <c r="AC59" i="41"/>
  <c r="Z59" i="41"/>
  <c r="Y59" i="41"/>
  <c r="Q59" i="41"/>
  <c r="M59" i="41"/>
  <c r="E70" i="41"/>
  <c r="E69" i="41"/>
  <c r="AR68" i="41"/>
  <c r="AQ68" i="41"/>
  <c r="AP68" i="41"/>
  <c r="AO68" i="41"/>
  <c r="AN68" i="41"/>
  <c r="AM68" i="41"/>
  <c r="AL68" i="41"/>
  <c r="AK68" i="41"/>
  <c r="AJ68" i="41"/>
  <c r="AI68" i="41"/>
  <c r="AH68" i="41"/>
  <c r="AG68" i="41"/>
  <c r="AF68" i="41"/>
  <c r="AE68" i="41"/>
  <c r="AD68" i="41"/>
  <c r="AC68" i="41"/>
  <c r="AB68" i="41"/>
  <c r="AA68" i="41"/>
  <c r="Z68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AR67" i="41"/>
  <c r="AQ67" i="41"/>
  <c r="AP67" i="41"/>
  <c r="AO67" i="41"/>
  <c r="AN67" i="41"/>
  <c r="AM67" i="41"/>
  <c r="AL67" i="41"/>
  <c r="AK67" i="41"/>
  <c r="AJ67" i="41"/>
  <c r="AI67" i="41"/>
  <c r="AH67" i="41"/>
  <c r="AG67" i="41"/>
  <c r="AF67" i="41"/>
  <c r="AE67" i="41"/>
  <c r="AD67" i="41"/>
  <c r="AC67" i="41"/>
  <c r="AB67" i="41"/>
  <c r="AA67" i="41"/>
  <c r="Z67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AR66" i="41"/>
  <c r="AQ66" i="41"/>
  <c r="AP66" i="41"/>
  <c r="AO66" i="41"/>
  <c r="AN66" i="41"/>
  <c r="AM66" i="41"/>
  <c r="AL66" i="41"/>
  <c r="AK66" i="41"/>
  <c r="AJ66" i="41"/>
  <c r="AI66" i="41"/>
  <c r="AH66" i="41"/>
  <c r="AG66" i="41"/>
  <c r="AF66" i="41"/>
  <c r="AE66" i="41"/>
  <c r="AD66" i="41"/>
  <c r="AC66" i="41"/>
  <c r="AB66" i="41"/>
  <c r="AA66" i="41"/>
  <c r="Z66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AR65" i="41"/>
  <c r="AQ65" i="41"/>
  <c r="AP65" i="41"/>
  <c r="AO65" i="41"/>
  <c r="AN65" i="41"/>
  <c r="AM65" i="41"/>
  <c r="AL65" i="41"/>
  <c r="AK65" i="41"/>
  <c r="AJ65" i="41"/>
  <c r="AI65" i="41"/>
  <c r="AH65" i="41"/>
  <c r="AG65" i="41"/>
  <c r="AF65" i="41"/>
  <c r="AE65" i="41"/>
  <c r="AD65" i="4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AR64" i="41"/>
  <c r="AQ64" i="41"/>
  <c r="AP64" i="41"/>
  <c r="AO64" i="41"/>
  <c r="AN64" i="41"/>
  <c r="AM64" i="41"/>
  <c r="AL64" i="41"/>
  <c r="AK64" i="41"/>
  <c r="AJ64" i="41"/>
  <c r="AI64" i="41"/>
  <c r="AH64" i="41"/>
  <c r="AG64" i="41"/>
  <c r="AF64" i="41"/>
  <c r="AE64" i="41"/>
  <c r="AD64" i="41"/>
  <c r="AC64" i="41"/>
  <c r="AB64" i="41"/>
  <c r="AA64" i="41"/>
  <c r="Z64" i="41"/>
  <c r="Y64" i="41"/>
  <c r="X64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AR63" i="41"/>
  <c r="AQ63" i="41"/>
  <c r="AP63" i="41"/>
  <c r="AO63" i="41"/>
  <c r="AN63" i="41"/>
  <c r="AM63" i="41"/>
  <c r="AL63" i="41"/>
  <c r="AK63" i="41"/>
  <c r="AJ63" i="41"/>
  <c r="AI63" i="41"/>
  <c r="AH63" i="41"/>
  <c r="AG63" i="41"/>
  <c r="AF63" i="41"/>
  <c r="AE63" i="41"/>
  <c r="AD63" i="41"/>
  <c r="AC63" i="41"/>
  <c r="AB63" i="41"/>
  <c r="AA63" i="41"/>
  <c r="Z63" i="41"/>
  <c r="Y63" i="41"/>
  <c r="X63" i="41"/>
  <c r="W63" i="41"/>
  <c r="V63" i="41"/>
  <c r="U63" i="41"/>
  <c r="T63" i="41"/>
  <c r="S63" i="41"/>
  <c r="R63" i="41"/>
  <c r="Q63" i="41"/>
  <c r="P63" i="41"/>
  <c r="O63" i="41"/>
  <c r="N63" i="41"/>
  <c r="M63" i="41"/>
  <c r="L63" i="41"/>
  <c r="K63" i="41"/>
  <c r="J63" i="41"/>
  <c r="I63" i="41"/>
  <c r="H63" i="41"/>
  <c r="G63" i="41"/>
  <c r="F63" i="41"/>
  <c r="E63" i="41"/>
  <c r="AR62" i="41"/>
  <c r="AQ62" i="41"/>
  <c r="AP62" i="41"/>
  <c r="AO62" i="41"/>
  <c r="AN62" i="41"/>
  <c r="AM62" i="41"/>
  <c r="AL62" i="41"/>
  <c r="AK62" i="41"/>
  <c r="AJ62" i="41"/>
  <c r="AI62" i="41"/>
  <c r="AH62" i="41"/>
  <c r="AG62" i="41"/>
  <c r="AF62" i="41"/>
  <c r="AE62" i="41"/>
  <c r="AD62" i="41"/>
  <c r="AC62" i="41"/>
  <c r="AB62" i="41"/>
  <c r="AA62" i="41"/>
  <c r="Z62" i="41"/>
  <c r="Y62" i="41"/>
  <c r="X62" i="41"/>
  <c r="W62" i="41"/>
  <c r="V62" i="41"/>
  <c r="U62" i="41"/>
  <c r="T62" i="41"/>
  <c r="S62" i="41"/>
  <c r="R62" i="41"/>
  <c r="Q62" i="41"/>
  <c r="P62" i="41"/>
  <c r="O62" i="41"/>
  <c r="N62" i="41"/>
  <c r="M62" i="41"/>
  <c r="L62" i="41"/>
  <c r="K62" i="41"/>
  <c r="J62" i="41"/>
  <c r="I62" i="41"/>
  <c r="H62" i="41"/>
  <c r="G62" i="41"/>
  <c r="F62" i="41"/>
  <c r="E62" i="41"/>
  <c r="AR61" i="41"/>
  <c r="AQ61" i="41"/>
  <c r="AP61" i="41"/>
  <c r="AO61" i="41"/>
  <c r="AN61" i="41"/>
  <c r="AM61" i="41"/>
  <c r="AL61" i="41"/>
  <c r="AK61" i="41"/>
  <c r="AJ61" i="41"/>
  <c r="AI61" i="41"/>
  <c r="AH61" i="41"/>
  <c r="AG61" i="41"/>
  <c r="AF61" i="41"/>
  <c r="AE61" i="41"/>
  <c r="AD61" i="41"/>
  <c r="AC61" i="41"/>
  <c r="AB61" i="41"/>
  <c r="AA61" i="41"/>
  <c r="Z61" i="41"/>
  <c r="Y61" i="41"/>
  <c r="X61" i="41"/>
  <c r="W61" i="41"/>
  <c r="V61" i="41"/>
  <c r="U61" i="41"/>
  <c r="T61" i="41"/>
  <c r="S61" i="41"/>
  <c r="R61" i="41"/>
  <c r="Q61" i="41"/>
  <c r="P61" i="41"/>
  <c r="O61" i="41"/>
  <c r="N61" i="41"/>
  <c r="M61" i="41"/>
  <c r="L61" i="41"/>
  <c r="K61" i="41"/>
  <c r="J61" i="41"/>
  <c r="I61" i="41"/>
  <c r="H61" i="41"/>
  <c r="G61" i="41"/>
  <c r="F61" i="41"/>
  <c r="E61" i="41"/>
  <c r="AR60" i="41"/>
  <c r="AQ60" i="41"/>
  <c r="AP60" i="41"/>
  <c r="AO60" i="41"/>
  <c r="AN60" i="41"/>
  <c r="AM60" i="41"/>
  <c r="AL60" i="41"/>
  <c r="AK60" i="41"/>
  <c r="AJ60" i="41"/>
  <c r="AI60" i="41"/>
  <c r="AH60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E60" i="41"/>
  <c r="D51" i="41"/>
  <c r="D50" i="41"/>
  <c r="D72" i="41" s="1"/>
  <c r="D49" i="41"/>
  <c r="D48" i="41"/>
  <c r="D47" i="41"/>
  <c r="D46" i="41"/>
  <c r="D42" i="41"/>
  <c r="D41" i="41"/>
  <c r="D69" i="41"/>
  <c r="D35" i="41"/>
  <c r="D68" i="41" s="1"/>
  <c r="D34" i="41"/>
  <c r="D67" i="41" s="1"/>
  <c r="D33" i="41"/>
  <c r="D66" i="41" s="1"/>
  <c r="D32" i="41"/>
  <c r="D65" i="41" s="1"/>
  <c r="D31" i="41"/>
  <c r="D64" i="41" s="1"/>
  <c r="D30" i="41"/>
  <c r="D63" i="41" s="1"/>
  <c r="D29" i="41"/>
  <c r="D62" i="41" s="1"/>
  <c r="D28" i="41"/>
  <c r="D61" i="41" s="1"/>
  <c r="D27" i="41"/>
  <c r="D60" i="41" s="1"/>
  <c r="AR26" i="41"/>
  <c r="AQ26" i="41"/>
  <c r="AP26" i="41"/>
  <c r="AO26" i="41"/>
  <c r="AN26" i="41"/>
  <c r="AM26" i="41"/>
  <c r="AL26" i="41"/>
  <c r="AK26" i="41"/>
  <c r="AJ26" i="41"/>
  <c r="AI26" i="41"/>
  <c r="AH26" i="41"/>
  <c r="AG26" i="41"/>
  <c r="AF26" i="41"/>
  <c r="AE26" i="41"/>
  <c r="AD26" i="41"/>
  <c r="AC26" i="41"/>
  <c r="AB26" i="41"/>
  <c r="AA26" i="41"/>
  <c r="Z26" i="41"/>
  <c r="Y26" i="41"/>
  <c r="X26" i="41"/>
  <c r="W26" i="41"/>
  <c r="U26" i="41"/>
  <c r="T26" i="41"/>
  <c r="S26" i="41"/>
  <c r="R26" i="41"/>
  <c r="Q26" i="41"/>
  <c r="P26" i="41"/>
  <c r="O26" i="41"/>
  <c r="N26" i="41"/>
  <c r="D26" i="41" s="1"/>
  <c r="D39" i="41" s="1"/>
  <c r="M26" i="41"/>
  <c r="L26" i="41"/>
  <c r="K26" i="41"/>
  <c r="J26" i="41"/>
  <c r="I26" i="41"/>
  <c r="H26" i="41"/>
  <c r="G26" i="41"/>
  <c r="F26" i="41"/>
  <c r="E26" i="41"/>
  <c r="D21" i="41"/>
  <c r="D20" i="41"/>
  <c r="D19" i="41"/>
  <c r="D18" i="41"/>
  <c r="AR16" i="41"/>
  <c r="AQ16" i="41"/>
  <c r="AP16" i="41"/>
  <c r="AO16" i="41"/>
  <c r="AN16" i="41"/>
  <c r="AM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D15" i="41"/>
  <c r="D14" i="41"/>
  <c r="D13" i="41"/>
  <c r="D12" i="41"/>
  <c r="D11" i="41"/>
  <c r="D10" i="41"/>
  <c r="D9" i="41"/>
  <c r="AR79" i="39"/>
  <c r="AQ79" i="39"/>
  <c r="AP79" i="39"/>
  <c r="AO79" i="39"/>
  <c r="AN79" i="39"/>
  <c r="AM79" i="39"/>
  <c r="AL79" i="39"/>
  <c r="AK79" i="39"/>
  <c r="AJ79" i="39"/>
  <c r="AI79" i="39"/>
  <c r="AH79" i="39"/>
  <c r="AG79" i="39"/>
  <c r="AF79" i="39"/>
  <c r="AE79" i="39"/>
  <c r="AD79" i="39"/>
  <c r="AC79" i="39"/>
  <c r="AB79" i="39"/>
  <c r="AA79" i="39"/>
  <c r="Z79" i="39"/>
  <c r="Y79" i="39"/>
  <c r="X79" i="39"/>
  <c r="W79" i="39"/>
  <c r="V79" i="39"/>
  <c r="U79" i="39"/>
  <c r="T79" i="39"/>
  <c r="S79" i="39"/>
  <c r="R79" i="39"/>
  <c r="Q79" i="39"/>
  <c r="P79" i="39"/>
  <c r="O79" i="39"/>
  <c r="N79" i="39"/>
  <c r="M79" i="39"/>
  <c r="L79" i="39"/>
  <c r="K79" i="39"/>
  <c r="J79" i="39"/>
  <c r="I79" i="39"/>
  <c r="H79" i="39"/>
  <c r="G79" i="39"/>
  <c r="F79" i="39"/>
  <c r="E79" i="39"/>
  <c r="AR78" i="39"/>
  <c r="AQ78" i="39"/>
  <c r="AP78" i="39"/>
  <c r="AH78" i="39"/>
  <c r="AG78" i="39"/>
  <c r="AF78" i="39"/>
  <c r="AB78" i="39"/>
  <c r="AA78" i="39"/>
  <c r="Z78" i="39"/>
  <c r="R78" i="39"/>
  <c r="Q78" i="39"/>
  <c r="P78" i="39"/>
  <c r="L78" i="39"/>
  <c r="K78" i="39"/>
  <c r="J78" i="39"/>
  <c r="C78" i="39"/>
  <c r="AO78" i="39" s="1"/>
  <c r="AR77" i="39"/>
  <c r="AQ77" i="39"/>
  <c r="AP77" i="39"/>
  <c r="AN77" i="39"/>
  <c r="AM77" i="39"/>
  <c r="AL77" i="39"/>
  <c r="AK77" i="39"/>
  <c r="AJ77" i="39"/>
  <c r="AG77" i="39"/>
  <c r="AF77" i="39"/>
  <c r="AE77" i="39"/>
  <c r="AD77" i="39"/>
  <c r="AC77" i="39"/>
  <c r="AB77" i="39"/>
  <c r="AA77" i="39"/>
  <c r="Z77" i="39"/>
  <c r="X77" i="39"/>
  <c r="W77" i="39"/>
  <c r="V77" i="39"/>
  <c r="U77" i="39"/>
  <c r="T77" i="39"/>
  <c r="Q77" i="39"/>
  <c r="P77" i="39"/>
  <c r="O77" i="39"/>
  <c r="N77" i="39"/>
  <c r="M77" i="39"/>
  <c r="L77" i="39"/>
  <c r="K77" i="39"/>
  <c r="J77" i="39"/>
  <c r="H77" i="39"/>
  <c r="G77" i="39"/>
  <c r="F77" i="39"/>
  <c r="E77" i="39"/>
  <c r="C77" i="39"/>
  <c r="AI77" i="39" s="1"/>
  <c r="E72" i="39"/>
  <c r="F72" i="39" s="1"/>
  <c r="G72" i="39" s="1"/>
  <c r="H72" i="39" s="1"/>
  <c r="I72" i="39" s="1"/>
  <c r="J72" i="39" s="1"/>
  <c r="K72" i="39" s="1"/>
  <c r="L72" i="39" s="1"/>
  <c r="M72" i="39" s="1"/>
  <c r="AR71" i="39"/>
  <c r="AQ71" i="39"/>
  <c r="AP71" i="39"/>
  <c r="AO71" i="39"/>
  <c r="AN71" i="39"/>
  <c r="AM71" i="39"/>
  <c r="AL71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U71" i="39"/>
  <c r="T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/>
  <c r="F71" i="39"/>
  <c r="E71" i="39"/>
  <c r="AR70" i="39"/>
  <c r="AQ70" i="39"/>
  <c r="AP70" i="39"/>
  <c r="AO70" i="39"/>
  <c r="AN70" i="39"/>
  <c r="AM70" i="39"/>
  <c r="AL70" i="39"/>
  <c r="AK70" i="39"/>
  <c r="AJ70" i="39"/>
  <c r="AI70" i="39"/>
  <c r="AH70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K70" i="39"/>
  <c r="J70" i="39"/>
  <c r="I70" i="39"/>
  <c r="H70" i="39"/>
  <c r="G70" i="39"/>
  <c r="F70" i="39"/>
  <c r="E70" i="39"/>
  <c r="AR69" i="39"/>
  <c r="AQ69" i="39"/>
  <c r="AP69" i="39"/>
  <c r="AO69" i="39"/>
  <c r="AN69" i="39"/>
  <c r="AM69" i="39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AR68" i="39"/>
  <c r="AQ68" i="39"/>
  <c r="AP68" i="39"/>
  <c r="AO68" i="39"/>
  <c r="AN68" i="39"/>
  <c r="AM68" i="39"/>
  <c r="AL68" i="39"/>
  <c r="AK68" i="39"/>
  <c r="AJ68" i="39"/>
  <c r="AI68" i="39"/>
  <c r="AH68" i="39"/>
  <c r="AG68" i="39"/>
  <c r="AF68" i="39"/>
  <c r="AE68" i="39"/>
  <c r="AD68" i="39"/>
  <c r="AC68" i="39"/>
  <c r="AB68" i="39"/>
  <c r="AA68" i="39"/>
  <c r="Z68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AR67" i="39"/>
  <c r="AQ67" i="39"/>
  <c r="AP67" i="39"/>
  <c r="AO67" i="39"/>
  <c r="AN67" i="39"/>
  <c r="AM67" i="39"/>
  <c r="AL67" i="39"/>
  <c r="AK67" i="39"/>
  <c r="AJ67" i="39"/>
  <c r="AI67" i="39"/>
  <c r="AH67" i="39"/>
  <c r="AG67" i="39"/>
  <c r="AF67" i="39"/>
  <c r="AE67" i="39"/>
  <c r="AD67" i="39"/>
  <c r="AC67" i="39"/>
  <c r="AB67" i="39"/>
  <c r="AA67" i="39"/>
  <c r="Z67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AR66" i="39"/>
  <c r="AQ66" i="39"/>
  <c r="AP66" i="39"/>
  <c r="AO66" i="39"/>
  <c r="AN66" i="39"/>
  <c r="AM66" i="39"/>
  <c r="AL66" i="39"/>
  <c r="AK66" i="39"/>
  <c r="AJ66" i="39"/>
  <c r="AI66" i="39"/>
  <c r="AH66" i="39"/>
  <c r="AG66" i="39"/>
  <c r="AF66" i="39"/>
  <c r="AE66" i="39"/>
  <c r="AD66" i="39"/>
  <c r="AC66" i="39"/>
  <c r="AB66" i="39"/>
  <c r="AA66" i="39"/>
  <c r="Z66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AR65" i="39"/>
  <c r="AQ65" i="39"/>
  <c r="AP65" i="39"/>
  <c r="AO65" i="39"/>
  <c r="AN65" i="39"/>
  <c r="AM65" i="39"/>
  <c r="AL65" i="39"/>
  <c r="AK65" i="39"/>
  <c r="AJ65" i="39"/>
  <c r="AI65" i="39"/>
  <c r="AH65" i="39"/>
  <c r="AG65" i="39"/>
  <c r="AF65" i="39"/>
  <c r="AE65" i="39"/>
  <c r="AD65" i="39"/>
  <c r="AC65" i="39"/>
  <c r="AB65" i="39"/>
  <c r="AA65" i="39"/>
  <c r="Z65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AR64" i="39"/>
  <c r="AQ64" i="39"/>
  <c r="AP64" i="39"/>
  <c r="AO64" i="39"/>
  <c r="AN64" i="39"/>
  <c r="AM64" i="39"/>
  <c r="AL64" i="39"/>
  <c r="AK64" i="39"/>
  <c r="AJ64" i="39"/>
  <c r="AI64" i="39"/>
  <c r="AH64" i="39"/>
  <c r="AG64" i="39"/>
  <c r="AF64" i="39"/>
  <c r="AE64" i="39"/>
  <c r="AD64" i="39"/>
  <c r="AC64" i="39"/>
  <c r="AB64" i="39"/>
  <c r="AA64" i="39"/>
  <c r="Z64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AR63" i="39"/>
  <c r="AQ63" i="39"/>
  <c r="AP63" i="39"/>
  <c r="AO63" i="39"/>
  <c r="AN63" i="39"/>
  <c r="AM63" i="39"/>
  <c r="AL63" i="39"/>
  <c r="AK63" i="39"/>
  <c r="AJ63" i="39"/>
  <c r="AI63" i="39"/>
  <c r="AH63" i="39"/>
  <c r="AG63" i="39"/>
  <c r="AF63" i="39"/>
  <c r="AE63" i="39"/>
  <c r="AD63" i="39"/>
  <c r="AC63" i="39"/>
  <c r="AB63" i="39"/>
  <c r="AA63" i="39"/>
  <c r="Z63" i="39"/>
  <c r="Y63" i="39"/>
  <c r="X63" i="39"/>
  <c r="W63" i="39"/>
  <c r="V63" i="39"/>
  <c r="U63" i="39"/>
  <c r="T63" i="39"/>
  <c r="S63" i="39"/>
  <c r="R63" i="39"/>
  <c r="Q63" i="39"/>
  <c r="P63" i="39"/>
  <c r="O63" i="39"/>
  <c r="N63" i="39"/>
  <c r="M63" i="39"/>
  <c r="L63" i="39"/>
  <c r="K63" i="39"/>
  <c r="J63" i="39"/>
  <c r="I63" i="39"/>
  <c r="H63" i="39"/>
  <c r="G63" i="39"/>
  <c r="F63" i="39"/>
  <c r="E63" i="39"/>
  <c r="D63" i="39"/>
  <c r="AR62" i="39"/>
  <c r="AQ62" i="39"/>
  <c r="AP62" i="39"/>
  <c r="AO62" i="39"/>
  <c r="AN62" i="39"/>
  <c r="AM62" i="39"/>
  <c r="AL62" i="39"/>
  <c r="AK62" i="39"/>
  <c r="AJ62" i="39"/>
  <c r="AI62" i="39"/>
  <c r="AH62" i="39"/>
  <c r="AG62" i="39"/>
  <c r="AF62" i="39"/>
  <c r="AE62" i="39"/>
  <c r="AD62" i="39"/>
  <c r="AC62" i="39"/>
  <c r="AB62" i="39"/>
  <c r="AA62" i="39"/>
  <c r="Z62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AR61" i="39"/>
  <c r="AQ61" i="39"/>
  <c r="AP61" i="39"/>
  <c r="AO61" i="39"/>
  <c r="AN61" i="39"/>
  <c r="AM61" i="39"/>
  <c r="AL61" i="39"/>
  <c r="AK61" i="39"/>
  <c r="AJ61" i="39"/>
  <c r="AI61" i="39"/>
  <c r="AH61" i="39"/>
  <c r="AG61" i="39"/>
  <c r="AF61" i="39"/>
  <c r="AE61" i="39"/>
  <c r="AD61" i="39"/>
  <c r="AC61" i="39"/>
  <c r="AB61" i="39"/>
  <c r="AA61" i="39"/>
  <c r="Z61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AR60" i="39"/>
  <c r="AQ60" i="39"/>
  <c r="AP60" i="39"/>
  <c r="AO60" i="39"/>
  <c r="AN60" i="39"/>
  <c r="AM60" i="39"/>
  <c r="AL60" i="39"/>
  <c r="AK60" i="39"/>
  <c r="AJ60" i="39"/>
  <c r="AI60" i="39"/>
  <c r="AH60" i="39"/>
  <c r="AG60" i="39"/>
  <c r="AF60" i="39"/>
  <c r="AE60" i="39"/>
  <c r="AD60" i="39"/>
  <c r="AC60" i="39"/>
  <c r="AB60" i="39"/>
  <c r="AA60" i="39"/>
  <c r="Z60" i="39"/>
  <c r="Y60" i="39"/>
  <c r="X60" i="39"/>
  <c r="W60" i="39"/>
  <c r="V60" i="39"/>
  <c r="U60" i="39"/>
  <c r="T60" i="39"/>
  <c r="S60" i="39"/>
  <c r="R60" i="39"/>
  <c r="Q60" i="39"/>
  <c r="P60" i="39"/>
  <c r="O60" i="39"/>
  <c r="N60" i="39"/>
  <c r="M60" i="39"/>
  <c r="L60" i="39"/>
  <c r="K60" i="39"/>
  <c r="J60" i="39"/>
  <c r="I60" i="39"/>
  <c r="H60" i="39"/>
  <c r="G60" i="39"/>
  <c r="F60" i="39"/>
  <c r="E60" i="39"/>
  <c r="D51" i="39"/>
  <c r="D50" i="39"/>
  <c r="D72" i="39" s="1"/>
  <c r="D49" i="39"/>
  <c r="D48" i="39"/>
  <c r="D47" i="39"/>
  <c r="D46" i="39"/>
  <c r="AN44" i="39"/>
  <c r="AK44" i="39"/>
  <c r="D42" i="39"/>
  <c r="D41" i="39"/>
  <c r="AQ39" i="39"/>
  <c r="AP39" i="39"/>
  <c r="AO39" i="39"/>
  <c r="AN39" i="39"/>
  <c r="AM39" i="39"/>
  <c r="D38" i="39"/>
  <c r="D71" i="39" s="1"/>
  <c r="D37" i="39"/>
  <c r="D70" i="39" s="1"/>
  <c r="D36" i="39"/>
  <c r="D69" i="39" s="1"/>
  <c r="D35" i="39"/>
  <c r="D68" i="39" s="1"/>
  <c r="D34" i="39"/>
  <c r="D67" i="39" s="1"/>
  <c r="D33" i="39"/>
  <c r="D66" i="39" s="1"/>
  <c r="D32" i="39"/>
  <c r="D65" i="39" s="1"/>
  <c r="D31" i="39"/>
  <c r="D64" i="39" s="1"/>
  <c r="D30" i="39"/>
  <c r="D29" i="39"/>
  <c r="D62" i="39" s="1"/>
  <c r="D28" i="39"/>
  <c r="D61" i="39" s="1"/>
  <c r="D27" i="39"/>
  <c r="D60" i="39" s="1"/>
  <c r="AR26" i="39"/>
  <c r="AR44" i="39" s="1"/>
  <c r="AQ26" i="39"/>
  <c r="AQ44" i="39" s="1"/>
  <c r="AP26" i="39"/>
  <c r="AP44" i="39" s="1"/>
  <c r="AO26" i="39"/>
  <c r="AO44" i="39" s="1"/>
  <c r="AN26" i="39"/>
  <c r="AM26" i="39"/>
  <c r="AM44" i="39" s="1"/>
  <c r="AL26" i="39"/>
  <c r="AL39" i="39" s="1"/>
  <c r="AK26" i="39"/>
  <c r="AK39" i="39" s="1"/>
  <c r="AJ26" i="39"/>
  <c r="AJ39" i="39" s="1"/>
  <c r="AI26" i="39"/>
  <c r="AI39" i="39" s="1"/>
  <c r="AH26" i="39"/>
  <c r="AH39" i="39" s="1"/>
  <c r="AG26" i="39"/>
  <c r="AG44" i="39" s="1"/>
  <c r="AF26" i="39"/>
  <c r="AF44" i="39" s="1"/>
  <c r="AE26" i="39"/>
  <c r="AE44" i="39" s="1"/>
  <c r="AD26" i="39"/>
  <c r="AD44" i="39" s="1"/>
  <c r="AC26" i="39"/>
  <c r="AC39" i="39" s="1"/>
  <c r="AB26" i="39"/>
  <c r="AB44" i="39" s="1"/>
  <c r="AA26" i="39"/>
  <c r="AA44" i="39" s="1"/>
  <c r="Z26" i="39"/>
  <c r="Z44" i="39" s="1"/>
  <c r="Y26" i="39"/>
  <c r="Y44" i="39" s="1"/>
  <c r="X26" i="39"/>
  <c r="X39" i="39" s="1"/>
  <c r="W26" i="39"/>
  <c r="W44" i="39" s="1"/>
  <c r="V26" i="39"/>
  <c r="V39" i="39" s="1"/>
  <c r="U26" i="39"/>
  <c r="U39" i="39" s="1"/>
  <c r="T26" i="39"/>
  <c r="T39" i="39" s="1"/>
  <c r="S26" i="39"/>
  <c r="S39" i="39" s="1"/>
  <c r="R26" i="39"/>
  <c r="R39" i="39" s="1"/>
  <c r="Q26" i="39"/>
  <c r="Q44" i="39" s="1"/>
  <c r="P26" i="39"/>
  <c r="P44" i="39" s="1"/>
  <c r="O26" i="39"/>
  <c r="O44" i="39" s="1"/>
  <c r="N26" i="39"/>
  <c r="N44" i="39" s="1"/>
  <c r="M26" i="39"/>
  <c r="M39" i="39" s="1"/>
  <c r="L26" i="39"/>
  <c r="K26" i="39"/>
  <c r="K44" i="39" s="1"/>
  <c r="J26" i="39"/>
  <c r="J44" i="39" s="1"/>
  <c r="I26" i="39"/>
  <c r="I44" i="39" s="1"/>
  <c r="H26" i="39"/>
  <c r="H44" i="39" s="1"/>
  <c r="G26" i="39"/>
  <c r="G44" i="39" s="1"/>
  <c r="F26" i="39"/>
  <c r="F39" i="39" s="1"/>
  <c r="E26" i="39"/>
  <c r="E39" i="39" s="1"/>
  <c r="D21" i="39"/>
  <c r="D20" i="39"/>
  <c r="D19" i="39"/>
  <c r="D18" i="39"/>
  <c r="AR16" i="39"/>
  <c r="AQ16" i="39"/>
  <c r="AP16" i="39"/>
  <c r="AO16" i="39"/>
  <c r="AN16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N16" i="39"/>
  <c r="M16" i="39"/>
  <c r="L16" i="39"/>
  <c r="K16" i="39"/>
  <c r="J16" i="39"/>
  <c r="I16" i="39"/>
  <c r="H16" i="39"/>
  <c r="G16" i="39"/>
  <c r="F16" i="39"/>
  <c r="E16" i="39"/>
  <c r="D15" i="39"/>
  <c r="D14" i="39"/>
  <c r="D13" i="39"/>
  <c r="D12" i="39"/>
  <c r="D11" i="39"/>
  <c r="D10" i="39"/>
  <c r="D9" i="39"/>
  <c r="AR79" i="36"/>
  <c r="AQ79" i="36"/>
  <c r="AP79" i="36"/>
  <c r="AO79" i="36"/>
  <c r="AN79" i="36"/>
  <c r="AM79" i="36"/>
  <c r="AL79" i="36"/>
  <c r="AK79" i="36"/>
  <c r="AJ79" i="36"/>
  <c r="AI79" i="36"/>
  <c r="AH79" i="36"/>
  <c r="AG79" i="36"/>
  <c r="AF79" i="36"/>
  <c r="AE79" i="36"/>
  <c r="AD79" i="36"/>
  <c r="AC79" i="36"/>
  <c r="AB79" i="36"/>
  <c r="AA79" i="36"/>
  <c r="Z79" i="36"/>
  <c r="Y79" i="36"/>
  <c r="X79" i="36"/>
  <c r="W79" i="36"/>
  <c r="V79" i="36"/>
  <c r="U79" i="36"/>
  <c r="T79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8" i="36"/>
  <c r="C77" i="36"/>
  <c r="E72" i="36"/>
  <c r="F72" i="36" s="1"/>
  <c r="G72" i="36" s="1"/>
  <c r="H72" i="36" s="1"/>
  <c r="I72" i="36" s="1"/>
  <c r="J72" i="36" s="1"/>
  <c r="K72" i="36" s="1"/>
  <c r="L72" i="36" s="1"/>
  <c r="M72" i="36" s="1"/>
  <c r="N72" i="36" s="1"/>
  <c r="O72" i="36" s="1"/>
  <c r="P72" i="36" s="1"/>
  <c r="Q72" i="36" s="1"/>
  <c r="R72" i="36" s="1"/>
  <c r="S72" i="36" s="1"/>
  <c r="T72" i="36" s="1"/>
  <c r="U72" i="36" s="1"/>
  <c r="V72" i="36" s="1"/>
  <c r="W72" i="36" s="1"/>
  <c r="X72" i="36" s="1"/>
  <c r="Y72" i="36" s="1"/>
  <c r="Z72" i="36" s="1"/>
  <c r="AA72" i="36" s="1"/>
  <c r="AB72" i="36" s="1"/>
  <c r="AC72" i="36" s="1"/>
  <c r="AD72" i="36" s="1"/>
  <c r="AE72" i="36" s="1"/>
  <c r="AF72" i="36" s="1"/>
  <c r="AG72" i="36" s="1"/>
  <c r="AH72" i="36" s="1"/>
  <c r="AI72" i="36" s="1"/>
  <c r="AJ72" i="36" s="1"/>
  <c r="AK72" i="36" s="1"/>
  <c r="AL72" i="36" s="1"/>
  <c r="AM72" i="36" s="1"/>
  <c r="AN72" i="36" s="1"/>
  <c r="AO72" i="36" s="1"/>
  <c r="AP72" i="36" s="1"/>
  <c r="AQ72" i="36" s="1"/>
  <c r="AR72" i="36" s="1"/>
  <c r="AR71" i="36"/>
  <c r="AR59" i="36" s="1"/>
  <c r="AQ71" i="36"/>
  <c r="AP71" i="36"/>
  <c r="AO71" i="36"/>
  <c r="AN71" i="36"/>
  <c r="AM71" i="36"/>
  <c r="AL71" i="36"/>
  <c r="AK71" i="36"/>
  <c r="AJ71" i="36"/>
  <c r="AI71" i="36"/>
  <c r="AH71" i="36"/>
  <c r="AG71" i="36"/>
  <c r="AG59" i="36" s="1"/>
  <c r="AF71" i="36"/>
  <c r="AF59" i="36" s="1"/>
  <c r="AE71" i="36"/>
  <c r="AD71" i="36"/>
  <c r="AC71" i="36"/>
  <c r="AC59" i="36" s="1"/>
  <c r="AB71" i="36"/>
  <c r="AB59" i="36" s="1"/>
  <c r="AA71" i="36"/>
  <c r="Z71" i="36"/>
  <c r="Y71" i="36"/>
  <c r="X71" i="36"/>
  <c r="W71" i="36"/>
  <c r="V71" i="36"/>
  <c r="U71" i="36"/>
  <c r="T71" i="36"/>
  <c r="S71" i="36"/>
  <c r="R71" i="36"/>
  <c r="Q71" i="36"/>
  <c r="P71" i="36"/>
  <c r="P59" i="36" s="1"/>
  <c r="O71" i="36"/>
  <c r="O59" i="36" s="1"/>
  <c r="N71" i="36"/>
  <c r="M71" i="36"/>
  <c r="M59" i="36" s="1"/>
  <c r="L71" i="36"/>
  <c r="L59" i="36" s="1"/>
  <c r="K71" i="36"/>
  <c r="J71" i="36"/>
  <c r="I71" i="36"/>
  <c r="H71" i="36"/>
  <c r="G71" i="36"/>
  <c r="F71" i="36"/>
  <c r="E71" i="36"/>
  <c r="AR70" i="36"/>
  <c r="AQ70" i="36"/>
  <c r="AP70" i="36"/>
  <c r="AO70" i="36"/>
  <c r="AN70" i="36"/>
  <c r="AM70" i="36"/>
  <c r="AL70" i="36"/>
  <c r="AK70" i="36"/>
  <c r="AJ70" i="36"/>
  <c r="AI70" i="36"/>
  <c r="AH70" i="36"/>
  <c r="AG70" i="36"/>
  <c r="AF70" i="36"/>
  <c r="AE70" i="36"/>
  <c r="AD70" i="36"/>
  <c r="AC70" i="36"/>
  <c r="AB70" i="36"/>
  <c r="AA70" i="36"/>
  <c r="Z70" i="36"/>
  <c r="Y70" i="36"/>
  <c r="X70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AR69" i="36"/>
  <c r="AQ69" i="36"/>
  <c r="AP69" i="36"/>
  <c r="AO69" i="36"/>
  <c r="AN69" i="36"/>
  <c r="AM69" i="36"/>
  <c r="AL69" i="36"/>
  <c r="AK69" i="36"/>
  <c r="AJ69" i="36"/>
  <c r="AI69" i="36"/>
  <c r="AH69" i="36"/>
  <c r="AG69" i="36"/>
  <c r="AF69" i="36"/>
  <c r="AE69" i="36"/>
  <c r="AD69" i="36"/>
  <c r="AC69" i="36"/>
  <c r="AB69" i="36"/>
  <c r="AA69" i="36"/>
  <c r="Z69" i="36"/>
  <c r="Y69" i="36"/>
  <c r="X69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AR68" i="36"/>
  <c r="AQ68" i="36"/>
  <c r="AP68" i="36"/>
  <c r="AO68" i="36"/>
  <c r="AN68" i="36"/>
  <c r="AM68" i="36"/>
  <c r="AL68" i="36"/>
  <c r="AK68" i="36"/>
  <c r="AJ68" i="36"/>
  <c r="AI68" i="36"/>
  <c r="AH68" i="36"/>
  <c r="AG68" i="36"/>
  <c r="AF68" i="36"/>
  <c r="AE68" i="36"/>
  <c r="AD68" i="36"/>
  <c r="AC68" i="36"/>
  <c r="AB68" i="36"/>
  <c r="AA68" i="36"/>
  <c r="Z68" i="36"/>
  <c r="Y68" i="36"/>
  <c r="X68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AR67" i="36"/>
  <c r="AQ67" i="36"/>
  <c r="AP67" i="36"/>
  <c r="AO67" i="36"/>
  <c r="AN67" i="36"/>
  <c r="AM67" i="36"/>
  <c r="AL67" i="36"/>
  <c r="AK67" i="36"/>
  <c r="AJ67" i="36"/>
  <c r="AI67" i="36"/>
  <c r="AH67" i="36"/>
  <c r="AG67" i="36"/>
  <c r="AF67" i="36"/>
  <c r="AE67" i="36"/>
  <c r="AD67" i="36"/>
  <c r="AC67" i="36"/>
  <c r="AB67" i="36"/>
  <c r="AA67" i="36"/>
  <c r="Z67" i="36"/>
  <c r="Y67" i="36"/>
  <c r="X67" i="36"/>
  <c r="W67" i="36"/>
  <c r="V67" i="36"/>
  <c r="U67" i="36"/>
  <c r="T67" i="36"/>
  <c r="S67" i="36"/>
  <c r="R67" i="36"/>
  <c r="Q67" i="36"/>
  <c r="P67" i="36"/>
  <c r="O67" i="36"/>
  <c r="N67" i="36"/>
  <c r="N59" i="36" s="1"/>
  <c r="M67" i="36"/>
  <c r="L67" i="36"/>
  <c r="K67" i="36"/>
  <c r="J67" i="36"/>
  <c r="I67" i="36"/>
  <c r="H67" i="36"/>
  <c r="G67" i="36"/>
  <c r="F67" i="36"/>
  <c r="E67" i="36"/>
  <c r="AR66" i="36"/>
  <c r="AQ66" i="36"/>
  <c r="AP66" i="36"/>
  <c r="AO66" i="36"/>
  <c r="AN66" i="36"/>
  <c r="AM66" i="36"/>
  <c r="AL66" i="36"/>
  <c r="AK66" i="36"/>
  <c r="AJ66" i="36"/>
  <c r="AI66" i="36"/>
  <c r="AH66" i="36"/>
  <c r="AG66" i="36"/>
  <c r="AF66" i="36"/>
  <c r="AE66" i="36"/>
  <c r="AD66" i="36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AR65" i="36"/>
  <c r="AQ65" i="36"/>
  <c r="AP65" i="36"/>
  <c r="AO65" i="36"/>
  <c r="AN65" i="36"/>
  <c r="AM65" i="36"/>
  <c r="AL65" i="36"/>
  <c r="AK65" i="36"/>
  <c r="AJ65" i="36"/>
  <c r="AI65" i="36"/>
  <c r="AH65" i="36"/>
  <c r="AG65" i="36"/>
  <c r="AF65" i="36"/>
  <c r="AE65" i="36"/>
  <c r="AD65" i="36"/>
  <c r="AC65" i="36"/>
  <c r="AB65" i="36"/>
  <c r="AA65" i="36"/>
  <c r="Z65" i="36"/>
  <c r="Y65" i="36"/>
  <c r="X65" i="36"/>
  <c r="W65" i="36"/>
  <c r="V65" i="36"/>
  <c r="U65" i="36"/>
  <c r="T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G65" i="36"/>
  <c r="F65" i="36"/>
  <c r="E65" i="36"/>
  <c r="AR64" i="36"/>
  <c r="AQ64" i="36"/>
  <c r="AP64" i="36"/>
  <c r="AO64" i="36"/>
  <c r="AN64" i="36"/>
  <c r="AM64" i="36"/>
  <c r="AL64" i="36"/>
  <c r="AK64" i="36"/>
  <c r="AJ64" i="36"/>
  <c r="AI64" i="36"/>
  <c r="AH64" i="36"/>
  <c r="AG64" i="36"/>
  <c r="AF64" i="36"/>
  <c r="AE64" i="36"/>
  <c r="AD64" i="36"/>
  <c r="AC64" i="36"/>
  <c r="AB64" i="36"/>
  <c r="AA64" i="36"/>
  <c r="Z64" i="36"/>
  <c r="Y64" i="36"/>
  <c r="X64" i="36"/>
  <c r="W64" i="36"/>
  <c r="V64" i="36"/>
  <c r="U64" i="36"/>
  <c r="T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G64" i="36"/>
  <c r="F64" i="36"/>
  <c r="E64" i="36"/>
  <c r="AR63" i="36"/>
  <c r="AQ63" i="36"/>
  <c r="AP63" i="36"/>
  <c r="AO63" i="36"/>
  <c r="AN63" i="36"/>
  <c r="AM63" i="36"/>
  <c r="AL63" i="36"/>
  <c r="AK63" i="36"/>
  <c r="AJ63" i="36"/>
  <c r="AI63" i="36"/>
  <c r="AH63" i="36"/>
  <c r="AG63" i="36"/>
  <c r="AF63" i="36"/>
  <c r="AE63" i="36"/>
  <c r="AD63" i="36"/>
  <c r="AC63" i="36"/>
  <c r="AB63" i="36"/>
  <c r="AA63" i="36"/>
  <c r="Z63" i="36"/>
  <c r="Y63" i="36"/>
  <c r="X63" i="36"/>
  <c r="W63" i="36"/>
  <c r="V63" i="36"/>
  <c r="U63" i="36"/>
  <c r="T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G63" i="36"/>
  <c r="F63" i="36"/>
  <c r="E63" i="36"/>
  <c r="AR62" i="36"/>
  <c r="AQ62" i="36"/>
  <c r="AP62" i="36"/>
  <c r="AO62" i="36"/>
  <c r="AN62" i="36"/>
  <c r="AM62" i="36"/>
  <c r="AL62" i="36"/>
  <c r="AK62" i="36"/>
  <c r="AJ62" i="36"/>
  <c r="AI62" i="36"/>
  <c r="AH62" i="36"/>
  <c r="AG62" i="36"/>
  <c r="AF62" i="36"/>
  <c r="AE62" i="36"/>
  <c r="AD62" i="36"/>
  <c r="AC62" i="36"/>
  <c r="AB62" i="36"/>
  <c r="AA62" i="36"/>
  <c r="Z62" i="36"/>
  <c r="Y62" i="36"/>
  <c r="X62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AR61" i="36"/>
  <c r="AQ61" i="36"/>
  <c r="AP61" i="36"/>
  <c r="AO61" i="36"/>
  <c r="AN61" i="36"/>
  <c r="AM61" i="36"/>
  <c r="AL61" i="36"/>
  <c r="AK61" i="36"/>
  <c r="AJ61" i="36"/>
  <c r="AI61" i="36"/>
  <c r="AH61" i="36"/>
  <c r="AG61" i="36"/>
  <c r="AF61" i="36"/>
  <c r="AE61" i="36"/>
  <c r="AE59" i="36" s="1"/>
  <c r="AD61" i="36"/>
  <c r="AC61" i="36"/>
  <c r="AB61" i="36"/>
  <c r="AA61" i="36"/>
  <c r="Z61" i="36"/>
  <c r="Y61" i="36"/>
  <c r="X61" i="36"/>
  <c r="W61" i="36"/>
  <c r="V61" i="36"/>
  <c r="U61" i="36"/>
  <c r="T61" i="36"/>
  <c r="S61" i="36"/>
  <c r="R61" i="36"/>
  <c r="R59" i="36" s="1"/>
  <c r="Q61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AR60" i="36"/>
  <c r="AQ60" i="36"/>
  <c r="AQ59" i="36" s="1"/>
  <c r="AP60" i="36"/>
  <c r="AP59" i="36" s="1"/>
  <c r="AO60" i="36"/>
  <c r="AO59" i="36" s="1"/>
  <c r="AN60" i="36"/>
  <c r="AN59" i="36" s="1"/>
  <c r="AM60" i="36"/>
  <c r="AM59" i="36" s="1"/>
  <c r="AL60" i="36"/>
  <c r="AL59" i="36" s="1"/>
  <c r="AK60" i="36"/>
  <c r="AK59" i="36" s="1"/>
  <c r="AJ60" i="36"/>
  <c r="AJ59" i="36" s="1"/>
  <c r="AI60" i="36"/>
  <c r="AH60" i="36"/>
  <c r="AG60" i="36"/>
  <c r="AF60" i="36"/>
  <c r="AE60" i="36"/>
  <c r="AD60" i="36"/>
  <c r="AC60" i="36"/>
  <c r="AB60" i="36"/>
  <c r="AA60" i="36"/>
  <c r="AA59" i="36" s="1"/>
  <c r="Z60" i="36"/>
  <c r="Z59" i="36" s="1"/>
  <c r="Y60" i="36"/>
  <c r="Y59" i="36" s="1"/>
  <c r="X60" i="36"/>
  <c r="X59" i="36" s="1"/>
  <c r="W60" i="36"/>
  <c r="W59" i="36" s="1"/>
  <c r="V60" i="36"/>
  <c r="V59" i="36" s="1"/>
  <c r="U60" i="36"/>
  <c r="U59" i="36" s="1"/>
  <c r="T60" i="36"/>
  <c r="T59" i="36" s="1"/>
  <c r="S60" i="36"/>
  <c r="R60" i="36"/>
  <c r="Q60" i="36"/>
  <c r="P60" i="36"/>
  <c r="O60" i="36"/>
  <c r="N60" i="36"/>
  <c r="M60" i="36"/>
  <c r="L60" i="36"/>
  <c r="K60" i="36"/>
  <c r="J60" i="36"/>
  <c r="J59" i="36" s="1"/>
  <c r="I60" i="36"/>
  <c r="I59" i="36" s="1"/>
  <c r="H60" i="36"/>
  <c r="H59" i="36" s="1"/>
  <c r="G60" i="36"/>
  <c r="G59" i="36" s="1"/>
  <c r="F60" i="36"/>
  <c r="F59" i="36" s="1"/>
  <c r="E60" i="36"/>
  <c r="E59" i="36" s="1"/>
  <c r="D51" i="36"/>
  <c r="D50" i="36"/>
  <c r="D72" i="36" s="1"/>
  <c r="D49" i="36"/>
  <c r="D48" i="36"/>
  <c r="D47" i="36"/>
  <c r="D46" i="36"/>
  <c r="D42" i="36"/>
  <c r="D41" i="36"/>
  <c r="D38" i="36"/>
  <c r="D71" i="36" s="1"/>
  <c r="D37" i="36"/>
  <c r="D36" i="36"/>
  <c r="D69" i="36" s="1"/>
  <c r="D35" i="36"/>
  <c r="D68" i="36" s="1"/>
  <c r="D34" i="36"/>
  <c r="D67" i="36" s="1"/>
  <c r="D33" i="36"/>
  <c r="D66" i="36" s="1"/>
  <c r="D32" i="36"/>
  <c r="D65" i="36" s="1"/>
  <c r="D31" i="36"/>
  <c r="D64" i="36" s="1"/>
  <c r="D30" i="36"/>
  <c r="D63" i="36" s="1"/>
  <c r="D29" i="36"/>
  <c r="D62" i="36" s="1"/>
  <c r="D28" i="36"/>
  <c r="D61" i="36" s="1"/>
  <c r="D27" i="36"/>
  <c r="D60" i="36" s="1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D26" i="36" s="1"/>
  <c r="J26" i="36"/>
  <c r="I26" i="36"/>
  <c r="H26" i="36"/>
  <c r="G26" i="36"/>
  <c r="F26" i="36"/>
  <c r="E26" i="36"/>
  <c r="D21" i="36"/>
  <c r="D20" i="36"/>
  <c r="D19" i="36"/>
  <c r="D18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N16" i="36"/>
  <c r="M16" i="36"/>
  <c r="L16" i="36"/>
  <c r="K16" i="36"/>
  <c r="J16" i="36"/>
  <c r="I16" i="36"/>
  <c r="H16" i="36"/>
  <c r="G16" i="36"/>
  <c r="F16" i="36"/>
  <c r="E16" i="36"/>
  <c r="D16" i="36" s="1"/>
  <c r="D15" i="36"/>
  <c r="D14" i="36"/>
  <c r="D13" i="36"/>
  <c r="D12" i="36"/>
  <c r="D11" i="36"/>
  <c r="D10" i="36"/>
  <c r="D9" i="36"/>
  <c r="D73" i="25"/>
  <c r="D20" i="33"/>
  <c r="D19" i="33"/>
  <c r="D77" i="33"/>
  <c r="D78" i="33"/>
  <c r="G26" i="33"/>
  <c r="F26" i="33"/>
  <c r="E26" i="33"/>
  <c r="E44" i="33" s="1"/>
  <c r="G16" i="33"/>
  <c r="F16" i="33"/>
  <c r="E16" i="33"/>
  <c r="AL79" i="33"/>
  <c r="AK79" i="33"/>
  <c r="AJ79" i="33"/>
  <c r="AI79" i="33"/>
  <c r="AH79" i="33"/>
  <c r="AG79" i="33"/>
  <c r="AF79" i="33"/>
  <c r="AE79" i="33"/>
  <c r="AD79" i="33"/>
  <c r="AC79" i="33"/>
  <c r="AB79" i="33"/>
  <c r="AA79" i="33"/>
  <c r="Z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AF78" i="33"/>
  <c r="N78" i="33"/>
  <c r="C78" i="33"/>
  <c r="Z78" i="33" s="1"/>
  <c r="C77" i="33"/>
  <c r="AF77" i="33" s="1"/>
  <c r="F72" i="33"/>
  <c r="G72" i="33" s="1"/>
  <c r="H72" i="33" s="1"/>
  <c r="I72" i="33" s="1"/>
  <c r="J72" i="33" s="1"/>
  <c r="K72" i="33" s="1"/>
  <c r="L72" i="33" s="1"/>
  <c r="M72" i="33" s="1"/>
  <c r="N72" i="33" s="1"/>
  <c r="O72" i="33" s="1"/>
  <c r="P72" i="33" s="1"/>
  <c r="Q72" i="33" s="1"/>
  <c r="R72" i="33" s="1"/>
  <c r="S72" i="33" s="1"/>
  <c r="T72" i="33" s="1"/>
  <c r="U72" i="33" s="1"/>
  <c r="V72" i="33" s="1"/>
  <c r="W72" i="33" s="1"/>
  <c r="X72" i="33" s="1"/>
  <c r="Y72" i="33" s="1"/>
  <c r="Z72" i="33" s="1"/>
  <c r="AA72" i="33" s="1"/>
  <c r="AB72" i="33" s="1"/>
  <c r="AC72" i="33" s="1"/>
  <c r="AD72" i="33" s="1"/>
  <c r="AE72" i="33" s="1"/>
  <c r="AF72" i="33" s="1"/>
  <c r="AG72" i="33" s="1"/>
  <c r="AH72" i="33" s="1"/>
  <c r="AI72" i="33" s="1"/>
  <c r="AJ72" i="33" s="1"/>
  <c r="AK72" i="33" s="1"/>
  <c r="E72" i="33"/>
  <c r="AL71" i="33"/>
  <c r="AK71" i="33"/>
  <c r="AJ71" i="33"/>
  <c r="AI71" i="33"/>
  <c r="AH71" i="33"/>
  <c r="AG71" i="33"/>
  <c r="AF71" i="33"/>
  <c r="AE71" i="33"/>
  <c r="AD71" i="33"/>
  <c r="AC71" i="33"/>
  <c r="AB71" i="33"/>
  <c r="AA71" i="33"/>
  <c r="Z71" i="33"/>
  <c r="Y71" i="33"/>
  <c r="X71" i="33"/>
  <c r="W71" i="33"/>
  <c r="V71" i="33"/>
  <c r="U71" i="33"/>
  <c r="T71" i="33"/>
  <c r="S71" i="33"/>
  <c r="R71" i="33"/>
  <c r="Q71" i="33"/>
  <c r="P71" i="33"/>
  <c r="O71" i="33"/>
  <c r="N71" i="33"/>
  <c r="M71" i="33"/>
  <c r="L71" i="33"/>
  <c r="K71" i="33"/>
  <c r="J71" i="33"/>
  <c r="I71" i="33"/>
  <c r="H71" i="33"/>
  <c r="G71" i="33"/>
  <c r="F71" i="33"/>
  <c r="E71" i="33"/>
  <c r="AL70" i="33"/>
  <c r="AK70" i="33"/>
  <c r="AJ70" i="33"/>
  <c r="AI70" i="33"/>
  <c r="AH70" i="33"/>
  <c r="AG70" i="33"/>
  <c r="AF70" i="33"/>
  <c r="AE70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L70" i="33"/>
  <c r="K70" i="33"/>
  <c r="J70" i="33"/>
  <c r="I70" i="33"/>
  <c r="H70" i="33"/>
  <c r="G70" i="33"/>
  <c r="F70" i="33"/>
  <c r="E70" i="33"/>
  <c r="AL69" i="33"/>
  <c r="AK69" i="33"/>
  <c r="AJ69" i="33"/>
  <c r="AI69" i="33"/>
  <c r="AH69" i="33"/>
  <c r="AG69" i="33"/>
  <c r="AF69" i="33"/>
  <c r="AE69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AL68" i="33"/>
  <c r="AK68" i="33"/>
  <c r="AJ68" i="33"/>
  <c r="AI68" i="33"/>
  <c r="AH68" i="33"/>
  <c r="AG68" i="33"/>
  <c r="AF68" i="33"/>
  <c r="AE68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AL67" i="33"/>
  <c r="AK67" i="33"/>
  <c r="AJ67" i="33"/>
  <c r="AI67" i="33"/>
  <c r="AH67" i="33"/>
  <c r="AG67" i="33"/>
  <c r="AF67" i="33"/>
  <c r="AE67" i="33"/>
  <c r="AD67" i="33"/>
  <c r="AC67" i="33"/>
  <c r="AB67" i="33"/>
  <c r="AA67" i="33"/>
  <c r="Z67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AL66" i="33"/>
  <c r="AK66" i="33"/>
  <c r="AJ66" i="33"/>
  <c r="AI66" i="33"/>
  <c r="AH66" i="33"/>
  <c r="AG66" i="33"/>
  <c r="AF66" i="33"/>
  <c r="AE66" i="33"/>
  <c r="AD66" i="33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AL65" i="33"/>
  <c r="AK65" i="33"/>
  <c r="AJ65" i="33"/>
  <c r="AI65" i="33"/>
  <c r="AH65" i="33"/>
  <c r="AG65" i="33"/>
  <c r="AF65" i="33"/>
  <c r="AE65" i="33"/>
  <c r="AD65" i="33"/>
  <c r="AC65" i="33"/>
  <c r="AB65" i="33"/>
  <c r="AA65" i="33"/>
  <c r="Z65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AL64" i="33"/>
  <c r="AK64" i="33"/>
  <c r="AJ64" i="33"/>
  <c r="AI64" i="33"/>
  <c r="AH64" i="33"/>
  <c r="AG64" i="33"/>
  <c r="AF64" i="33"/>
  <c r="AE64" i="33"/>
  <c r="AD64" i="33"/>
  <c r="AC64" i="33"/>
  <c r="AB64" i="33"/>
  <c r="AA64" i="33"/>
  <c r="Z64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AL63" i="33"/>
  <c r="AK63" i="33"/>
  <c r="AJ63" i="33"/>
  <c r="AI63" i="33"/>
  <c r="AH63" i="33"/>
  <c r="AG63" i="33"/>
  <c r="AF63" i="33"/>
  <c r="AE63" i="33"/>
  <c r="AD63" i="33"/>
  <c r="AC63" i="33"/>
  <c r="AB63" i="33"/>
  <c r="AA63" i="33"/>
  <c r="Z63" i="33"/>
  <c r="Y63" i="33"/>
  <c r="X63" i="33"/>
  <c r="W63" i="33"/>
  <c r="V63" i="33"/>
  <c r="U63" i="33"/>
  <c r="T63" i="33"/>
  <c r="S63" i="33"/>
  <c r="R63" i="33"/>
  <c r="Q63" i="33"/>
  <c r="P63" i="33"/>
  <c r="O63" i="33"/>
  <c r="N63" i="33"/>
  <c r="M63" i="33"/>
  <c r="L63" i="33"/>
  <c r="K63" i="33"/>
  <c r="J63" i="33"/>
  <c r="I63" i="33"/>
  <c r="H63" i="33"/>
  <c r="G63" i="33"/>
  <c r="F63" i="33"/>
  <c r="E63" i="33"/>
  <c r="AL62" i="33"/>
  <c r="AK62" i="33"/>
  <c r="AJ62" i="33"/>
  <c r="AI62" i="33"/>
  <c r="AH62" i="33"/>
  <c r="AG62" i="33"/>
  <c r="AF62" i="33"/>
  <c r="AE62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AL61" i="33"/>
  <c r="AK61" i="33"/>
  <c r="AJ61" i="33"/>
  <c r="AI61" i="33"/>
  <c r="AH61" i="33"/>
  <c r="AG61" i="33"/>
  <c r="AF61" i="33"/>
  <c r="AE61" i="33"/>
  <c r="AD61" i="33"/>
  <c r="AC61" i="33"/>
  <c r="AB61" i="33"/>
  <c r="AA61" i="33"/>
  <c r="Z61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AL60" i="33"/>
  <c r="AK60" i="33"/>
  <c r="AJ60" i="33"/>
  <c r="AI60" i="33"/>
  <c r="AH60" i="33"/>
  <c r="AG60" i="33"/>
  <c r="AF60" i="33"/>
  <c r="AE60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M60" i="33"/>
  <c r="L60" i="33"/>
  <c r="K60" i="33"/>
  <c r="J60" i="33"/>
  <c r="I60" i="33"/>
  <c r="H60" i="33"/>
  <c r="G60" i="33"/>
  <c r="F60" i="33"/>
  <c r="E60" i="33"/>
  <c r="D51" i="33"/>
  <c r="D50" i="33"/>
  <c r="D72" i="33" s="1"/>
  <c r="D49" i="33"/>
  <c r="D48" i="33"/>
  <c r="D47" i="33"/>
  <c r="D46" i="33"/>
  <c r="F44" i="33"/>
  <c r="D42" i="33"/>
  <c r="D41" i="33"/>
  <c r="D38" i="33"/>
  <c r="D71" i="33" s="1"/>
  <c r="D37" i="33"/>
  <c r="D36" i="33"/>
  <c r="D69" i="33" s="1"/>
  <c r="D35" i="33"/>
  <c r="D34" i="33"/>
  <c r="D67" i="33" s="1"/>
  <c r="D33" i="33"/>
  <c r="D66" i="33" s="1"/>
  <c r="D32" i="33"/>
  <c r="D65" i="33" s="1"/>
  <c r="D31" i="33"/>
  <c r="D64" i="33" s="1"/>
  <c r="D30" i="33"/>
  <c r="D63" i="33" s="1"/>
  <c r="D29" i="33"/>
  <c r="D62" i="33" s="1"/>
  <c r="D28" i="33"/>
  <c r="D61" i="33" s="1"/>
  <c r="D27" i="33"/>
  <c r="D60" i="33" s="1"/>
  <c r="AL26" i="33"/>
  <c r="AL44" i="33" s="1"/>
  <c r="AK26" i="33"/>
  <c r="AK44" i="33" s="1"/>
  <c r="AJ26" i="33"/>
  <c r="AJ39" i="33" s="1"/>
  <c r="AI26" i="33"/>
  <c r="AI44" i="33" s="1"/>
  <c r="AH26" i="33"/>
  <c r="AH44" i="33" s="1"/>
  <c r="AG26" i="33"/>
  <c r="AG44" i="33" s="1"/>
  <c r="AF26" i="33"/>
  <c r="AF44" i="33" s="1"/>
  <c r="AE26" i="33"/>
  <c r="AE44" i="33" s="1"/>
  <c r="AD26" i="33"/>
  <c r="AD39" i="33" s="1"/>
  <c r="AC26" i="33"/>
  <c r="AC44" i="33" s="1"/>
  <c r="AB26" i="33"/>
  <c r="AB44" i="33" s="1"/>
  <c r="AA26" i="33"/>
  <c r="AA44" i="33" s="1"/>
  <c r="Z26" i="33"/>
  <c r="Z44" i="33" s="1"/>
  <c r="Y26" i="33"/>
  <c r="Y44" i="33" s="1"/>
  <c r="X26" i="33"/>
  <c r="X39" i="33" s="1"/>
  <c r="W26" i="33"/>
  <c r="W44" i="33" s="1"/>
  <c r="V26" i="33"/>
  <c r="V44" i="33" s="1"/>
  <c r="U26" i="33"/>
  <c r="U44" i="33" s="1"/>
  <c r="T26" i="33"/>
  <c r="T44" i="33" s="1"/>
  <c r="S26" i="33"/>
  <c r="S44" i="33" s="1"/>
  <c r="R26" i="33"/>
  <c r="R39" i="33" s="1"/>
  <c r="Q26" i="33"/>
  <c r="Q44" i="33" s="1"/>
  <c r="P26" i="33"/>
  <c r="P44" i="33" s="1"/>
  <c r="O26" i="33"/>
  <c r="O44" i="33" s="1"/>
  <c r="N26" i="33"/>
  <c r="N44" i="33" s="1"/>
  <c r="M26" i="33"/>
  <c r="M39" i="33" s="1"/>
  <c r="L26" i="33"/>
  <c r="L39" i="33" s="1"/>
  <c r="K26" i="33"/>
  <c r="K44" i="33" s="1"/>
  <c r="J26" i="33"/>
  <c r="J44" i="33" s="1"/>
  <c r="I26" i="33"/>
  <c r="I44" i="33" s="1"/>
  <c r="H26" i="33"/>
  <c r="H44" i="33" s="1"/>
  <c r="G39" i="33"/>
  <c r="F39" i="33"/>
  <c r="D21" i="33"/>
  <c r="D18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D15" i="33"/>
  <c r="D14" i="33"/>
  <c r="D13" i="33"/>
  <c r="D12" i="33"/>
  <c r="D11" i="33"/>
  <c r="D10" i="33"/>
  <c r="D9" i="33"/>
  <c r="N59" i="41" l="1"/>
  <c r="D71" i="41"/>
  <c r="C102" i="41" s="1"/>
  <c r="AP59" i="41"/>
  <c r="C24" i="41"/>
  <c r="D79" i="41"/>
  <c r="AJ59" i="41"/>
  <c r="AZ59" i="41"/>
  <c r="AZ76" i="41" s="1"/>
  <c r="AZ80" i="41" s="1"/>
  <c r="AG59" i="41"/>
  <c r="AA59" i="41"/>
  <c r="AQ59" i="41"/>
  <c r="AQ76" i="41" s="1"/>
  <c r="AS59" i="41"/>
  <c r="AS76" i="41" s="1"/>
  <c r="AS80" i="41" s="1"/>
  <c r="K76" i="41"/>
  <c r="AN59" i="41"/>
  <c r="AN76" i="41" s="1"/>
  <c r="E59" i="41"/>
  <c r="E76" i="41" s="1"/>
  <c r="V59" i="41"/>
  <c r="V76" i="41" s="1"/>
  <c r="AL59" i="41"/>
  <c r="AL76" i="41" s="1"/>
  <c r="H59" i="41"/>
  <c r="H76" i="41" s="1"/>
  <c r="AO59" i="41"/>
  <c r="AO76" i="41" s="1"/>
  <c r="I59" i="41"/>
  <c r="I76" i="41" s="1"/>
  <c r="O59" i="41"/>
  <c r="O76" i="41" s="1"/>
  <c r="AE59" i="41"/>
  <c r="AE76" i="41" s="1"/>
  <c r="R59" i="41"/>
  <c r="R76" i="41" s="1"/>
  <c r="AH59" i="41"/>
  <c r="S59" i="41"/>
  <c r="S76" i="41" s="1"/>
  <c r="AI59" i="41"/>
  <c r="AW59" i="41"/>
  <c r="AW76" i="41" s="1"/>
  <c r="AT59" i="41"/>
  <c r="AY59" i="41"/>
  <c r="AU59" i="41"/>
  <c r="AX59" i="41"/>
  <c r="AV59" i="41"/>
  <c r="AX44" i="41"/>
  <c r="AU44" i="41"/>
  <c r="E39" i="41"/>
  <c r="F39" i="41"/>
  <c r="G39" i="41"/>
  <c r="H39" i="41"/>
  <c r="I39" i="41"/>
  <c r="J39" i="41"/>
  <c r="K39" i="41"/>
  <c r="L44" i="41"/>
  <c r="M44" i="41"/>
  <c r="N44" i="41"/>
  <c r="N39" i="41"/>
  <c r="O44" i="41"/>
  <c r="O39" i="41"/>
  <c r="P44" i="41"/>
  <c r="P39" i="41"/>
  <c r="Q44" i="41"/>
  <c r="Q39" i="41"/>
  <c r="R44" i="41"/>
  <c r="R39" i="41"/>
  <c r="S44" i="41"/>
  <c r="S39" i="41"/>
  <c r="T44" i="41"/>
  <c r="T39" i="41"/>
  <c r="U44" i="41"/>
  <c r="V44" i="41"/>
  <c r="V39" i="41"/>
  <c r="W44" i="41"/>
  <c r="W39" i="41"/>
  <c r="X44" i="41"/>
  <c r="X39" i="41"/>
  <c r="Y44" i="41"/>
  <c r="Y39" i="41"/>
  <c r="Z44" i="41"/>
  <c r="Z39" i="41"/>
  <c r="AA44" i="41"/>
  <c r="AA39" i="41"/>
  <c r="AB44" i="41"/>
  <c r="AB39" i="41"/>
  <c r="AC44" i="41"/>
  <c r="AC39" i="41"/>
  <c r="AD44" i="41"/>
  <c r="AD39" i="41"/>
  <c r="AE44" i="41"/>
  <c r="AE39" i="41"/>
  <c r="AF44" i="41"/>
  <c r="AF39" i="41"/>
  <c r="AG44" i="41"/>
  <c r="AG39" i="41"/>
  <c r="AH44" i="41"/>
  <c r="AH39" i="41"/>
  <c r="AI44" i="41"/>
  <c r="AI39" i="41"/>
  <c r="AJ44" i="41"/>
  <c r="AJ39" i="41"/>
  <c r="AK44" i="41"/>
  <c r="AK39" i="41"/>
  <c r="AL44" i="41"/>
  <c r="AL39" i="41"/>
  <c r="AM44" i="41"/>
  <c r="AM39" i="41"/>
  <c r="AN44" i="41"/>
  <c r="AN39" i="41"/>
  <c r="AO44" i="41"/>
  <c r="AO39" i="41"/>
  <c r="AP44" i="41"/>
  <c r="AP39" i="41"/>
  <c r="AQ44" i="41"/>
  <c r="AQ39" i="41"/>
  <c r="AR44" i="41"/>
  <c r="AR39" i="41"/>
  <c r="D70" i="41"/>
  <c r="D59" i="41" s="1"/>
  <c r="E74" i="41" s="1"/>
  <c r="C84" i="41"/>
  <c r="D44" i="41"/>
  <c r="F76" i="41"/>
  <c r="G76" i="41"/>
  <c r="J76" i="41"/>
  <c r="L76" i="41"/>
  <c r="M76" i="41"/>
  <c r="N76" i="41"/>
  <c r="P76" i="41"/>
  <c r="Q76" i="41"/>
  <c r="T76" i="41"/>
  <c r="U76" i="41"/>
  <c r="W76" i="41"/>
  <c r="X76" i="41"/>
  <c r="Y76" i="41"/>
  <c r="Z76" i="41"/>
  <c r="AA76" i="41"/>
  <c r="AB76" i="41"/>
  <c r="AC76" i="41"/>
  <c r="AD76" i="41"/>
  <c r="AF76" i="41"/>
  <c r="AG76" i="41"/>
  <c r="AH76" i="41"/>
  <c r="AI76" i="41"/>
  <c r="AJ76" i="41"/>
  <c r="AK76" i="41"/>
  <c r="AM76" i="41"/>
  <c r="AP76" i="41"/>
  <c r="AR76" i="41"/>
  <c r="AR77" i="41"/>
  <c r="AQ77" i="41"/>
  <c r="AP77" i="41"/>
  <c r="AO77" i="41"/>
  <c r="AN77" i="41"/>
  <c r="AM77" i="41"/>
  <c r="AL77" i="41"/>
  <c r="AK77" i="41"/>
  <c r="AJ77" i="41"/>
  <c r="AI77" i="41"/>
  <c r="AH77" i="41"/>
  <c r="AG77" i="41"/>
  <c r="AF77" i="41"/>
  <c r="AE77" i="41"/>
  <c r="AD77" i="41"/>
  <c r="AC77" i="41"/>
  <c r="AB77" i="41"/>
  <c r="AA77" i="41"/>
  <c r="Z77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AR78" i="41"/>
  <c r="AQ78" i="41"/>
  <c r="AP78" i="41"/>
  <c r="AO78" i="41"/>
  <c r="AN78" i="41"/>
  <c r="AM78" i="41"/>
  <c r="AL78" i="41"/>
  <c r="AK78" i="41"/>
  <c r="AJ78" i="41"/>
  <c r="AI78" i="41"/>
  <c r="AH78" i="41"/>
  <c r="AG78" i="41"/>
  <c r="AF78" i="41"/>
  <c r="AE78" i="41"/>
  <c r="AD78" i="41"/>
  <c r="AC78" i="41"/>
  <c r="AB78" i="41"/>
  <c r="AA78" i="41"/>
  <c r="Z78" i="41"/>
  <c r="Y78" i="41"/>
  <c r="X78" i="41"/>
  <c r="W78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J78" i="41"/>
  <c r="I78" i="41"/>
  <c r="H78" i="41"/>
  <c r="G78" i="41"/>
  <c r="F78" i="41"/>
  <c r="E78" i="41"/>
  <c r="AA39" i="39"/>
  <c r="Z39" i="39"/>
  <c r="K39" i="39"/>
  <c r="D16" i="39"/>
  <c r="D79" i="39"/>
  <c r="N39" i="39"/>
  <c r="O39" i="39"/>
  <c r="P39" i="39"/>
  <c r="H59" i="39"/>
  <c r="H76" i="39" s="1"/>
  <c r="Q39" i="39"/>
  <c r="J59" i="39"/>
  <c r="I59" i="39"/>
  <c r="W39" i="39"/>
  <c r="X44" i="39"/>
  <c r="K59" i="39"/>
  <c r="L59" i="39"/>
  <c r="Y39" i="39"/>
  <c r="AF39" i="39"/>
  <c r="H39" i="39"/>
  <c r="AG39" i="39"/>
  <c r="G39" i="39"/>
  <c r="I39" i="39"/>
  <c r="AD39" i="39"/>
  <c r="AE39" i="39"/>
  <c r="D26" i="39"/>
  <c r="C24" i="39" s="1"/>
  <c r="J39" i="39"/>
  <c r="E59" i="39"/>
  <c r="O59" i="39"/>
  <c r="Y59" i="39"/>
  <c r="P59" i="39"/>
  <c r="K76" i="39"/>
  <c r="S59" i="39"/>
  <c r="M59" i="39"/>
  <c r="N72" i="39"/>
  <c r="O72" i="39" s="1"/>
  <c r="P72" i="39" s="1"/>
  <c r="Q72" i="39" s="1"/>
  <c r="R72" i="39" s="1"/>
  <c r="S72" i="39" s="1"/>
  <c r="T72" i="39" s="1"/>
  <c r="U72" i="39" s="1"/>
  <c r="V72" i="39" s="1"/>
  <c r="W72" i="39" s="1"/>
  <c r="X72" i="39" s="1"/>
  <c r="Y72" i="39" s="1"/>
  <c r="Z72" i="39" s="1"/>
  <c r="AA72" i="39" s="1"/>
  <c r="AB72" i="39" s="1"/>
  <c r="AC72" i="39" s="1"/>
  <c r="R59" i="39"/>
  <c r="I76" i="39"/>
  <c r="AA59" i="39"/>
  <c r="Q59" i="39"/>
  <c r="N59" i="39"/>
  <c r="D59" i="39"/>
  <c r="T59" i="39"/>
  <c r="E76" i="39"/>
  <c r="U59" i="39"/>
  <c r="F59" i="39"/>
  <c r="V59" i="39"/>
  <c r="G59" i="39"/>
  <c r="M44" i="39"/>
  <c r="AC44" i="39"/>
  <c r="M78" i="39"/>
  <c r="AC78" i="39"/>
  <c r="N78" i="39"/>
  <c r="AD78" i="39"/>
  <c r="L39" i="39"/>
  <c r="AB39" i="39"/>
  <c r="AR39" i="39"/>
  <c r="I77" i="39"/>
  <c r="D77" i="39" s="1"/>
  <c r="Y77" i="39"/>
  <c r="AO77" i="39"/>
  <c r="O78" i="39"/>
  <c r="AE78" i="39"/>
  <c r="R44" i="39"/>
  <c r="AH44" i="39"/>
  <c r="S44" i="39"/>
  <c r="AI44" i="39"/>
  <c r="L44" i="39"/>
  <c r="T44" i="39"/>
  <c r="E44" i="39"/>
  <c r="AL44" i="39"/>
  <c r="T78" i="39"/>
  <c r="E78" i="39"/>
  <c r="U78" i="39"/>
  <c r="AK78" i="39"/>
  <c r="U44" i="39"/>
  <c r="S78" i="39"/>
  <c r="AI78" i="39"/>
  <c r="F78" i="39"/>
  <c r="V78" i="39"/>
  <c r="AL78" i="39"/>
  <c r="AJ44" i="39"/>
  <c r="F44" i="39"/>
  <c r="AJ78" i="39"/>
  <c r="G78" i="39"/>
  <c r="W78" i="39"/>
  <c r="AM78" i="39"/>
  <c r="R77" i="39"/>
  <c r="AH77" i="39"/>
  <c r="H78" i="39"/>
  <c r="X78" i="39"/>
  <c r="AN78" i="39"/>
  <c r="V44" i="39"/>
  <c r="S77" i="39"/>
  <c r="I78" i="39"/>
  <c r="Y78" i="39"/>
  <c r="AH59" i="36"/>
  <c r="AD59" i="36"/>
  <c r="K59" i="36"/>
  <c r="Q59" i="36"/>
  <c r="AI59" i="36"/>
  <c r="C24" i="36"/>
  <c r="S59" i="36"/>
  <c r="E44" i="36"/>
  <c r="E39" i="36"/>
  <c r="F44" i="36"/>
  <c r="F39" i="36"/>
  <c r="G44" i="36"/>
  <c r="G39" i="36"/>
  <c r="H44" i="36"/>
  <c r="H39" i="36"/>
  <c r="I44" i="36"/>
  <c r="I39" i="36"/>
  <c r="J44" i="36"/>
  <c r="J39" i="36"/>
  <c r="K44" i="36"/>
  <c r="K39" i="36"/>
  <c r="L44" i="36"/>
  <c r="L39" i="36"/>
  <c r="M44" i="36"/>
  <c r="M39" i="36"/>
  <c r="N44" i="36"/>
  <c r="N39" i="36"/>
  <c r="O44" i="36"/>
  <c r="O39" i="36"/>
  <c r="P44" i="36"/>
  <c r="P39" i="36"/>
  <c r="Q44" i="36"/>
  <c r="Q39" i="36"/>
  <c r="R44" i="36"/>
  <c r="R39" i="36"/>
  <c r="S44" i="36"/>
  <c r="S39" i="36"/>
  <c r="T44" i="36"/>
  <c r="T39" i="36"/>
  <c r="U44" i="36"/>
  <c r="U39" i="36"/>
  <c r="V44" i="36"/>
  <c r="V39" i="36"/>
  <c r="W44" i="36"/>
  <c r="W39" i="36"/>
  <c r="X44" i="36"/>
  <c r="X39" i="36"/>
  <c r="Y44" i="36"/>
  <c r="Y39" i="36"/>
  <c r="Z44" i="36"/>
  <c r="Z39" i="36"/>
  <c r="AA44" i="36"/>
  <c r="AA39" i="36"/>
  <c r="AB44" i="36"/>
  <c r="AB39" i="36"/>
  <c r="AC44" i="36"/>
  <c r="AC39" i="36"/>
  <c r="AD44" i="36"/>
  <c r="AD39" i="36"/>
  <c r="AE44" i="36"/>
  <c r="AE39" i="36"/>
  <c r="AF44" i="36"/>
  <c r="AF39" i="36"/>
  <c r="AG44" i="36"/>
  <c r="AG39" i="36"/>
  <c r="AH44" i="36"/>
  <c r="AH39" i="36"/>
  <c r="AI44" i="36"/>
  <c r="AI39" i="36"/>
  <c r="AJ44" i="36"/>
  <c r="AJ39" i="36"/>
  <c r="AK44" i="36"/>
  <c r="AK39" i="36"/>
  <c r="AL44" i="36"/>
  <c r="AL39" i="36"/>
  <c r="AM44" i="36"/>
  <c r="AM39" i="36"/>
  <c r="AN44" i="36"/>
  <c r="AN39" i="36"/>
  <c r="AO44" i="36"/>
  <c r="AO39" i="36"/>
  <c r="AP44" i="36"/>
  <c r="AP39" i="36"/>
  <c r="AQ44" i="36"/>
  <c r="AQ39" i="36"/>
  <c r="AR44" i="36"/>
  <c r="AR39" i="36"/>
  <c r="D70" i="36"/>
  <c r="D59" i="36" s="1"/>
  <c r="D39" i="36"/>
  <c r="C84" i="36"/>
  <c r="D44" i="36"/>
  <c r="E76" i="36"/>
  <c r="D74" i="36"/>
  <c r="F76" i="36"/>
  <c r="G76" i="36"/>
  <c r="H76" i="36"/>
  <c r="I76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V76" i="36"/>
  <c r="W76" i="36"/>
  <c r="X76" i="36"/>
  <c r="Y76" i="36"/>
  <c r="Z76" i="36"/>
  <c r="AA76" i="36"/>
  <c r="AB76" i="36"/>
  <c r="AC76" i="36"/>
  <c r="AD76" i="36"/>
  <c r="AE76" i="36"/>
  <c r="AF76" i="36"/>
  <c r="AG76" i="36"/>
  <c r="AH76" i="36"/>
  <c r="AI76" i="36"/>
  <c r="AJ76" i="36"/>
  <c r="AK76" i="36"/>
  <c r="AL76" i="36"/>
  <c r="AM76" i="36"/>
  <c r="AN76" i="36"/>
  <c r="AO76" i="36"/>
  <c r="AP76" i="36"/>
  <c r="AQ76" i="36"/>
  <c r="AR76" i="36"/>
  <c r="AR77" i="36"/>
  <c r="AQ77" i="36"/>
  <c r="AP77" i="36"/>
  <c r="AO77" i="36"/>
  <c r="AN77" i="36"/>
  <c r="AM77" i="36"/>
  <c r="AL77" i="36"/>
  <c r="AK77" i="36"/>
  <c r="AJ77" i="36"/>
  <c r="AI77" i="36"/>
  <c r="AH77" i="36"/>
  <c r="AG77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 s="1"/>
  <c r="AR78" i="36"/>
  <c r="AQ78" i="36"/>
  <c r="AP78" i="36"/>
  <c r="AO78" i="36"/>
  <c r="AN78" i="36"/>
  <c r="AM78" i="36"/>
  <c r="AL78" i="36"/>
  <c r="AK78" i="36"/>
  <c r="AJ78" i="36"/>
  <c r="AI78" i="36"/>
  <c r="AH78" i="36"/>
  <c r="AG78" i="36"/>
  <c r="AF78" i="36"/>
  <c r="AE78" i="36"/>
  <c r="AD78" i="36"/>
  <c r="AC78" i="36"/>
  <c r="AB78" i="36"/>
  <c r="AA78" i="36"/>
  <c r="Z78" i="36"/>
  <c r="Y78" i="36"/>
  <c r="X78" i="36"/>
  <c r="W78" i="36"/>
  <c r="V78" i="36"/>
  <c r="U78" i="36"/>
  <c r="T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 s="1"/>
  <c r="AF39" i="33"/>
  <c r="D79" i="33"/>
  <c r="N39" i="33"/>
  <c r="S59" i="33"/>
  <c r="S76" i="33" s="1"/>
  <c r="M59" i="33"/>
  <c r="M76" i="33" s="1"/>
  <c r="D16" i="33"/>
  <c r="T39" i="33"/>
  <c r="H77" i="33"/>
  <c r="AL78" i="33"/>
  <c r="AL77" i="33"/>
  <c r="Z39" i="33"/>
  <c r="X44" i="33"/>
  <c r="N77" i="33"/>
  <c r="H78" i="33"/>
  <c r="J59" i="33"/>
  <c r="J76" i="33" s="1"/>
  <c r="J80" i="33" s="1"/>
  <c r="AL39" i="33"/>
  <c r="Z77" i="33"/>
  <c r="T78" i="33"/>
  <c r="I59" i="33"/>
  <c r="I76" i="33" s="1"/>
  <c r="T77" i="33"/>
  <c r="H39" i="33"/>
  <c r="Y59" i="33"/>
  <c r="Y76" i="33" s="1"/>
  <c r="Y80" i="33" s="1"/>
  <c r="AE59" i="33"/>
  <c r="AE76" i="33" s="1"/>
  <c r="E59" i="33"/>
  <c r="E76" i="33" s="1"/>
  <c r="G59" i="33"/>
  <c r="G76" i="33" s="1"/>
  <c r="AL72" i="33"/>
  <c r="AK59" i="33"/>
  <c r="S39" i="33"/>
  <c r="AK39" i="33"/>
  <c r="G44" i="33"/>
  <c r="AD44" i="33"/>
  <c r="Y39" i="33"/>
  <c r="L44" i="33"/>
  <c r="AJ44" i="33"/>
  <c r="H59" i="33"/>
  <c r="N59" i="33"/>
  <c r="T59" i="33"/>
  <c r="Z59" i="33"/>
  <c r="AF59" i="33"/>
  <c r="F59" i="33"/>
  <c r="L59" i="33"/>
  <c r="R59" i="33"/>
  <c r="X59" i="33"/>
  <c r="AD59" i="33"/>
  <c r="AJ59" i="33"/>
  <c r="M44" i="33"/>
  <c r="O59" i="33"/>
  <c r="U59" i="33"/>
  <c r="AA59" i="33"/>
  <c r="AG59" i="33"/>
  <c r="P59" i="33"/>
  <c r="V59" i="33"/>
  <c r="AB59" i="33"/>
  <c r="AH59" i="33"/>
  <c r="K59" i="33"/>
  <c r="Q59" i="33"/>
  <c r="W59" i="33"/>
  <c r="AC59" i="33"/>
  <c r="AI59" i="33"/>
  <c r="D70" i="33"/>
  <c r="D59" i="33" s="1"/>
  <c r="AE39" i="33"/>
  <c r="R44" i="33"/>
  <c r="I77" i="33"/>
  <c r="U77" i="33"/>
  <c r="AG77" i="33"/>
  <c r="U78" i="33"/>
  <c r="I39" i="33"/>
  <c r="O39" i="33"/>
  <c r="U39" i="33"/>
  <c r="AA39" i="33"/>
  <c r="AG39" i="33"/>
  <c r="J77" i="33"/>
  <c r="P77" i="33"/>
  <c r="V77" i="33"/>
  <c r="AB77" i="33"/>
  <c r="AH77" i="33"/>
  <c r="J78" i="33"/>
  <c r="P78" i="33"/>
  <c r="V78" i="33"/>
  <c r="AB78" i="33"/>
  <c r="AH78" i="33"/>
  <c r="O78" i="33"/>
  <c r="AA78" i="33"/>
  <c r="AG78" i="33"/>
  <c r="J39" i="33"/>
  <c r="P39" i="33"/>
  <c r="V39" i="33"/>
  <c r="AB39" i="33"/>
  <c r="AH39" i="33"/>
  <c r="E77" i="33"/>
  <c r="K77" i="33"/>
  <c r="Q77" i="33"/>
  <c r="W77" i="33"/>
  <c r="AC77" i="33"/>
  <c r="AI77" i="33"/>
  <c r="E78" i="33"/>
  <c r="K78" i="33"/>
  <c r="Q78" i="33"/>
  <c r="W78" i="33"/>
  <c r="AC78" i="33"/>
  <c r="AI78" i="33"/>
  <c r="O77" i="33"/>
  <c r="AA77" i="33"/>
  <c r="I78" i="33"/>
  <c r="D26" i="33"/>
  <c r="E39" i="33"/>
  <c r="K39" i="33"/>
  <c r="Q39" i="33"/>
  <c r="W39" i="33"/>
  <c r="AC39" i="33"/>
  <c r="AI39" i="33"/>
  <c r="F77" i="33"/>
  <c r="L77" i="33"/>
  <c r="R77" i="33"/>
  <c r="X77" i="33"/>
  <c r="AD77" i="33"/>
  <c r="AJ77" i="33"/>
  <c r="F78" i="33"/>
  <c r="L78" i="33"/>
  <c r="R78" i="33"/>
  <c r="X78" i="33"/>
  <c r="AD78" i="33"/>
  <c r="AJ78" i="33"/>
  <c r="G77" i="33"/>
  <c r="M77" i="33"/>
  <c r="S77" i="33"/>
  <c r="Y77" i="33"/>
  <c r="AE77" i="33"/>
  <c r="AK77" i="33"/>
  <c r="G78" i="33"/>
  <c r="M78" i="33"/>
  <c r="S78" i="33"/>
  <c r="Y78" i="33"/>
  <c r="AE78" i="33"/>
  <c r="AK78" i="33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C86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C85" i="29"/>
  <c r="D78" i="41" l="1"/>
  <c r="D74" i="41"/>
  <c r="AW80" i="41"/>
  <c r="AV76" i="41"/>
  <c r="AV80" i="41" s="1"/>
  <c r="AX76" i="41"/>
  <c r="AX80" i="41"/>
  <c r="AU76" i="41"/>
  <c r="AU80" i="41"/>
  <c r="AY76" i="41"/>
  <c r="AY80" i="41" s="1"/>
  <c r="AT76" i="41"/>
  <c r="AT80" i="41" s="1"/>
  <c r="AR80" i="41"/>
  <c r="AQ80" i="41"/>
  <c r="AP80" i="41"/>
  <c r="AO80" i="41"/>
  <c r="AN80" i="41"/>
  <c r="AM80" i="41"/>
  <c r="AL80" i="41"/>
  <c r="AK80" i="41"/>
  <c r="AJ80" i="41"/>
  <c r="AI80" i="41"/>
  <c r="AH80" i="41"/>
  <c r="AG80" i="41"/>
  <c r="AF80" i="41"/>
  <c r="AE80" i="41"/>
  <c r="AD80" i="41"/>
  <c r="AC80" i="41"/>
  <c r="AB80" i="41"/>
  <c r="AA80" i="41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H80" i="41"/>
  <c r="G80" i="41"/>
  <c r="F80" i="41"/>
  <c r="E80" i="41"/>
  <c r="E81" i="41" s="1"/>
  <c r="J76" i="39"/>
  <c r="J80" i="39" s="1"/>
  <c r="K80" i="39"/>
  <c r="H80" i="39"/>
  <c r="D39" i="39"/>
  <c r="D44" i="39"/>
  <c r="Z59" i="39"/>
  <c r="Z76" i="39" s="1"/>
  <c r="Z80" i="39" s="1"/>
  <c r="X59" i="39"/>
  <c r="X76" i="39" s="1"/>
  <c r="W59" i="39"/>
  <c r="W76" i="39" s="1"/>
  <c r="W80" i="39" s="1"/>
  <c r="AB59" i="39"/>
  <c r="AB76" i="39" s="1"/>
  <c r="L76" i="39"/>
  <c r="L80" i="39" s="1"/>
  <c r="C84" i="39"/>
  <c r="I80" i="39"/>
  <c r="G76" i="39"/>
  <c r="G80" i="39" s="1"/>
  <c r="AA76" i="39"/>
  <c r="AA80" i="39" s="1"/>
  <c r="M76" i="39"/>
  <c r="M80" i="39" s="1"/>
  <c r="S76" i="39"/>
  <c r="S80" i="39" s="1"/>
  <c r="V76" i="39"/>
  <c r="V80" i="39" s="1"/>
  <c r="F76" i="39"/>
  <c r="F80" i="39" s="1"/>
  <c r="U76" i="39"/>
  <c r="U80" i="39" s="1"/>
  <c r="P76" i="39"/>
  <c r="P80" i="39" s="1"/>
  <c r="Q76" i="39"/>
  <c r="Q80" i="39" s="1"/>
  <c r="D78" i="39"/>
  <c r="D74" i="39"/>
  <c r="Y76" i="39"/>
  <c r="Y80" i="39" s="1"/>
  <c r="E80" i="39"/>
  <c r="R76" i="39"/>
  <c r="R80" i="39" s="1"/>
  <c r="T76" i="39"/>
  <c r="T80" i="39" s="1"/>
  <c r="O76" i="39"/>
  <c r="O80" i="39" s="1"/>
  <c r="N76" i="39"/>
  <c r="N80" i="39" s="1"/>
  <c r="AC59" i="39"/>
  <c r="AD72" i="39"/>
  <c r="AR80" i="36"/>
  <c r="AQ80" i="36"/>
  <c r="AP80" i="36"/>
  <c r="AO80" i="36"/>
  <c r="AN80" i="36"/>
  <c r="AM80" i="36"/>
  <c r="AL80" i="36"/>
  <c r="AK80" i="36"/>
  <c r="AJ80" i="36"/>
  <c r="AI80" i="36"/>
  <c r="AH80" i="36"/>
  <c r="AG80" i="36"/>
  <c r="AF80" i="36"/>
  <c r="AE80" i="36"/>
  <c r="AD80" i="36"/>
  <c r="AC80" i="36"/>
  <c r="AB80" i="36"/>
  <c r="AA80" i="36"/>
  <c r="Z80" i="36"/>
  <c r="Y80" i="36"/>
  <c r="X80" i="36"/>
  <c r="W80" i="36"/>
  <c r="V80" i="36"/>
  <c r="U80" i="36"/>
  <c r="T80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F80" i="36"/>
  <c r="D76" i="36"/>
  <c r="D80" i="36" s="1"/>
  <c r="D82" i="36" s="1"/>
  <c r="E80" i="36"/>
  <c r="I80" i="33"/>
  <c r="D85" i="29"/>
  <c r="AE80" i="33"/>
  <c r="M80" i="33"/>
  <c r="G80" i="33"/>
  <c r="S80" i="33"/>
  <c r="E80" i="33"/>
  <c r="V76" i="33"/>
  <c r="V80" i="33" s="1"/>
  <c r="H76" i="33"/>
  <c r="H80" i="33" s="1"/>
  <c r="AK76" i="33"/>
  <c r="AK80" i="33" s="1"/>
  <c r="AI76" i="33"/>
  <c r="AI80" i="33" s="1"/>
  <c r="P76" i="33"/>
  <c r="P80" i="33" s="1"/>
  <c r="U76" i="33"/>
  <c r="U80" i="33" s="1"/>
  <c r="AD76" i="33"/>
  <c r="AD80" i="33" s="1"/>
  <c r="AL59" i="33"/>
  <c r="D44" i="33"/>
  <c r="C24" i="33"/>
  <c r="C84" i="33"/>
  <c r="AC76" i="33"/>
  <c r="AC80" i="33" s="1"/>
  <c r="D74" i="33"/>
  <c r="O76" i="33"/>
  <c r="O80" i="33" s="1"/>
  <c r="X76" i="33"/>
  <c r="X80" i="33"/>
  <c r="AF76" i="33"/>
  <c r="AF80" i="33" s="1"/>
  <c r="W76" i="33"/>
  <c r="W80" i="33" s="1"/>
  <c r="R76" i="33"/>
  <c r="R80" i="33"/>
  <c r="Z76" i="33"/>
  <c r="Z80" i="33" s="1"/>
  <c r="D39" i="33"/>
  <c r="Q76" i="33"/>
  <c r="Q80" i="33" s="1"/>
  <c r="AH76" i="33"/>
  <c r="AH80" i="33" s="1"/>
  <c r="L76" i="33"/>
  <c r="L80" i="33" s="1"/>
  <c r="T76" i="33"/>
  <c r="T80" i="33" s="1"/>
  <c r="K76" i="33"/>
  <c r="K80" i="33" s="1"/>
  <c r="AB76" i="33"/>
  <c r="AB80" i="33"/>
  <c r="AG76" i="33"/>
  <c r="AG80" i="33" s="1"/>
  <c r="F76" i="33"/>
  <c r="F80" i="33" s="1"/>
  <c r="N76" i="33"/>
  <c r="N80" i="33" s="1"/>
  <c r="AJ76" i="33"/>
  <c r="AJ80" i="33" s="1"/>
  <c r="AA76" i="33"/>
  <c r="AA80" i="33" s="1"/>
  <c r="D86" i="29"/>
  <c r="C80" i="41" l="1"/>
  <c r="D76" i="41"/>
  <c r="D80" i="41" s="1"/>
  <c r="D82" i="41" s="1"/>
  <c r="F81" i="41"/>
  <c r="G81" i="41" s="1"/>
  <c r="H81" i="41" s="1"/>
  <c r="I81" i="41" s="1"/>
  <c r="J81" i="41" s="1"/>
  <c r="K81" i="41" s="1"/>
  <c r="L81" i="41" s="1"/>
  <c r="M81" i="41" s="1"/>
  <c r="N81" i="41" s="1"/>
  <c r="O81" i="41" s="1"/>
  <c r="P81" i="41" s="1"/>
  <c r="Q81" i="41" s="1"/>
  <c r="R81" i="41" s="1"/>
  <c r="S81" i="41" s="1"/>
  <c r="T81" i="41" s="1"/>
  <c r="U81" i="41" s="1"/>
  <c r="V81" i="41" s="1"/>
  <c r="W81" i="41" s="1"/>
  <c r="X81" i="41" s="1"/>
  <c r="Y81" i="41" s="1"/>
  <c r="Z81" i="41" s="1"/>
  <c r="AA81" i="41" s="1"/>
  <c r="AB81" i="41" s="1"/>
  <c r="AC81" i="41" s="1"/>
  <c r="AD81" i="41" s="1"/>
  <c r="AE81" i="41" s="1"/>
  <c r="AF81" i="41" s="1"/>
  <c r="AG81" i="41" s="1"/>
  <c r="AH81" i="41" s="1"/>
  <c r="AI81" i="41" s="1"/>
  <c r="AJ81" i="41" s="1"/>
  <c r="AK81" i="41" s="1"/>
  <c r="AL81" i="41" s="1"/>
  <c r="AM81" i="41" s="1"/>
  <c r="AN81" i="41" s="1"/>
  <c r="AO81" i="41" s="1"/>
  <c r="AP81" i="41" s="1"/>
  <c r="AQ81" i="41" s="1"/>
  <c r="AR81" i="41" s="1"/>
  <c r="AS81" i="41" s="1"/>
  <c r="AT81" i="41" s="1"/>
  <c r="AU81" i="41" s="1"/>
  <c r="AV81" i="41" s="1"/>
  <c r="AW81" i="41" s="1"/>
  <c r="AX81" i="41" s="1"/>
  <c r="AY81" i="41" s="1"/>
  <c r="AZ81" i="41" s="1"/>
  <c r="AB80" i="39"/>
  <c r="X80" i="39"/>
  <c r="D76" i="39"/>
  <c r="D80" i="39" s="1"/>
  <c r="D82" i="39" s="1"/>
  <c r="AE72" i="39"/>
  <c r="AD59" i="39"/>
  <c r="AC76" i="39"/>
  <c r="AC80" i="39" s="1"/>
  <c r="C80" i="39"/>
  <c r="E81" i="39"/>
  <c r="F81" i="39" s="1"/>
  <c r="G81" i="39" s="1"/>
  <c r="H81" i="39" s="1"/>
  <c r="I81" i="39" s="1"/>
  <c r="J81" i="39" s="1"/>
  <c r="K81" i="39" s="1"/>
  <c r="L81" i="39" s="1"/>
  <c r="M81" i="39" s="1"/>
  <c r="N81" i="39" s="1"/>
  <c r="O81" i="39" s="1"/>
  <c r="P81" i="39" s="1"/>
  <c r="Q81" i="39" s="1"/>
  <c r="R81" i="39" s="1"/>
  <c r="S81" i="39" s="1"/>
  <c r="T81" i="39" s="1"/>
  <c r="U81" i="39" s="1"/>
  <c r="V81" i="39" s="1"/>
  <c r="W81" i="39" s="1"/>
  <c r="X81" i="39" s="1"/>
  <c r="Y81" i="39" s="1"/>
  <c r="Z81" i="39" s="1"/>
  <c r="AA81" i="39" s="1"/>
  <c r="E81" i="36"/>
  <c r="C80" i="36"/>
  <c r="F81" i="36"/>
  <c r="G81" i="36" s="1"/>
  <c r="H81" i="36" s="1"/>
  <c r="I81" i="36" s="1"/>
  <c r="J81" i="36" s="1"/>
  <c r="K81" i="36" s="1"/>
  <c r="L81" i="36" s="1"/>
  <c r="M81" i="36" s="1"/>
  <c r="N81" i="36" s="1"/>
  <c r="O81" i="36" s="1"/>
  <c r="P81" i="36" s="1"/>
  <c r="Q81" i="36" s="1"/>
  <c r="R81" i="36" s="1"/>
  <c r="S81" i="36" s="1"/>
  <c r="T81" i="36" s="1"/>
  <c r="U81" i="36" s="1"/>
  <c r="V81" i="36" s="1"/>
  <c r="W81" i="36" s="1"/>
  <c r="X81" i="36" s="1"/>
  <c r="Y81" i="36" s="1"/>
  <c r="Z81" i="36" s="1"/>
  <c r="AA81" i="36" s="1"/>
  <c r="AB81" i="36" s="1"/>
  <c r="AC81" i="36" s="1"/>
  <c r="AD81" i="36" s="1"/>
  <c r="AE81" i="36" s="1"/>
  <c r="AF81" i="36" s="1"/>
  <c r="AG81" i="36" s="1"/>
  <c r="AH81" i="36" s="1"/>
  <c r="AI81" i="36" s="1"/>
  <c r="AJ81" i="36" s="1"/>
  <c r="AK81" i="36" s="1"/>
  <c r="AL81" i="36" s="1"/>
  <c r="AM81" i="36" s="1"/>
  <c r="AN81" i="36" s="1"/>
  <c r="AO81" i="36" s="1"/>
  <c r="AP81" i="36" s="1"/>
  <c r="AQ81" i="36" s="1"/>
  <c r="AR81" i="36" s="1"/>
  <c r="E81" i="33"/>
  <c r="F81" i="33" s="1"/>
  <c r="G81" i="33" s="1"/>
  <c r="H81" i="33" s="1"/>
  <c r="I81" i="33" s="1"/>
  <c r="J81" i="33" s="1"/>
  <c r="K81" i="33" s="1"/>
  <c r="L81" i="33" s="1"/>
  <c r="M81" i="33" s="1"/>
  <c r="N81" i="33" s="1"/>
  <c r="O81" i="33" s="1"/>
  <c r="P81" i="33" s="1"/>
  <c r="Q81" i="33" s="1"/>
  <c r="R81" i="33" s="1"/>
  <c r="S81" i="33" s="1"/>
  <c r="T81" i="33" s="1"/>
  <c r="U81" i="33" s="1"/>
  <c r="V81" i="33" s="1"/>
  <c r="W81" i="33" s="1"/>
  <c r="X81" i="33" s="1"/>
  <c r="Y81" i="33" s="1"/>
  <c r="Z81" i="33" s="1"/>
  <c r="AA81" i="33" s="1"/>
  <c r="AB81" i="33" s="1"/>
  <c r="AC81" i="33" s="1"/>
  <c r="AD81" i="33" s="1"/>
  <c r="AE81" i="33" s="1"/>
  <c r="AF81" i="33" s="1"/>
  <c r="AG81" i="33" s="1"/>
  <c r="AH81" i="33" s="1"/>
  <c r="AI81" i="33" s="1"/>
  <c r="AJ81" i="33" s="1"/>
  <c r="AK81" i="33" s="1"/>
  <c r="AL76" i="33"/>
  <c r="AL80" i="33" s="1"/>
  <c r="C80" i="33" s="1"/>
  <c r="E6" i="27"/>
  <c r="AN79" i="29"/>
  <c r="AM79" i="29"/>
  <c r="AL79" i="29"/>
  <c r="AK79" i="29"/>
  <c r="AJ79" i="29"/>
  <c r="AI79" i="29"/>
  <c r="AH79" i="29"/>
  <c r="AG79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C78" i="29"/>
  <c r="C77" i="29"/>
  <c r="E72" i="29"/>
  <c r="F72" i="29" s="1"/>
  <c r="G72" i="29" s="1"/>
  <c r="H72" i="29" s="1"/>
  <c r="I72" i="29" s="1"/>
  <c r="J72" i="29" s="1"/>
  <c r="K72" i="29" s="1"/>
  <c r="L72" i="29" s="1"/>
  <c r="M72" i="29" s="1"/>
  <c r="N72" i="29" s="1"/>
  <c r="O72" i="29" s="1"/>
  <c r="P72" i="29" s="1"/>
  <c r="Q72" i="29" s="1"/>
  <c r="R72" i="29" s="1"/>
  <c r="S72" i="29" s="1"/>
  <c r="T72" i="29" s="1"/>
  <c r="U72" i="29" s="1"/>
  <c r="V72" i="29" s="1"/>
  <c r="W72" i="29" s="1"/>
  <c r="X72" i="29" s="1"/>
  <c r="Y72" i="29" s="1"/>
  <c r="Z72" i="29" s="1"/>
  <c r="AA72" i="29" s="1"/>
  <c r="AB72" i="29" s="1"/>
  <c r="AC72" i="29" s="1"/>
  <c r="AD72" i="29" s="1"/>
  <c r="AE72" i="29" s="1"/>
  <c r="AF72" i="29" s="1"/>
  <c r="AG72" i="29" s="1"/>
  <c r="AH72" i="29" s="1"/>
  <c r="AI72" i="29" s="1"/>
  <c r="AJ72" i="29" s="1"/>
  <c r="AK72" i="29" s="1"/>
  <c r="AL72" i="29" s="1"/>
  <c r="AM72" i="29" s="1"/>
  <c r="AN72" i="29" s="1"/>
  <c r="AN59" i="29" s="1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AN70" i="29"/>
  <c r="AM70" i="29"/>
  <c r="AL70" i="29"/>
  <c r="AK70" i="29"/>
  <c r="AJ70" i="29"/>
  <c r="AI70" i="29"/>
  <c r="AH70" i="29"/>
  <c r="AG70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AN69" i="29"/>
  <c r="AM69" i="29"/>
  <c r="AL69" i="29"/>
  <c r="AK69" i="29"/>
  <c r="AJ69" i="29"/>
  <c r="AI69" i="29"/>
  <c r="AH69" i="29"/>
  <c r="AG69" i="29"/>
  <c r="AF69" i="29"/>
  <c r="AE69" i="29"/>
  <c r="AD69" i="29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AN68" i="29"/>
  <c r="AM68" i="29"/>
  <c r="AL68" i="29"/>
  <c r="AK68" i="29"/>
  <c r="AJ68" i="29"/>
  <c r="AI68" i="29"/>
  <c r="AH68" i="29"/>
  <c r="AG68" i="29"/>
  <c r="AF68" i="29"/>
  <c r="AE68" i="29"/>
  <c r="AD68" i="29"/>
  <c r="AC68" i="29"/>
  <c r="AB68" i="29"/>
  <c r="AA68" i="29"/>
  <c r="Z68" i="29"/>
  <c r="Y68" i="29"/>
  <c r="X68" i="29"/>
  <c r="W68" i="29"/>
  <c r="V68" i="29"/>
  <c r="U68" i="29"/>
  <c r="T68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AN67" i="29"/>
  <c r="AM67" i="29"/>
  <c r="AL67" i="29"/>
  <c r="AK67" i="29"/>
  <c r="AJ67" i="29"/>
  <c r="AI67" i="29"/>
  <c r="AH67" i="29"/>
  <c r="AG67" i="29"/>
  <c r="AF67" i="29"/>
  <c r="AE67" i="29"/>
  <c r="AD67" i="29"/>
  <c r="AC67" i="29"/>
  <c r="AB67" i="29"/>
  <c r="AA67" i="29"/>
  <c r="Z67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AN66" i="29"/>
  <c r="AM66" i="29"/>
  <c r="AL66" i="29"/>
  <c r="AK66" i="29"/>
  <c r="AJ66" i="29"/>
  <c r="AI66" i="29"/>
  <c r="AH66" i="29"/>
  <c r="AG66" i="29"/>
  <c r="AF66" i="29"/>
  <c r="AE66" i="29"/>
  <c r="AD66" i="29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AN65" i="29"/>
  <c r="AM65" i="29"/>
  <c r="AL65" i="29"/>
  <c r="AK65" i="29"/>
  <c r="AJ65" i="29"/>
  <c r="AI65" i="29"/>
  <c r="AH65" i="29"/>
  <c r="AG65" i="29"/>
  <c r="AF65" i="29"/>
  <c r="AE65" i="29"/>
  <c r="AD65" i="29"/>
  <c r="AC65" i="29"/>
  <c r="AB65" i="29"/>
  <c r="AA65" i="29"/>
  <c r="Z65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AN64" i="29"/>
  <c r="AM64" i="29"/>
  <c r="AL64" i="29"/>
  <c r="AK64" i="29"/>
  <c r="AJ64" i="29"/>
  <c r="AI64" i="29"/>
  <c r="AH64" i="29"/>
  <c r="AG64" i="29"/>
  <c r="AF64" i="29"/>
  <c r="AE64" i="29"/>
  <c r="AD64" i="29"/>
  <c r="AC64" i="29"/>
  <c r="AB64" i="29"/>
  <c r="AA64" i="29"/>
  <c r="Z64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AN63" i="29"/>
  <c r="AM63" i="29"/>
  <c r="AL63" i="29"/>
  <c r="AK63" i="29"/>
  <c r="AJ63" i="29"/>
  <c r="AI63" i="29"/>
  <c r="AH63" i="29"/>
  <c r="AG63" i="29"/>
  <c r="AF63" i="29"/>
  <c r="AE63" i="29"/>
  <c r="AD63" i="29"/>
  <c r="AC63" i="29"/>
  <c r="AB63" i="29"/>
  <c r="AA63" i="29"/>
  <c r="Z63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AN62" i="29"/>
  <c r="AM62" i="29"/>
  <c r="AL62" i="29"/>
  <c r="AK62" i="29"/>
  <c r="AJ62" i="29"/>
  <c r="AI62" i="29"/>
  <c r="AH62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AN61" i="29"/>
  <c r="AM61" i="29"/>
  <c r="AL61" i="29"/>
  <c r="AK61" i="29"/>
  <c r="AJ61" i="29"/>
  <c r="AI61" i="29"/>
  <c r="AH61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AN60" i="29"/>
  <c r="AM60" i="29"/>
  <c r="AL60" i="29"/>
  <c r="AK60" i="29"/>
  <c r="AJ60" i="29"/>
  <c r="AI60" i="29"/>
  <c r="AH60" i="29"/>
  <c r="AG60" i="29"/>
  <c r="AF60" i="29"/>
  <c r="AF59" i="29" s="1"/>
  <c r="AE60" i="29"/>
  <c r="AE59" i="29" s="1"/>
  <c r="AD60" i="29"/>
  <c r="AC60" i="29"/>
  <c r="AC59" i="29" s="1"/>
  <c r="AB60" i="29"/>
  <c r="AA60" i="29"/>
  <c r="AA59" i="29" s="1"/>
  <c r="Z60" i="29"/>
  <c r="Z59" i="29" s="1"/>
  <c r="Y60" i="29"/>
  <c r="Y59" i="29" s="1"/>
  <c r="X60" i="29"/>
  <c r="W60" i="29"/>
  <c r="V60" i="29"/>
  <c r="U60" i="29"/>
  <c r="T60" i="29"/>
  <c r="S60" i="29"/>
  <c r="R60" i="29"/>
  <c r="Q60" i="29"/>
  <c r="P60" i="29"/>
  <c r="O60" i="29"/>
  <c r="N60" i="29"/>
  <c r="N59" i="29" s="1"/>
  <c r="M60" i="29"/>
  <c r="M59" i="29" s="1"/>
  <c r="L60" i="29"/>
  <c r="K60" i="29"/>
  <c r="J60" i="29"/>
  <c r="I60" i="29"/>
  <c r="I59" i="29" s="1"/>
  <c r="H60" i="29"/>
  <c r="H59" i="29" s="1"/>
  <c r="G60" i="29"/>
  <c r="G59" i="29" s="1"/>
  <c r="F60" i="29"/>
  <c r="E60" i="29"/>
  <c r="AD59" i="29"/>
  <c r="AB59" i="29"/>
  <c r="X59" i="29"/>
  <c r="K59" i="29"/>
  <c r="J59" i="29"/>
  <c r="E59" i="29"/>
  <c r="D51" i="29"/>
  <c r="D50" i="29"/>
  <c r="D72" i="29" s="1"/>
  <c r="D49" i="29"/>
  <c r="D48" i="29"/>
  <c r="D47" i="29"/>
  <c r="D46" i="29"/>
  <c r="D42" i="29"/>
  <c r="D41" i="29"/>
  <c r="C83" i="29" s="1"/>
  <c r="D38" i="29"/>
  <c r="D71" i="29" s="1"/>
  <c r="D37" i="29"/>
  <c r="D36" i="29"/>
  <c r="D69" i="29" s="1"/>
  <c r="D35" i="29"/>
  <c r="D68" i="29" s="1"/>
  <c r="D34" i="29"/>
  <c r="D67" i="29" s="1"/>
  <c r="D33" i="29"/>
  <c r="D66" i="29" s="1"/>
  <c r="D32" i="29"/>
  <c r="D65" i="29" s="1"/>
  <c r="D31" i="29"/>
  <c r="D64" i="29" s="1"/>
  <c r="D30" i="29"/>
  <c r="D63" i="29" s="1"/>
  <c r="D29" i="29"/>
  <c r="D62" i="29" s="1"/>
  <c r="D28" i="29"/>
  <c r="D61" i="29" s="1"/>
  <c r="D27" i="29"/>
  <c r="D60" i="29" s="1"/>
  <c r="AN26" i="29"/>
  <c r="AM26" i="29"/>
  <c r="AL26" i="29"/>
  <c r="AK26" i="29"/>
  <c r="AJ26" i="29"/>
  <c r="AI26" i="29"/>
  <c r="AH26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1" i="29"/>
  <c r="D20" i="29"/>
  <c r="D19" i="29"/>
  <c r="D18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D15" i="29"/>
  <c r="D14" i="29"/>
  <c r="D13" i="29"/>
  <c r="D12" i="29"/>
  <c r="D11" i="29"/>
  <c r="D10" i="29"/>
  <c r="D9" i="29"/>
  <c r="A64" i="28"/>
  <c r="A80" i="28"/>
  <c r="A79" i="28"/>
  <c r="D95" i="27"/>
  <c r="AB81" i="39" l="1"/>
  <c r="AC81" i="39"/>
  <c r="AF72" i="39"/>
  <c r="AE59" i="39"/>
  <c r="AD76" i="39"/>
  <c r="AD80" i="39"/>
  <c r="D76" i="33"/>
  <c r="D80" i="33" s="1"/>
  <c r="D82" i="33" s="1"/>
  <c r="T59" i="29"/>
  <c r="AL59" i="29"/>
  <c r="L59" i="29"/>
  <c r="O59" i="29"/>
  <c r="AM59" i="29"/>
  <c r="AM76" i="29" s="1"/>
  <c r="AM80" i="29" s="1"/>
  <c r="AM87" i="29" s="1"/>
  <c r="F59" i="29"/>
  <c r="F80" i="29" s="1"/>
  <c r="F87" i="29" s="1"/>
  <c r="P59" i="29"/>
  <c r="R59" i="29"/>
  <c r="AL81" i="33"/>
  <c r="AK59" i="29"/>
  <c r="AJ59" i="29"/>
  <c r="AJ76" i="29" s="1"/>
  <c r="AJ80" i="29" s="1"/>
  <c r="AJ87" i="29" s="1"/>
  <c r="AI59" i="29"/>
  <c r="AI76" i="29" s="1"/>
  <c r="AI80" i="29" s="1"/>
  <c r="AI87" i="29" s="1"/>
  <c r="AH59" i="29"/>
  <c r="AG59" i="29"/>
  <c r="AG76" i="29" s="1"/>
  <c r="AG80" i="29" s="1"/>
  <c r="AG87" i="29" s="1"/>
  <c r="W59" i="29"/>
  <c r="V59" i="29"/>
  <c r="U59" i="29"/>
  <c r="U76" i="29" s="1"/>
  <c r="U80" i="29" s="1"/>
  <c r="U87" i="29" s="1"/>
  <c r="E80" i="29"/>
  <c r="Q59" i="29"/>
  <c r="Q76" i="29" s="1"/>
  <c r="Q80" i="29" s="1"/>
  <c r="Q87" i="29" s="1"/>
  <c r="S59" i="29"/>
  <c r="S76" i="29" s="1"/>
  <c r="AN80" i="29"/>
  <c r="AN87" i="29" s="1"/>
  <c r="D26" i="29"/>
  <c r="D39" i="29" s="1"/>
  <c r="D79" i="29"/>
  <c r="E44" i="29"/>
  <c r="E39" i="29"/>
  <c r="F44" i="29"/>
  <c r="F39" i="29"/>
  <c r="G44" i="29"/>
  <c r="G39" i="29"/>
  <c r="H44" i="29"/>
  <c r="H39" i="29"/>
  <c r="I44" i="29"/>
  <c r="I39" i="29"/>
  <c r="J44" i="29"/>
  <c r="J39" i="29"/>
  <c r="K44" i="29"/>
  <c r="K39" i="29"/>
  <c r="L44" i="29"/>
  <c r="L39" i="29"/>
  <c r="M44" i="29"/>
  <c r="M39" i="29"/>
  <c r="N44" i="29"/>
  <c r="N39" i="29"/>
  <c r="O44" i="29"/>
  <c r="O39" i="29"/>
  <c r="P44" i="29"/>
  <c r="P39" i="29"/>
  <c r="Q44" i="29"/>
  <c r="Q39" i="29"/>
  <c r="R44" i="29"/>
  <c r="R39" i="29"/>
  <c r="S44" i="29"/>
  <c r="S39" i="29"/>
  <c r="T44" i="29"/>
  <c r="T39" i="29"/>
  <c r="U44" i="29"/>
  <c r="U39" i="29"/>
  <c r="V44" i="29"/>
  <c r="V39" i="29"/>
  <c r="W44" i="29"/>
  <c r="W39" i="29"/>
  <c r="X44" i="29"/>
  <c r="X39" i="29"/>
  <c r="Y44" i="29"/>
  <c r="Y39" i="29"/>
  <c r="Z44" i="29"/>
  <c r="Z39" i="29"/>
  <c r="AA44" i="29"/>
  <c r="AA39" i="29"/>
  <c r="AB44" i="29"/>
  <c r="AB39" i="29"/>
  <c r="AC44" i="29"/>
  <c r="AC39" i="29"/>
  <c r="AD44" i="29"/>
  <c r="AD39" i="29"/>
  <c r="AE44" i="29"/>
  <c r="AE39" i="29"/>
  <c r="AF44" i="29"/>
  <c r="AF39" i="29"/>
  <c r="AG44" i="29"/>
  <c r="AG39" i="29"/>
  <c r="AH44" i="29"/>
  <c r="AH39" i="29"/>
  <c r="AI44" i="29"/>
  <c r="AI39" i="29"/>
  <c r="AJ44" i="29"/>
  <c r="AJ39" i="29"/>
  <c r="AK44" i="29"/>
  <c r="AK39" i="29"/>
  <c r="AL44" i="29"/>
  <c r="AL39" i="29"/>
  <c r="AM44" i="29"/>
  <c r="AM39" i="29"/>
  <c r="AN44" i="29"/>
  <c r="AN39" i="29"/>
  <c r="D70" i="29"/>
  <c r="D59" i="29" s="1"/>
  <c r="E76" i="29"/>
  <c r="F76" i="29"/>
  <c r="G76" i="29"/>
  <c r="H76" i="29"/>
  <c r="I76" i="29"/>
  <c r="I80" i="29" s="1"/>
  <c r="J76" i="29"/>
  <c r="K76" i="29"/>
  <c r="K80" i="29" s="1"/>
  <c r="L76" i="29"/>
  <c r="M76" i="29"/>
  <c r="N76" i="29"/>
  <c r="O76" i="29"/>
  <c r="O80" i="29" s="1"/>
  <c r="O87" i="29" s="1"/>
  <c r="P76" i="29"/>
  <c r="R76" i="29"/>
  <c r="R80" i="29" s="1"/>
  <c r="R87" i="29" s="1"/>
  <c r="T76" i="29"/>
  <c r="T80" i="29" s="1"/>
  <c r="T87" i="29" s="1"/>
  <c r="V76" i="29"/>
  <c r="W76" i="29"/>
  <c r="W80" i="29" s="1"/>
  <c r="W87" i="29" s="1"/>
  <c r="X76" i="29"/>
  <c r="Y76" i="29"/>
  <c r="Z76" i="29"/>
  <c r="AA76" i="29"/>
  <c r="AB76" i="29"/>
  <c r="AC76" i="29"/>
  <c r="AC80" i="29" s="1"/>
  <c r="AC87" i="29" s="1"/>
  <c r="AD76" i="29"/>
  <c r="AE76" i="29"/>
  <c r="AF76" i="29"/>
  <c r="AF80" i="29" s="1"/>
  <c r="AF87" i="29" s="1"/>
  <c r="AH76" i="29"/>
  <c r="AK76" i="29"/>
  <c r="AL76" i="29"/>
  <c r="AL80" i="29" s="1"/>
  <c r="AL87" i="29" s="1"/>
  <c r="AN76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G80" i="29" s="1"/>
  <c r="G87" i="29" s="1"/>
  <c r="F77" i="29"/>
  <c r="E77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AD81" i="39" l="1"/>
  <c r="AE76" i="39"/>
  <c r="AE80" i="39" s="1"/>
  <c r="AG72" i="39"/>
  <c r="AF59" i="39"/>
  <c r="D74" i="29"/>
  <c r="AD80" i="29"/>
  <c r="AD87" i="29" s="1"/>
  <c r="X80" i="29"/>
  <c r="X87" i="29" s="1"/>
  <c r="P80" i="29"/>
  <c r="P87" i="29" s="1"/>
  <c r="J80" i="29"/>
  <c r="J87" i="29" s="1"/>
  <c r="S80" i="29"/>
  <c r="S87" i="29" s="1"/>
  <c r="Z80" i="29"/>
  <c r="Z87" i="29" s="1"/>
  <c r="AK80" i="29"/>
  <c r="AK87" i="29" s="1"/>
  <c r="AE80" i="29"/>
  <c r="AE87" i="29" s="1"/>
  <c r="Y80" i="29"/>
  <c r="Y87" i="29" s="1"/>
  <c r="D78" i="29"/>
  <c r="D77" i="29"/>
  <c r="AH80" i="29"/>
  <c r="AH87" i="29" s="1"/>
  <c r="AB80" i="29"/>
  <c r="AB87" i="29" s="1"/>
  <c r="V80" i="29"/>
  <c r="V87" i="29" s="1"/>
  <c r="N80" i="29"/>
  <c r="N87" i="29" s="1"/>
  <c r="H80" i="29"/>
  <c r="H87" i="29" s="1"/>
  <c r="AA80" i="29"/>
  <c r="AA87" i="29" s="1"/>
  <c r="D44" i="29"/>
  <c r="C24" i="29"/>
  <c r="K87" i="29"/>
  <c r="I87" i="29"/>
  <c r="E87" i="29"/>
  <c r="E88" i="29" s="1"/>
  <c r="F88" i="29" s="1"/>
  <c r="G88" i="29" s="1"/>
  <c r="H88" i="29" s="1"/>
  <c r="I88" i="29" s="1"/>
  <c r="E81" i="29"/>
  <c r="F81" i="29" s="1"/>
  <c r="G81" i="29" s="1"/>
  <c r="H81" i="29" s="1"/>
  <c r="I81" i="29" s="1"/>
  <c r="J81" i="29" s="1"/>
  <c r="K81" i="29" s="1"/>
  <c r="D76" i="29"/>
  <c r="D80" i="29" s="1"/>
  <c r="D87" i="29" s="1"/>
  <c r="M80" i="29"/>
  <c r="M87" i="29" s="1"/>
  <c r="L80" i="29"/>
  <c r="D80" i="27"/>
  <c r="F88" i="27"/>
  <c r="G88" i="27"/>
  <c r="H88" i="27"/>
  <c r="D88" i="27" s="1"/>
  <c r="I88" i="27"/>
  <c r="J88" i="27"/>
  <c r="K88" i="27"/>
  <c r="L88" i="27"/>
  <c r="M88" i="27"/>
  <c r="N88" i="27"/>
  <c r="O88" i="27"/>
  <c r="P88" i="27"/>
  <c r="Q88" i="27"/>
  <c r="R88" i="27"/>
  <c r="S88" i="27"/>
  <c r="T88" i="27"/>
  <c r="U88" i="27"/>
  <c r="V88" i="27"/>
  <c r="W88" i="27"/>
  <c r="X88" i="27"/>
  <c r="Y88" i="27"/>
  <c r="Z88" i="27"/>
  <c r="AA88" i="27"/>
  <c r="AB88" i="27"/>
  <c r="AC88" i="27"/>
  <c r="AD88" i="27"/>
  <c r="AE88" i="27"/>
  <c r="AF88" i="27"/>
  <c r="AG88" i="27"/>
  <c r="AH88" i="27"/>
  <c r="AI88" i="27"/>
  <c r="AJ88" i="27"/>
  <c r="AK88" i="27"/>
  <c r="AL88" i="27"/>
  <c r="AM88" i="27"/>
  <c r="AN88" i="27"/>
  <c r="F89" i="27"/>
  <c r="G89" i="27"/>
  <c r="H89" i="27"/>
  <c r="I89" i="27"/>
  <c r="J89" i="27"/>
  <c r="K89" i="27"/>
  <c r="L89" i="27"/>
  <c r="M89" i="27"/>
  <c r="N89" i="27"/>
  <c r="O89" i="27"/>
  <c r="P89" i="27"/>
  <c r="Q89" i="27"/>
  <c r="R89" i="27"/>
  <c r="S89" i="27"/>
  <c r="T89" i="27"/>
  <c r="U89" i="27"/>
  <c r="V89" i="27"/>
  <c r="W89" i="27"/>
  <c r="X89" i="27"/>
  <c r="Y89" i="27"/>
  <c r="Z89" i="27"/>
  <c r="AA89" i="27"/>
  <c r="AB89" i="27"/>
  <c r="AC89" i="27"/>
  <c r="AD89" i="27"/>
  <c r="AE89" i="27"/>
  <c r="AF89" i="27"/>
  <c r="AG89" i="27"/>
  <c r="AH89" i="27"/>
  <c r="AI89" i="27"/>
  <c r="AJ89" i="27"/>
  <c r="AK89" i="27"/>
  <c r="AL89" i="27"/>
  <c r="AM89" i="27"/>
  <c r="AN89" i="27"/>
  <c r="E88" i="27"/>
  <c r="E89" i="27"/>
  <c r="C88" i="27"/>
  <c r="C89" i="27"/>
  <c r="G87" i="28"/>
  <c r="P87" i="28"/>
  <c r="Q87" i="28"/>
  <c r="R87" i="28"/>
  <c r="AE87" i="28"/>
  <c r="AF87" i="28"/>
  <c r="AG87" i="28"/>
  <c r="AH87" i="28"/>
  <c r="M88" i="28"/>
  <c r="N88" i="28"/>
  <c r="O88" i="28"/>
  <c r="AC88" i="28"/>
  <c r="AD88" i="28"/>
  <c r="C87" i="28"/>
  <c r="S87" i="28" s="1"/>
  <c r="C88" i="28"/>
  <c r="P88" i="28" s="1"/>
  <c r="C80" i="27"/>
  <c r="C79" i="27"/>
  <c r="D43" i="27"/>
  <c r="D42" i="27"/>
  <c r="D44" i="28"/>
  <c r="D43" i="28"/>
  <c r="AN17" i="28"/>
  <c r="AN27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9" i="28"/>
  <c r="AN80" i="28"/>
  <c r="AN81" i="28"/>
  <c r="E114" i="27"/>
  <c r="D116" i="27"/>
  <c r="AE81" i="39" l="1"/>
  <c r="AF76" i="39"/>
  <c r="AF80" i="39" s="1"/>
  <c r="AH72" i="39"/>
  <c r="AG59" i="39"/>
  <c r="J88" i="29"/>
  <c r="K88" i="29" s="1"/>
  <c r="O87" i="28"/>
  <c r="N87" i="28"/>
  <c r="AN61" i="28"/>
  <c r="AN41" i="28" s="1"/>
  <c r="M87" i="28"/>
  <c r="AE88" i="28"/>
  <c r="L87" i="28"/>
  <c r="AA88" i="28"/>
  <c r="Z88" i="28"/>
  <c r="AB87" i="28"/>
  <c r="AA87" i="28"/>
  <c r="W88" i="28"/>
  <c r="F88" i="28"/>
  <c r="U88" i="28"/>
  <c r="H87" i="28"/>
  <c r="F87" i="28"/>
  <c r="K88" i="28"/>
  <c r="E87" i="28"/>
  <c r="AC87" i="28"/>
  <c r="Y88" i="28"/>
  <c r="AN88" i="28"/>
  <c r="G88" i="28"/>
  <c r="AL88" i="28"/>
  <c r="AN87" i="28"/>
  <c r="AL87" i="28"/>
  <c r="AH88" i="28"/>
  <c r="R88" i="28"/>
  <c r="AK87" i="28"/>
  <c r="U87" i="28"/>
  <c r="J88" i="28"/>
  <c r="E88" i="28"/>
  <c r="X88" i="28"/>
  <c r="K87" i="28"/>
  <c r="AM88" i="28"/>
  <c r="Z87" i="28"/>
  <c r="V88" i="28"/>
  <c r="I87" i="28"/>
  <c r="T88" i="28"/>
  <c r="W87" i="28"/>
  <c r="AI88" i="28"/>
  <c r="V87" i="28"/>
  <c r="AG88" i="28"/>
  <c r="Q88" i="28"/>
  <c r="AJ87" i="28"/>
  <c r="T87" i="28"/>
  <c r="AB88" i="28"/>
  <c r="L88" i="28"/>
  <c r="AD87" i="28"/>
  <c r="I88" i="28"/>
  <c r="H88" i="28"/>
  <c r="J87" i="28"/>
  <c r="Y87" i="28"/>
  <c r="AK88" i="28"/>
  <c r="X87" i="28"/>
  <c r="AJ88" i="28"/>
  <c r="AM87" i="28"/>
  <c r="S88" i="28"/>
  <c r="AF88" i="28"/>
  <c r="AI87" i="28"/>
  <c r="L87" i="29"/>
  <c r="C80" i="29"/>
  <c r="L81" i="29"/>
  <c r="M81" i="29" s="1"/>
  <c r="N81" i="29" s="1"/>
  <c r="O81" i="29" s="1"/>
  <c r="P81" i="29" s="1"/>
  <c r="Q81" i="29" s="1"/>
  <c r="R81" i="29" s="1"/>
  <c r="S81" i="29" s="1"/>
  <c r="T81" i="29" s="1"/>
  <c r="U81" i="29" s="1"/>
  <c r="V81" i="29" s="1"/>
  <c r="W81" i="29" s="1"/>
  <c r="X81" i="29" s="1"/>
  <c r="Y81" i="29" s="1"/>
  <c r="Z81" i="29" s="1"/>
  <c r="AA81" i="29" s="1"/>
  <c r="AB81" i="29" s="1"/>
  <c r="AC81" i="29" s="1"/>
  <c r="AD81" i="29" s="1"/>
  <c r="AE81" i="29" s="1"/>
  <c r="AF81" i="29" s="1"/>
  <c r="AG81" i="29" s="1"/>
  <c r="AH81" i="29" s="1"/>
  <c r="AI81" i="29" s="1"/>
  <c r="AJ81" i="29" s="1"/>
  <c r="AK81" i="29" s="1"/>
  <c r="AL81" i="29" s="1"/>
  <c r="AM81" i="29" s="1"/>
  <c r="AN81" i="29" s="1"/>
  <c r="AN46" i="28"/>
  <c r="AN40" i="28"/>
  <c r="E115" i="27"/>
  <c r="E116" i="27" s="1"/>
  <c r="E118" i="27"/>
  <c r="E119" i="27"/>
  <c r="D121" i="27"/>
  <c r="F17" i="27"/>
  <c r="AF81" i="39" l="1"/>
  <c r="AG76" i="39"/>
  <c r="AG80" i="39" s="1"/>
  <c r="AI72" i="39"/>
  <c r="AH59" i="39"/>
  <c r="L88" i="29"/>
  <c r="M88" i="29" s="1"/>
  <c r="N88" i="29" s="1"/>
  <c r="O88" i="29" s="1"/>
  <c r="P88" i="29" s="1"/>
  <c r="Q88" i="29" s="1"/>
  <c r="R88" i="29" s="1"/>
  <c r="S88" i="29" s="1"/>
  <c r="T88" i="29" s="1"/>
  <c r="U88" i="29" s="1"/>
  <c r="V88" i="29" s="1"/>
  <c r="W88" i="29" s="1"/>
  <c r="X88" i="29" s="1"/>
  <c r="Y88" i="29" s="1"/>
  <c r="Z88" i="29" s="1"/>
  <c r="AA88" i="29" s="1"/>
  <c r="AB88" i="29" s="1"/>
  <c r="AC88" i="29" s="1"/>
  <c r="AD88" i="29" s="1"/>
  <c r="AE88" i="29" s="1"/>
  <c r="AF88" i="29" s="1"/>
  <c r="AG88" i="29" s="1"/>
  <c r="AH88" i="29" s="1"/>
  <c r="AI88" i="29" s="1"/>
  <c r="AJ88" i="29" s="1"/>
  <c r="AK88" i="29" s="1"/>
  <c r="AL88" i="29" s="1"/>
  <c r="AM88" i="29" s="1"/>
  <c r="AN88" i="29" s="1"/>
  <c r="D88" i="28"/>
  <c r="D87" i="28"/>
  <c r="D89" i="27"/>
  <c r="AN78" i="28"/>
  <c r="AN82" i="28" s="1"/>
  <c r="AN89" i="28" s="1"/>
  <c r="E121" i="27"/>
  <c r="C121" i="27" s="1"/>
  <c r="C71" i="27" s="1"/>
  <c r="AG81" i="39" l="1"/>
  <c r="AH76" i="39"/>
  <c r="AH80" i="39" s="1"/>
  <c r="AJ72" i="39"/>
  <c r="AI59" i="39"/>
  <c r="D107" i="27"/>
  <c r="D106" i="27"/>
  <c r="D105" i="27"/>
  <c r="C109" i="27"/>
  <c r="D96" i="27"/>
  <c r="D100" i="27" s="1"/>
  <c r="D99" i="27"/>
  <c r="AD26" i="26"/>
  <c r="AA26" i="26"/>
  <c r="C6" i="27"/>
  <c r="C6" i="28"/>
  <c r="AM81" i="28"/>
  <c r="AL81" i="28"/>
  <c r="AK81" i="28"/>
  <c r="AJ81" i="28"/>
  <c r="AI81" i="28"/>
  <c r="AH81" i="28"/>
  <c r="AG81" i="28"/>
  <c r="AF81" i="28"/>
  <c r="AE81" i="28"/>
  <c r="AD81" i="28"/>
  <c r="AC81" i="28"/>
  <c r="AB81" i="28"/>
  <c r="AA81" i="28"/>
  <c r="Z81" i="28"/>
  <c r="Y81" i="28"/>
  <c r="X81" i="28"/>
  <c r="W81" i="28"/>
  <c r="V81" i="28"/>
  <c r="U81" i="28"/>
  <c r="T81" i="28"/>
  <c r="S81" i="28"/>
  <c r="R81" i="28"/>
  <c r="Q81" i="28"/>
  <c r="P81" i="28"/>
  <c r="O81" i="28"/>
  <c r="N81" i="28"/>
  <c r="M81" i="28"/>
  <c r="L81" i="28"/>
  <c r="K81" i="28"/>
  <c r="J81" i="28"/>
  <c r="I81" i="28"/>
  <c r="H81" i="28"/>
  <c r="G81" i="28"/>
  <c r="F81" i="28"/>
  <c r="E81" i="28"/>
  <c r="AM80" i="28"/>
  <c r="AL80" i="28"/>
  <c r="AK80" i="28"/>
  <c r="AJ80" i="28"/>
  <c r="AI80" i="28"/>
  <c r="AH80" i="28"/>
  <c r="AG80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AM79" i="28"/>
  <c r="AL79" i="28"/>
  <c r="AK79" i="28"/>
  <c r="AJ79" i="28"/>
  <c r="AI79" i="28"/>
  <c r="AH79" i="28"/>
  <c r="AG79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AM70" i="28"/>
  <c r="AL70" i="28"/>
  <c r="AK70" i="28"/>
  <c r="AJ70" i="28"/>
  <c r="AI70" i="28"/>
  <c r="AH70" i="28"/>
  <c r="AG70" i="28"/>
  <c r="AF70" i="28"/>
  <c r="AE70" i="28"/>
  <c r="AD70" i="28"/>
  <c r="AC70" i="28"/>
  <c r="AB70" i="28"/>
  <c r="AA70" i="28"/>
  <c r="Z70" i="28"/>
  <c r="Y70" i="28"/>
  <c r="X70" i="28"/>
  <c r="W70" i="28"/>
  <c r="V70" i="28"/>
  <c r="U70" i="28"/>
  <c r="T70" i="28"/>
  <c r="S70" i="28"/>
  <c r="R70" i="28"/>
  <c r="Q70" i="28"/>
  <c r="P70" i="28"/>
  <c r="O70" i="28"/>
  <c r="N70" i="28"/>
  <c r="M70" i="28"/>
  <c r="L70" i="28"/>
  <c r="K70" i="28"/>
  <c r="J70" i="28"/>
  <c r="I70" i="28"/>
  <c r="H70" i="28"/>
  <c r="G70" i="28"/>
  <c r="F70" i="28"/>
  <c r="E70" i="28"/>
  <c r="AM69" i="28"/>
  <c r="AL69" i="28"/>
  <c r="AK69" i="28"/>
  <c r="AJ69" i="28"/>
  <c r="AI69" i="28"/>
  <c r="AH69" i="28"/>
  <c r="AG69" i="28"/>
  <c r="AF69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AM68" i="28"/>
  <c r="AL68" i="28"/>
  <c r="AK68" i="28"/>
  <c r="AJ68" i="28"/>
  <c r="AI68" i="28"/>
  <c r="AH68" i="28"/>
  <c r="AG68" i="28"/>
  <c r="AF68" i="28"/>
  <c r="AE68" i="28"/>
  <c r="AD68" i="28"/>
  <c r="AC68" i="28"/>
  <c r="AB68" i="28"/>
  <c r="AA68" i="28"/>
  <c r="Z68" i="28"/>
  <c r="Y68" i="28"/>
  <c r="X68" i="28"/>
  <c r="W68" i="28"/>
  <c r="V68" i="28"/>
  <c r="U68" i="28"/>
  <c r="T68" i="28"/>
  <c r="S68" i="28"/>
  <c r="R68" i="28"/>
  <c r="Q68" i="28"/>
  <c r="P68" i="28"/>
  <c r="O68" i="28"/>
  <c r="N68" i="28"/>
  <c r="M68" i="28"/>
  <c r="L68" i="28"/>
  <c r="K68" i="28"/>
  <c r="J68" i="28"/>
  <c r="I68" i="28"/>
  <c r="H68" i="28"/>
  <c r="G68" i="28"/>
  <c r="F68" i="28"/>
  <c r="E68" i="28"/>
  <c r="AM67" i="28"/>
  <c r="AL67" i="28"/>
  <c r="AK67" i="28"/>
  <c r="AJ67" i="28"/>
  <c r="AI67" i="28"/>
  <c r="AH67" i="28"/>
  <c r="AG67" i="28"/>
  <c r="AF67" i="28"/>
  <c r="AE67" i="28"/>
  <c r="AD67" i="28"/>
  <c r="AC67" i="28"/>
  <c r="AB67" i="28"/>
  <c r="AA67" i="28"/>
  <c r="Z67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AM66" i="28"/>
  <c r="AL66" i="28"/>
  <c r="AK66" i="28"/>
  <c r="AJ66" i="28"/>
  <c r="AI66" i="28"/>
  <c r="AH66" i="28"/>
  <c r="AG66" i="28"/>
  <c r="AF66" i="28"/>
  <c r="AE66" i="28"/>
  <c r="AD66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AM65" i="28"/>
  <c r="AL65" i="28"/>
  <c r="AK65" i="28"/>
  <c r="AJ65" i="28"/>
  <c r="AI65" i="28"/>
  <c r="AH65" i="28"/>
  <c r="AG65" i="28"/>
  <c r="AF65" i="28"/>
  <c r="AE65" i="28"/>
  <c r="AD65" i="28"/>
  <c r="AC65" i="28"/>
  <c r="AB65" i="28"/>
  <c r="AA65" i="28"/>
  <c r="Z65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AM64" i="28"/>
  <c r="AL64" i="28"/>
  <c r="AK64" i="28"/>
  <c r="AJ64" i="28"/>
  <c r="AI64" i="28"/>
  <c r="AH64" i="28"/>
  <c r="AG64" i="28"/>
  <c r="AF64" i="28"/>
  <c r="AE64" i="28"/>
  <c r="AD64" i="28"/>
  <c r="AC64" i="28"/>
  <c r="AB64" i="28"/>
  <c r="AA64" i="28"/>
  <c r="Z64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AM63" i="28"/>
  <c r="AL63" i="28"/>
  <c r="AK63" i="28"/>
  <c r="AJ63" i="28"/>
  <c r="AI63" i="28"/>
  <c r="AH63" i="28"/>
  <c r="AG63" i="28"/>
  <c r="AF63" i="28"/>
  <c r="AE63" i="28"/>
  <c r="AD63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AM62" i="28"/>
  <c r="AL62" i="28"/>
  <c r="AK62" i="28"/>
  <c r="AJ62" i="28"/>
  <c r="AI62" i="28"/>
  <c r="AH62" i="28"/>
  <c r="AG62" i="28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53" i="28"/>
  <c r="D52" i="28"/>
  <c r="D74" i="28" s="1"/>
  <c r="D51" i="28"/>
  <c r="D50" i="28"/>
  <c r="D49" i="28"/>
  <c r="D48" i="28"/>
  <c r="D39" i="28"/>
  <c r="D73" i="28" s="1"/>
  <c r="D38" i="28"/>
  <c r="D72" i="28" s="1"/>
  <c r="D37" i="28"/>
  <c r="D71" i="28" s="1"/>
  <c r="D36" i="28"/>
  <c r="D70" i="28" s="1"/>
  <c r="D35" i="28"/>
  <c r="D69" i="28" s="1"/>
  <c r="D34" i="28"/>
  <c r="D68" i="28" s="1"/>
  <c r="D33" i="28"/>
  <c r="D67" i="28" s="1"/>
  <c r="D32" i="28"/>
  <c r="D66" i="28" s="1"/>
  <c r="D31" i="28"/>
  <c r="D65" i="28" s="1"/>
  <c r="D30" i="28"/>
  <c r="D64" i="28" s="1"/>
  <c r="D29" i="28"/>
  <c r="D63" i="28" s="1"/>
  <c r="D28" i="28"/>
  <c r="D62" i="28" s="1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2" i="28"/>
  <c r="D21" i="28"/>
  <c r="D20" i="28"/>
  <c r="D19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6" i="28"/>
  <c r="D15" i="28"/>
  <c r="D14" i="28"/>
  <c r="D13" i="28"/>
  <c r="D12" i="28"/>
  <c r="D11" i="28"/>
  <c r="D10" i="28"/>
  <c r="AM17" i="27"/>
  <c r="AN17" i="27"/>
  <c r="AM27" i="27"/>
  <c r="AM40" i="27" s="1"/>
  <c r="AN27" i="27"/>
  <c r="AN40" i="27" s="1"/>
  <c r="AM61" i="27"/>
  <c r="AN61" i="27"/>
  <c r="AM62" i="27"/>
  <c r="AN62" i="27"/>
  <c r="AM63" i="27"/>
  <c r="AN63" i="27"/>
  <c r="AM64" i="27"/>
  <c r="AN64" i="27"/>
  <c r="AM65" i="27"/>
  <c r="AN65" i="27"/>
  <c r="AM66" i="27"/>
  <c r="AN66" i="27"/>
  <c r="AM67" i="27"/>
  <c r="AN67" i="27"/>
  <c r="AM68" i="27"/>
  <c r="AN68" i="27"/>
  <c r="AM69" i="27"/>
  <c r="AN69" i="27"/>
  <c r="AM70" i="27"/>
  <c r="AN70" i="27"/>
  <c r="AM72" i="27"/>
  <c r="AN72" i="27"/>
  <c r="AM73" i="27"/>
  <c r="AN73" i="27"/>
  <c r="AM79" i="27"/>
  <c r="AN79" i="27"/>
  <c r="AM80" i="27"/>
  <c r="AN80" i="27"/>
  <c r="AM81" i="27"/>
  <c r="AN81" i="27"/>
  <c r="AN16" i="26"/>
  <c r="AN26" i="26"/>
  <c r="AN44" i="26" s="1"/>
  <c r="AN60" i="26"/>
  <c r="AN61" i="26"/>
  <c r="AN62" i="26"/>
  <c r="AN63" i="26"/>
  <c r="AN64" i="26"/>
  <c r="AN65" i="26"/>
  <c r="AN66" i="26"/>
  <c r="AN67" i="26"/>
  <c r="AN68" i="26"/>
  <c r="AN69" i="26"/>
  <c r="AN70" i="26"/>
  <c r="AN71" i="26"/>
  <c r="AN72" i="26"/>
  <c r="AN77" i="26"/>
  <c r="AN78" i="26"/>
  <c r="AN79" i="26"/>
  <c r="AM16" i="26"/>
  <c r="AM26" i="26"/>
  <c r="AM44" i="26" s="1"/>
  <c r="AM60" i="26"/>
  <c r="AM61" i="26"/>
  <c r="AM62" i="26"/>
  <c r="AM63" i="26"/>
  <c r="AM64" i="26"/>
  <c r="AM65" i="26"/>
  <c r="AM66" i="26"/>
  <c r="AM67" i="26"/>
  <c r="AM68" i="26"/>
  <c r="AM69" i="26"/>
  <c r="AM70" i="26"/>
  <c r="AM71" i="26"/>
  <c r="AM72" i="26"/>
  <c r="AM77" i="26"/>
  <c r="AM78" i="26"/>
  <c r="AM79" i="26"/>
  <c r="AL81" i="27"/>
  <c r="AK81" i="27"/>
  <c r="AJ81" i="27"/>
  <c r="AI81" i="27"/>
  <c r="AH81" i="27"/>
  <c r="AG81" i="27"/>
  <c r="AF81" i="27"/>
  <c r="AE81" i="27"/>
  <c r="AD81" i="27"/>
  <c r="AC81" i="27"/>
  <c r="AB81" i="27"/>
  <c r="AA81" i="27"/>
  <c r="Z81" i="27"/>
  <c r="Y81" i="27"/>
  <c r="X81" i="27"/>
  <c r="W81" i="27"/>
  <c r="V81" i="27"/>
  <c r="U81" i="27"/>
  <c r="T81" i="27"/>
  <c r="S81" i="27"/>
  <c r="R81" i="27"/>
  <c r="Q81" i="27"/>
  <c r="P81" i="27"/>
  <c r="O81" i="27"/>
  <c r="N81" i="27"/>
  <c r="M81" i="27"/>
  <c r="L81" i="27"/>
  <c r="K81" i="27"/>
  <c r="J81" i="27"/>
  <c r="I81" i="27"/>
  <c r="H81" i="27"/>
  <c r="G81" i="27"/>
  <c r="F81" i="27"/>
  <c r="E81" i="27"/>
  <c r="AL80" i="27"/>
  <c r="AK80" i="27"/>
  <c r="AJ80" i="27"/>
  <c r="AI80" i="27"/>
  <c r="AH80" i="27"/>
  <c r="AG80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AL79" i="27"/>
  <c r="AK79" i="27"/>
  <c r="AJ79" i="27"/>
  <c r="AI79" i="27"/>
  <c r="AH79" i="27"/>
  <c r="AG79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AL70" i="27"/>
  <c r="AK70" i="27"/>
  <c r="AJ70" i="27"/>
  <c r="AI70" i="27"/>
  <c r="AH70" i="27"/>
  <c r="AG70" i="27"/>
  <c r="AF70" i="27"/>
  <c r="AE70" i="27"/>
  <c r="AD70" i="27"/>
  <c r="AC70" i="27"/>
  <c r="AB70" i="27"/>
  <c r="AA70" i="27"/>
  <c r="Z70" i="27"/>
  <c r="Y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E70" i="27"/>
  <c r="AL69" i="27"/>
  <c r="AK69" i="27"/>
  <c r="AJ69" i="27"/>
  <c r="AI69" i="27"/>
  <c r="AH69" i="27"/>
  <c r="AG69" i="27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AL68" i="27"/>
  <c r="AK68" i="27"/>
  <c r="AJ68" i="27"/>
  <c r="AI68" i="27"/>
  <c r="AH68" i="27"/>
  <c r="AG68" i="27"/>
  <c r="AF68" i="27"/>
  <c r="AE68" i="27"/>
  <c r="AD68" i="27"/>
  <c r="AC68" i="27"/>
  <c r="AB68" i="27"/>
  <c r="AA68" i="27"/>
  <c r="Z68" i="27"/>
  <c r="Y68" i="27"/>
  <c r="X68" i="27"/>
  <c r="W68" i="27"/>
  <c r="V68" i="27"/>
  <c r="U68" i="27"/>
  <c r="T68" i="27"/>
  <c r="S68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E68" i="27"/>
  <c r="AL67" i="27"/>
  <c r="AK67" i="27"/>
  <c r="AJ67" i="27"/>
  <c r="AI67" i="27"/>
  <c r="AH67" i="27"/>
  <c r="AG67" i="27"/>
  <c r="AF67" i="27"/>
  <c r="AE67" i="27"/>
  <c r="AD67" i="27"/>
  <c r="AC67" i="27"/>
  <c r="AB67" i="27"/>
  <c r="AA67" i="27"/>
  <c r="Z67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AL66" i="27"/>
  <c r="AK66" i="27"/>
  <c r="AJ66" i="27"/>
  <c r="AI66" i="27"/>
  <c r="AH66" i="27"/>
  <c r="AG66" i="27"/>
  <c r="AF66" i="27"/>
  <c r="AE66" i="27"/>
  <c r="AD66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AL65" i="27"/>
  <c r="AK65" i="27"/>
  <c r="AJ65" i="27"/>
  <c r="AI65" i="27"/>
  <c r="AH65" i="27"/>
  <c r="AG65" i="27"/>
  <c r="AF65" i="27"/>
  <c r="AE65" i="27"/>
  <c r="AD65" i="27"/>
  <c r="AC65" i="27"/>
  <c r="AB65" i="27"/>
  <c r="AA65" i="27"/>
  <c r="Z65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AL64" i="27"/>
  <c r="AK64" i="27"/>
  <c r="AJ64" i="27"/>
  <c r="AI64" i="27"/>
  <c r="AH64" i="27"/>
  <c r="AG64" i="27"/>
  <c r="AF64" i="27"/>
  <c r="AE64" i="27"/>
  <c r="AD64" i="27"/>
  <c r="AC64" i="27"/>
  <c r="AB64" i="27"/>
  <c r="AA64" i="27"/>
  <c r="Z64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AL63" i="27"/>
  <c r="AK63" i="27"/>
  <c r="AJ63" i="27"/>
  <c r="AI63" i="27"/>
  <c r="AH63" i="27"/>
  <c r="AG63" i="27"/>
  <c r="AF63" i="27"/>
  <c r="AE63" i="27"/>
  <c r="AD63" i="27"/>
  <c r="AC63" i="27"/>
  <c r="AB63" i="27"/>
  <c r="AA63" i="27"/>
  <c r="Z63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AL62" i="27"/>
  <c r="AK62" i="27"/>
  <c r="AJ62" i="27"/>
  <c r="AI62" i="27"/>
  <c r="AH62" i="27"/>
  <c r="AG62" i="27"/>
  <c r="AF62" i="27"/>
  <c r="AE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AL61" i="27"/>
  <c r="AK61" i="27"/>
  <c r="AJ61" i="27"/>
  <c r="AI61" i="27"/>
  <c r="AH61" i="27"/>
  <c r="AG61" i="27"/>
  <c r="AF61" i="27"/>
  <c r="AE61" i="27"/>
  <c r="AD61" i="27"/>
  <c r="AC61" i="27"/>
  <c r="AB61" i="27"/>
  <c r="AA61" i="27"/>
  <c r="Z61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52" i="27"/>
  <c r="D51" i="27"/>
  <c r="D73" i="27" s="1"/>
  <c r="D50" i="27"/>
  <c r="D49" i="27"/>
  <c r="D48" i="27"/>
  <c r="D47" i="27"/>
  <c r="D39" i="27"/>
  <c r="D72" i="27" s="1"/>
  <c r="D38" i="27"/>
  <c r="D37" i="27"/>
  <c r="D70" i="27" s="1"/>
  <c r="D36" i="27"/>
  <c r="D69" i="27" s="1"/>
  <c r="D35" i="27"/>
  <c r="D68" i="27" s="1"/>
  <c r="D34" i="27"/>
  <c r="D67" i="27" s="1"/>
  <c r="D33" i="27"/>
  <c r="D66" i="27" s="1"/>
  <c r="D32" i="27"/>
  <c r="D65" i="27" s="1"/>
  <c r="D31" i="27"/>
  <c r="D64" i="27" s="1"/>
  <c r="D30" i="27"/>
  <c r="D63" i="27" s="1"/>
  <c r="D29" i="27"/>
  <c r="D62" i="27" s="1"/>
  <c r="D28" i="27"/>
  <c r="D61" i="27" s="1"/>
  <c r="AL27" i="27"/>
  <c r="AL45" i="27" s="1"/>
  <c r="AK27" i="27"/>
  <c r="AK45" i="27" s="1"/>
  <c r="AJ27" i="27"/>
  <c r="AJ45" i="27" s="1"/>
  <c r="AI27" i="27"/>
  <c r="AI45" i="27" s="1"/>
  <c r="AH27" i="27"/>
  <c r="AH45" i="27" s="1"/>
  <c r="AG27" i="27"/>
  <c r="AG45" i="27" s="1"/>
  <c r="AF27" i="27"/>
  <c r="AF40" i="27" s="1"/>
  <c r="AE27" i="27"/>
  <c r="AE40" i="27" s="1"/>
  <c r="AD27" i="27"/>
  <c r="AD45" i="27" s="1"/>
  <c r="AC27" i="27"/>
  <c r="AC40" i="27" s="1"/>
  <c r="AB27" i="27"/>
  <c r="AB45" i="27" s="1"/>
  <c r="AA27" i="27"/>
  <c r="AA45" i="27" s="1"/>
  <c r="Z27" i="27"/>
  <c r="Z45" i="27" s="1"/>
  <c r="Y27" i="27"/>
  <c r="Y45" i="27" s="1"/>
  <c r="X27" i="27"/>
  <c r="X45" i="27" s="1"/>
  <c r="W27" i="27"/>
  <c r="W40" i="27" s="1"/>
  <c r="V27" i="27"/>
  <c r="V45" i="27" s="1"/>
  <c r="U27" i="27"/>
  <c r="U45" i="27" s="1"/>
  <c r="T27" i="27"/>
  <c r="T45" i="27" s="1"/>
  <c r="S27" i="27"/>
  <c r="S45" i="27" s="1"/>
  <c r="R27" i="27"/>
  <c r="R45" i="27" s="1"/>
  <c r="Q27" i="27"/>
  <c r="Q45" i="27" s="1"/>
  <c r="P27" i="27"/>
  <c r="P40" i="27" s="1"/>
  <c r="O27" i="27"/>
  <c r="O45" i="27" s="1"/>
  <c r="N27" i="27"/>
  <c r="N45" i="27" s="1"/>
  <c r="M27" i="27"/>
  <c r="M40" i="27" s="1"/>
  <c r="L27" i="27"/>
  <c r="L40" i="27" s="1"/>
  <c r="K27" i="27"/>
  <c r="K45" i="27" s="1"/>
  <c r="J27" i="27"/>
  <c r="J45" i="27" s="1"/>
  <c r="I27" i="27"/>
  <c r="I40" i="27" s="1"/>
  <c r="H27" i="27"/>
  <c r="H45" i="27" s="1"/>
  <c r="G27" i="27"/>
  <c r="F27" i="27"/>
  <c r="F45" i="27" s="1"/>
  <c r="E27" i="27"/>
  <c r="E45" i="27" s="1"/>
  <c r="D22" i="27"/>
  <c r="D21" i="27"/>
  <c r="D20" i="27"/>
  <c r="D19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E17" i="27"/>
  <c r="D16" i="27"/>
  <c r="D15" i="27"/>
  <c r="D14" i="27"/>
  <c r="D13" i="27"/>
  <c r="D12" i="27"/>
  <c r="D11" i="27"/>
  <c r="D10" i="27"/>
  <c r="AH81" i="39" l="1"/>
  <c r="AI76" i="39"/>
  <c r="AI80" i="39" s="1"/>
  <c r="AK72" i="39"/>
  <c r="AJ59" i="39"/>
  <c r="D80" i="28"/>
  <c r="X61" i="28"/>
  <c r="X41" i="28" s="1"/>
  <c r="I61" i="28"/>
  <c r="Y61" i="28"/>
  <c r="Y41" i="28" s="1"/>
  <c r="H61" i="28"/>
  <c r="K61" i="28"/>
  <c r="AA61" i="28"/>
  <c r="AA41" i="28" s="1"/>
  <c r="J61" i="28"/>
  <c r="Z61" i="28"/>
  <c r="Z41" i="28" s="1"/>
  <c r="L61" i="28"/>
  <c r="M61" i="28"/>
  <c r="N61" i="28"/>
  <c r="AD61" i="28"/>
  <c r="AD41" i="28" s="1"/>
  <c r="P61" i="28"/>
  <c r="AF61" i="28"/>
  <c r="AF41" i="28" s="1"/>
  <c r="Q61" i="28"/>
  <c r="AG61" i="28"/>
  <c r="D79" i="28"/>
  <c r="AE61" i="28"/>
  <c r="AE41" i="28" s="1"/>
  <c r="O61" i="28"/>
  <c r="U61" i="28"/>
  <c r="AK61" i="28"/>
  <c r="AK41" i="28" s="1"/>
  <c r="F61" i="28"/>
  <c r="V61" i="28"/>
  <c r="V41" i="28" s="1"/>
  <c r="AL61" i="28"/>
  <c r="AL41" i="28" s="1"/>
  <c r="G61" i="28"/>
  <c r="W61" i="28"/>
  <c r="AM61" i="28"/>
  <c r="AM41" i="28" s="1"/>
  <c r="R61" i="28"/>
  <c r="S61" i="28"/>
  <c r="T61" i="28"/>
  <c r="AJ61" i="28"/>
  <c r="AJ41" i="28" s="1"/>
  <c r="AI61" i="28"/>
  <c r="AI41" i="28" s="1"/>
  <c r="AH61" i="28"/>
  <c r="AH41" i="28" s="1"/>
  <c r="AG41" i="28"/>
  <c r="D81" i="28"/>
  <c r="AC61" i="28"/>
  <c r="AC41" i="28" s="1"/>
  <c r="AB61" i="28"/>
  <c r="AB41" i="28" s="1"/>
  <c r="E46" i="28"/>
  <c r="F40" i="28"/>
  <c r="G46" i="28"/>
  <c r="H40" i="28"/>
  <c r="I40" i="28"/>
  <c r="J40" i="28"/>
  <c r="K40" i="28"/>
  <c r="L40" i="28"/>
  <c r="M40" i="28"/>
  <c r="O40" i="28"/>
  <c r="P40" i="28"/>
  <c r="Q46" i="28"/>
  <c r="R46" i="28"/>
  <c r="S46" i="28"/>
  <c r="T46" i="28"/>
  <c r="U46" i="28"/>
  <c r="V40" i="28"/>
  <c r="W40" i="28"/>
  <c r="X40" i="28"/>
  <c r="Y40" i="28"/>
  <c r="Z40" i="28"/>
  <c r="AA40" i="28"/>
  <c r="AB40" i="28"/>
  <c r="AC40" i="28"/>
  <c r="AD40" i="28"/>
  <c r="AE46" i="28"/>
  <c r="AF46" i="28"/>
  <c r="AG46" i="28"/>
  <c r="AH46" i="28"/>
  <c r="AI46" i="28"/>
  <c r="AJ46" i="28"/>
  <c r="AK46" i="28"/>
  <c r="AL40" i="28"/>
  <c r="AM40" i="28"/>
  <c r="Z71" i="27"/>
  <c r="Z60" i="27" s="1"/>
  <c r="J71" i="27"/>
  <c r="J60" i="27" s="1"/>
  <c r="J78" i="27" s="1"/>
  <c r="J82" i="27" s="1"/>
  <c r="J90" i="27" s="1"/>
  <c r="N71" i="27"/>
  <c r="N60" i="27" s="1"/>
  <c r="N78" i="27" s="1"/>
  <c r="N82" i="27" s="1"/>
  <c r="N90" i="27" s="1"/>
  <c r="M71" i="27"/>
  <c r="M60" i="27" s="1"/>
  <c r="M78" i="27" s="1"/>
  <c r="Y71" i="27"/>
  <c r="Y60" i="27" s="1"/>
  <c r="Y78" i="27" s="1"/>
  <c r="Y82" i="27" s="1"/>
  <c r="Y90" i="27" s="1"/>
  <c r="I71" i="27"/>
  <c r="I60" i="27" s="1"/>
  <c r="I78" i="27" s="1"/>
  <c r="I82" i="27" s="1"/>
  <c r="I90" i="27" s="1"/>
  <c r="K71" i="27"/>
  <c r="K60" i="27" s="1"/>
  <c r="K78" i="27" s="1"/>
  <c r="K82" i="27" s="1"/>
  <c r="K90" i="27" s="1"/>
  <c r="X71" i="27"/>
  <c r="X60" i="27" s="1"/>
  <c r="X78" i="27" s="1"/>
  <c r="X82" i="27" s="1"/>
  <c r="X90" i="27" s="1"/>
  <c r="H71" i="27"/>
  <c r="H60" i="27" s="1"/>
  <c r="H78" i="27" s="1"/>
  <c r="H82" i="27" s="1"/>
  <c r="H90" i="27" s="1"/>
  <c r="L71" i="27"/>
  <c r="L60" i="27" s="1"/>
  <c r="L78" i="27" s="1"/>
  <c r="L82" i="27" s="1"/>
  <c r="L90" i="27" s="1"/>
  <c r="AA71" i="27"/>
  <c r="AA60" i="27" s="1"/>
  <c r="W71" i="27"/>
  <c r="W60" i="27" s="1"/>
  <c r="W78" i="27" s="1"/>
  <c r="G71" i="27"/>
  <c r="G60" i="27" s="1"/>
  <c r="G78" i="27" s="1"/>
  <c r="AL71" i="27"/>
  <c r="AL60" i="27" s="1"/>
  <c r="V71" i="27"/>
  <c r="V60" i="27" s="1"/>
  <c r="V78" i="27" s="1"/>
  <c r="V82" i="27" s="1"/>
  <c r="V90" i="27" s="1"/>
  <c r="F71" i="27"/>
  <c r="F60" i="27" s="1"/>
  <c r="F78" i="27" s="1"/>
  <c r="O71" i="27"/>
  <c r="O60" i="27" s="1"/>
  <c r="O78" i="27" s="1"/>
  <c r="O82" i="27" s="1"/>
  <c r="O90" i="27" s="1"/>
  <c r="AK71" i="27"/>
  <c r="AK60" i="27" s="1"/>
  <c r="AK78" i="27" s="1"/>
  <c r="AK82" i="27" s="1"/>
  <c r="AK90" i="27" s="1"/>
  <c r="U71" i="27"/>
  <c r="U60" i="27" s="1"/>
  <c r="U78" i="27" s="1"/>
  <c r="U82" i="27" s="1"/>
  <c r="U90" i="27" s="1"/>
  <c r="E71" i="27"/>
  <c r="E60" i="27" s="1"/>
  <c r="E78" i="27" s="1"/>
  <c r="AJ71" i="27"/>
  <c r="AJ60" i="27" s="1"/>
  <c r="AJ78" i="27" s="1"/>
  <c r="AJ82" i="27" s="1"/>
  <c r="AJ90" i="27" s="1"/>
  <c r="T71" i="27"/>
  <c r="T60" i="27" s="1"/>
  <c r="T78" i="27" s="1"/>
  <c r="T82" i="27" s="1"/>
  <c r="T90" i="27" s="1"/>
  <c r="AN71" i="27"/>
  <c r="AN60" i="27" s="1"/>
  <c r="AN78" i="27" s="1"/>
  <c r="AE71" i="27"/>
  <c r="AE60" i="27" s="1"/>
  <c r="AE78" i="27" s="1"/>
  <c r="AE82" i="27" s="1"/>
  <c r="AE90" i="27" s="1"/>
  <c r="AI71" i="27"/>
  <c r="AI60" i="27" s="1"/>
  <c r="AI78" i="27" s="1"/>
  <c r="S71" i="27"/>
  <c r="S60" i="27" s="1"/>
  <c r="S78" i="27" s="1"/>
  <c r="AC71" i="27"/>
  <c r="AC60" i="27" s="1"/>
  <c r="AC78" i="27" s="1"/>
  <c r="AH71" i="27"/>
  <c r="AH60" i="27" s="1"/>
  <c r="AH78" i="27" s="1"/>
  <c r="R71" i="27"/>
  <c r="R60" i="27" s="1"/>
  <c r="R78" i="27" s="1"/>
  <c r="R82" i="27" s="1"/>
  <c r="R90" i="27" s="1"/>
  <c r="AG71" i="27"/>
  <c r="AG60" i="27" s="1"/>
  <c r="AG78" i="27" s="1"/>
  <c r="AG82" i="27" s="1"/>
  <c r="AG90" i="27" s="1"/>
  <c r="Q71" i="27"/>
  <c r="Q60" i="27" s="1"/>
  <c r="AD71" i="27"/>
  <c r="AD60" i="27" s="1"/>
  <c r="AD78" i="27" s="1"/>
  <c r="AD82" i="27" s="1"/>
  <c r="AD90" i="27" s="1"/>
  <c r="AB71" i="27"/>
  <c r="AB60" i="27" s="1"/>
  <c r="AB78" i="27" s="1"/>
  <c r="AM71" i="27"/>
  <c r="AM60" i="27" s="1"/>
  <c r="AM78" i="27" s="1"/>
  <c r="AM82" i="27" s="1"/>
  <c r="AM90" i="27" s="1"/>
  <c r="AF71" i="27"/>
  <c r="AF60" i="27" s="1"/>
  <c r="AF78" i="27" s="1"/>
  <c r="AF82" i="27" s="1"/>
  <c r="AF90" i="27" s="1"/>
  <c r="P71" i="27"/>
  <c r="P60" i="27" s="1"/>
  <c r="G40" i="28"/>
  <c r="AN39" i="26"/>
  <c r="AM39" i="26"/>
  <c r="D79" i="27"/>
  <c r="D81" i="27"/>
  <c r="H46" i="28"/>
  <c r="I46" i="28"/>
  <c r="J46" i="28"/>
  <c r="D101" i="27"/>
  <c r="D102" i="27" s="1"/>
  <c r="V40" i="27"/>
  <c r="AJ40" i="27"/>
  <c r="W45" i="27"/>
  <c r="AL40" i="27"/>
  <c r="O40" i="27"/>
  <c r="AC45" i="27"/>
  <c r="U40" i="27"/>
  <c r="AE45" i="27"/>
  <c r="E40" i="27"/>
  <c r="N40" i="27"/>
  <c r="AK40" i="27"/>
  <c r="Q40" i="27"/>
  <c r="R40" i="27"/>
  <c r="D17" i="27"/>
  <c r="S40" i="27"/>
  <c r="L45" i="27"/>
  <c r="G45" i="27"/>
  <c r="G40" i="27"/>
  <c r="L46" i="28"/>
  <c r="M46" i="28"/>
  <c r="AC46" i="28"/>
  <c r="AM46" i="28"/>
  <c r="AA78" i="28"/>
  <c r="AA82" i="28" s="1"/>
  <c r="AA89" i="28" s="1"/>
  <c r="T40" i="27"/>
  <c r="M45" i="27"/>
  <c r="Y40" i="27"/>
  <c r="AB40" i="27"/>
  <c r="AD40" i="27"/>
  <c r="F40" i="27"/>
  <c r="AG40" i="27"/>
  <c r="I45" i="27"/>
  <c r="AH40" i="27"/>
  <c r="AI40" i="27"/>
  <c r="V46" i="28"/>
  <c r="S40" i="28"/>
  <c r="W46" i="28"/>
  <c r="X46" i="28"/>
  <c r="Y46" i="28"/>
  <c r="L41" i="28"/>
  <c r="AB78" i="28"/>
  <c r="AB82" i="28" s="1"/>
  <c r="AB89" i="28" s="1"/>
  <c r="AI40" i="28"/>
  <c r="Z46" i="28"/>
  <c r="AG78" i="28"/>
  <c r="AG82" i="28" s="1"/>
  <c r="AG89" i="28" s="1"/>
  <c r="AB46" i="28"/>
  <c r="X78" i="28"/>
  <c r="X82" i="28" s="1"/>
  <c r="X89" i="28" s="1"/>
  <c r="AE78" i="28"/>
  <c r="AE82" i="28" s="1"/>
  <c r="AE89" i="28" s="1"/>
  <c r="D17" i="28"/>
  <c r="Y78" i="28"/>
  <c r="Y82" i="28" s="1"/>
  <c r="Y89" i="28" s="1"/>
  <c r="D27" i="28"/>
  <c r="C25" i="28" s="1"/>
  <c r="F46" i="28"/>
  <c r="AL46" i="28"/>
  <c r="Z78" i="28"/>
  <c r="E61" i="28"/>
  <c r="E41" i="28" s="1"/>
  <c r="AK78" i="28"/>
  <c r="AK82" i="28" s="1"/>
  <c r="AK89" i="28" s="1"/>
  <c r="D61" i="28"/>
  <c r="N40" i="28"/>
  <c r="AE40" i="28"/>
  <c r="AF40" i="28"/>
  <c r="Q40" i="28"/>
  <c r="AG40" i="28"/>
  <c r="R40" i="28"/>
  <c r="AH40" i="28"/>
  <c r="K46" i="28"/>
  <c r="AA46" i="28"/>
  <c r="T40" i="28"/>
  <c r="AJ40" i="28"/>
  <c r="E40" i="28"/>
  <c r="U40" i="28"/>
  <c r="AK40" i="28"/>
  <c r="N46" i="28"/>
  <c r="AD46" i="28"/>
  <c r="O46" i="28"/>
  <c r="P46" i="28"/>
  <c r="AN45" i="27"/>
  <c r="AM45" i="27"/>
  <c r="AM59" i="26"/>
  <c r="AM76" i="26" s="1"/>
  <c r="AN59" i="26"/>
  <c r="AN76" i="26" s="1"/>
  <c r="AN80" i="26" s="1"/>
  <c r="H40" i="27"/>
  <c r="X40" i="27"/>
  <c r="J40" i="27"/>
  <c r="Z40" i="27"/>
  <c r="K40" i="27"/>
  <c r="AA40" i="27"/>
  <c r="D71" i="27"/>
  <c r="D60" i="27" s="1"/>
  <c r="D27" i="27"/>
  <c r="P45" i="27"/>
  <c r="AF45" i="27"/>
  <c r="AI81" i="39" l="1"/>
  <c r="AJ76" i="39"/>
  <c r="AJ80" i="39" s="1"/>
  <c r="AL72" i="39"/>
  <c r="AK59" i="39"/>
  <c r="AC78" i="28"/>
  <c r="AC82" i="28" s="1"/>
  <c r="AC89" i="28" s="1"/>
  <c r="AF78" i="28"/>
  <c r="AF82" i="28" s="1"/>
  <c r="AF89" i="28" s="1"/>
  <c r="AD78" i="28"/>
  <c r="AD82" i="28" s="1"/>
  <c r="AD89" i="28" s="1"/>
  <c r="AL78" i="28"/>
  <c r="AL82" i="28" s="1"/>
  <c r="AL89" i="28" s="1"/>
  <c r="AJ78" i="28"/>
  <c r="AI78" i="28"/>
  <c r="AM78" i="28"/>
  <c r="AM82" i="28" s="1"/>
  <c r="AM89" i="28" s="1"/>
  <c r="AH78" i="28"/>
  <c r="AH82" i="28" s="1"/>
  <c r="AH89" i="28" s="1"/>
  <c r="D41" i="28"/>
  <c r="W78" i="28"/>
  <c r="W82" i="28" s="1"/>
  <c r="W89" i="28" s="1"/>
  <c r="W41" i="28"/>
  <c r="J78" i="28"/>
  <c r="J82" i="28" s="1"/>
  <c r="J89" i="28" s="1"/>
  <c r="J41" i="28"/>
  <c r="O78" i="28"/>
  <c r="O82" i="28" s="1"/>
  <c r="O89" i="28" s="1"/>
  <c r="O41" i="28"/>
  <c r="P78" i="28"/>
  <c r="P82" i="28" s="1"/>
  <c r="P89" i="28" s="1"/>
  <c r="P41" i="28"/>
  <c r="H78" i="28"/>
  <c r="H82" i="28" s="1"/>
  <c r="H89" i="28" s="1"/>
  <c r="H41" i="28"/>
  <c r="G78" i="28"/>
  <c r="G82" i="28" s="1"/>
  <c r="G89" i="28" s="1"/>
  <c r="G41" i="28"/>
  <c r="S78" i="28"/>
  <c r="S82" i="28" s="1"/>
  <c r="S89" i="28" s="1"/>
  <c r="S41" i="28"/>
  <c r="I78" i="28"/>
  <c r="I82" i="28" s="1"/>
  <c r="I89" i="28" s="1"/>
  <c r="I41" i="28"/>
  <c r="F78" i="28"/>
  <c r="F82" i="28" s="1"/>
  <c r="F89" i="28" s="1"/>
  <c r="F41" i="28"/>
  <c r="R78" i="28"/>
  <c r="R82" i="28" s="1"/>
  <c r="R89" i="28" s="1"/>
  <c r="R41" i="28"/>
  <c r="K78" i="28"/>
  <c r="K82" i="28" s="1"/>
  <c r="K89" i="28" s="1"/>
  <c r="K41" i="28"/>
  <c r="T78" i="28"/>
  <c r="T82" i="28" s="1"/>
  <c r="T89" i="28" s="1"/>
  <c r="T41" i="28"/>
  <c r="Q78" i="28"/>
  <c r="Q82" i="28" s="1"/>
  <c r="Q89" i="28" s="1"/>
  <c r="Q41" i="28"/>
  <c r="U78" i="28"/>
  <c r="U82" i="28" s="1"/>
  <c r="U41" i="28"/>
  <c r="N78" i="28"/>
  <c r="N82" i="28" s="1"/>
  <c r="N89" i="28" s="1"/>
  <c r="N41" i="28"/>
  <c r="M78" i="28"/>
  <c r="M82" i="28" s="1"/>
  <c r="M89" i="28" s="1"/>
  <c r="M41" i="28"/>
  <c r="C42" i="28"/>
  <c r="D76" i="28"/>
  <c r="AI82" i="28"/>
  <c r="AI89" i="28" s="1"/>
  <c r="E78" i="28"/>
  <c r="E82" i="28" s="1"/>
  <c r="AM80" i="26"/>
  <c r="C74" i="27"/>
  <c r="P78" i="27"/>
  <c r="P82" i="27" s="1"/>
  <c r="P90" i="27" s="1"/>
  <c r="D104" i="27"/>
  <c r="D108" i="27" s="1"/>
  <c r="D109" i="27" s="1"/>
  <c r="F82" i="27"/>
  <c r="F90" i="27" s="1"/>
  <c r="AI82" i="27"/>
  <c r="AI90" i="27" s="1"/>
  <c r="AA78" i="27"/>
  <c r="AA82" i="27" s="1"/>
  <c r="AA90" i="27" s="1"/>
  <c r="AL78" i="27"/>
  <c r="AL82" i="27" s="1"/>
  <c r="AL90" i="27" s="1"/>
  <c r="S82" i="27"/>
  <c r="S90" i="27" s="1"/>
  <c r="Z82" i="28"/>
  <c r="Z89" i="28" s="1"/>
  <c r="D76" i="27"/>
  <c r="W82" i="27"/>
  <c r="W90" i="27" s="1"/>
  <c r="G82" i="27"/>
  <c r="G90" i="27" s="1"/>
  <c r="AN82" i="27"/>
  <c r="AN90" i="27" s="1"/>
  <c r="E82" i="27"/>
  <c r="AC82" i="27"/>
  <c r="AC90" i="27" s="1"/>
  <c r="AH82" i="27"/>
  <c r="AH90" i="27" s="1"/>
  <c r="M82" i="27"/>
  <c r="M90" i="27" s="1"/>
  <c r="AB82" i="27"/>
  <c r="AB90" i="27" s="1"/>
  <c r="Z78" i="27"/>
  <c r="Z82" i="27" s="1"/>
  <c r="Z90" i="27" s="1"/>
  <c r="Q78" i="27"/>
  <c r="D46" i="28"/>
  <c r="D40" i="28"/>
  <c r="V78" i="28"/>
  <c r="AJ82" i="28"/>
  <c r="AJ89" i="28" s="1"/>
  <c r="C85" i="28"/>
  <c r="L78" i="28"/>
  <c r="L82" i="28" s="1"/>
  <c r="L89" i="28" s="1"/>
  <c r="C25" i="27"/>
  <c r="D45" i="27"/>
  <c r="C86" i="27"/>
  <c r="D40" i="27"/>
  <c r="AJ81" i="39" l="1"/>
  <c r="AK76" i="39"/>
  <c r="AK80" i="39" s="1"/>
  <c r="AM72" i="39"/>
  <c r="AL59" i="39"/>
  <c r="E83" i="28"/>
  <c r="F83" i="28" s="1"/>
  <c r="G83" i="28" s="1"/>
  <c r="H83" i="28" s="1"/>
  <c r="I83" i="28" s="1"/>
  <c r="J83" i="28" s="1"/>
  <c r="K83" i="28" s="1"/>
  <c r="L83" i="28" s="1"/>
  <c r="M83" i="28" s="1"/>
  <c r="N83" i="28" s="1"/>
  <c r="O83" i="28" s="1"/>
  <c r="P83" i="28" s="1"/>
  <c r="Q83" i="28" s="1"/>
  <c r="R83" i="28" s="1"/>
  <c r="S83" i="28" s="1"/>
  <c r="T83" i="28" s="1"/>
  <c r="U83" i="28" s="1"/>
  <c r="E89" i="28"/>
  <c r="E90" i="28" s="1"/>
  <c r="F90" i="28" s="1"/>
  <c r="G90" i="28" s="1"/>
  <c r="H90" i="28" s="1"/>
  <c r="I90" i="28" s="1"/>
  <c r="J90" i="28" s="1"/>
  <c r="K90" i="28" s="1"/>
  <c r="L90" i="28" s="1"/>
  <c r="M90" i="28" s="1"/>
  <c r="N90" i="28" s="1"/>
  <c r="O90" i="28" s="1"/>
  <c r="P90" i="28" s="1"/>
  <c r="Q90" i="28" s="1"/>
  <c r="R90" i="28" s="1"/>
  <c r="S90" i="28" s="1"/>
  <c r="T90" i="28" s="1"/>
  <c r="E83" i="27"/>
  <c r="E90" i="27"/>
  <c r="E91" i="27" s="1"/>
  <c r="D78" i="28"/>
  <c r="D82" i="28" s="1"/>
  <c r="D89" i="28" s="1"/>
  <c r="U89" i="28"/>
  <c r="V82" i="28"/>
  <c r="C82" i="28" s="1"/>
  <c r="Q82" i="27"/>
  <c r="D78" i="27"/>
  <c r="D82" i="27" s="1"/>
  <c r="F83" i="27"/>
  <c r="G83" i="27" s="1"/>
  <c r="H83" i="27" s="1"/>
  <c r="I83" i="27" s="1"/>
  <c r="J83" i="27" s="1"/>
  <c r="K83" i="27" s="1"/>
  <c r="L83" i="27" s="1"/>
  <c r="M83" i="27" s="1"/>
  <c r="N83" i="27" s="1"/>
  <c r="O83" i="27" s="1"/>
  <c r="P83" i="27" s="1"/>
  <c r="AK81" i="39" l="1"/>
  <c r="AL76" i="39"/>
  <c r="AL80" i="39" s="1"/>
  <c r="AN72" i="39"/>
  <c r="AM59" i="39"/>
  <c r="U90" i="28"/>
  <c r="C82" i="27"/>
  <c r="Q90" i="27"/>
  <c r="F91" i="27"/>
  <c r="G91" i="27" s="1"/>
  <c r="H91" i="27" s="1"/>
  <c r="I91" i="27" s="1"/>
  <c r="J91" i="27" s="1"/>
  <c r="K91" i="27" s="1"/>
  <c r="L91" i="27" s="1"/>
  <c r="M91" i="27" s="1"/>
  <c r="N91" i="27" s="1"/>
  <c r="O91" i="27" s="1"/>
  <c r="P91" i="27" s="1"/>
  <c r="Q91" i="27" s="1"/>
  <c r="R91" i="27" s="1"/>
  <c r="S91" i="27" s="1"/>
  <c r="T91" i="27" s="1"/>
  <c r="U91" i="27" s="1"/>
  <c r="V91" i="27" s="1"/>
  <c r="W91" i="27" s="1"/>
  <c r="X91" i="27" s="1"/>
  <c r="Y91" i="27" s="1"/>
  <c r="Z91" i="27" s="1"/>
  <c r="AA91" i="27" s="1"/>
  <c r="AB91" i="27" s="1"/>
  <c r="AC91" i="27" s="1"/>
  <c r="AD91" i="27" s="1"/>
  <c r="AE91" i="27" s="1"/>
  <c r="AF91" i="27" s="1"/>
  <c r="AG91" i="27" s="1"/>
  <c r="AH91" i="27" s="1"/>
  <c r="AI91" i="27" s="1"/>
  <c r="AJ91" i="27" s="1"/>
  <c r="AK91" i="27" s="1"/>
  <c r="AL91" i="27" s="1"/>
  <c r="AM91" i="27" s="1"/>
  <c r="AN91" i="27" s="1"/>
  <c r="D84" i="27"/>
  <c r="D90" i="27"/>
  <c r="V89" i="28"/>
  <c r="Q83" i="27"/>
  <c r="R83" i="27" s="1"/>
  <c r="S83" i="27" s="1"/>
  <c r="T83" i="27" s="1"/>
  <c r="U83" i="27" s="1"/>
  <c r="V83" i="27" s="1"/>
  <c r="W83" i="27" s="1"/>
  <c r="X83" i="27" s="1"/>
  <c r="Y83" i="27" s="1"/>
  <c r="Z83" i="27" s="1"/>
  <c r="AA83" i="27" s="1"/>
  <c r="AB83" i="27" s="1"/>
  <c r="AC83" i="27" s="1"/>
  <c r="AD83" i="27" s="1"/>
  <c r="AE83" i="27" s="1"/>
  <c r="AF83" i="27" s="1"/>
  <c r="AG83" i="27" s="1"/>
  <c r="AH83" i="27" s="1"/>
  <c r="AI83" i="27" s="1"/>
  <c r="AJ83" i="27" s="1"/>
  <c r="AK83" i="27" s="1"/>
  <c r="AL83" i="27" s="1"/>
  <c r="AM83" i="27" s="1"/>
  <c r="AN83" i="27" s="1"/>
  <c r="V83" i="28"/>
  <c r="W83" i="28" s="1"/>
  <c r="X83" i="28" s="1"/>
  <c r="Y83" i="28" s="1"/>
  <c r="Z83" i="28" s="1"/>
  <c r="AA83" i="28" s="1"/>
  <c r="AB83" i="28" s="1"/>
  <c r="AC83" i="28" s="1"/>
  <c r="AD83" i="28" s="1"/>
  <c r="AE83" i="28" s="1"/>
  <c r="AF83" i="28" s="1"/>
  <c r="AG83" i="28" s="1"/>
  <c r="AH83" i="28" s="1"/>
  <c r="AI83" i="28" s="1"/>
  <c r="AJ83" i="28" s="1"/>
  <c r="AK83" i="28" s="1"/>
  <c r="AL83" i="28" s="1"/>
  <c r="AM83" i="28" s="1"/>
  <c r="AN83" i="28" s="1"/>
  <c r="AL79" i="26"/>
  <c r="AK79" i="26"/>
  <c r="AJ79" i="26"/>
  <c r="AI79" i="26"/>
  <c r="AH79" i="26"/>
  <c r="AG79" i="26"/>
  <c r="AF79" i="26"/>
  <c r="AE79" i="26"/>
  <c r="AD79" i="26"/>
  <c r="AC79" i="26"/>
  <c r="AB79" i="26"/>
  <c r="AA79" i="26"/>
  <c r="Z79" i="26"/>
  <c r="Y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AL70" i="26"/>
  <c r="AK70" i="26"/>
  <c r="AJ70" i="26"/>
  <c r="AI70" i="26"/>
  <c r="AH70" i="26"/>
  <c r="AG70" i="26"/>
  <c r="AF70" i="26"/>
  <c r="AE70" i="26"/>
  <c r="AD70" i="26"/>
  <c r="AC70" i="26"/>
  <c r="AB70" i="26"/>
  <c r="AA70" i="26"/>
  <c r="Z70" i="26"/>
  <c r="Y70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L70" i="26"/>
  <c r="K70" i="26"/>
  <c r="J70" i="26"/>
  <c r="I70" i="26"/>
  <c r="H70" i="26"/>
  <c r="G70" i="26"/>
  <c r="F70" i="26"/>
  <c r="E70" i="26"/>
  <c r="AL69" i="26"/>
  <c r="AK69" i="26"/>
  <c r="AJ69" i="26"/>
  <c r="AI69" i="26"/>
  <c r="AH69" i="26"/>
  <c r="AG69" i="26"/>
  <c r="AF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AL68" i="26"/>
  <c r="AK68" i="26"/>
  <c r="AJ68" i="26"/>
  <c r="AI68" i="26"/>
  <c r="AH68" i="26"/>
  <c r="AG68" i="26"/>
  <c r="AF68" i="26"/>
  <c r="AE68" i="26"/>
  <c r="AD68" i="26"/>
  <c r="AC68" i="26"/>
  <c r="AB68" i="26"/>
  <c r="AA68" i="26"/>
  <c r="Z68" i="26"/>
  <c r="Y68" i="26"/>
  <c r="X68" i="26"/>
  <c r="W68" i="26"/>
  <c r="V68" i="26"/>
  <c r="U68" i="26"/>
  <c r="T68" i="26"/>
  <c r="S68" i="26"/>
  <c r="R68" i="26"/>
  <c r="Q68" i="26"/>
  <c r="P68" i="26"/>
  <c r="O68" i="26"/>
  <c r="N68" i="26"/>
  <c r="M68" i="26"/>
  <c r="L68" i="26"/>
  <c r="K68" i="26"/>
  <c r="J68" i="26"/>
  <c r="I68" i="26"/>
  <c r="H68" i="26"/>
  <c r="G68" i="26"/>
  <c r="F68" i="26"/>
  <c r="E68" i="26"/>
  <c r="AL67" i="26"/>
  <c r="AK67" i="26"/>
  <c r="AJ67" i="26"/>
  <c r="AI67" i="26"/>
  <c r="AH67" i="26"/>
  <c r="AG67" i="26"/>
  <c r="AF67" i="26"/>
  <c r="AE67" i="26"/>
  <c r="AD67" i="26"/>
  <c r="AC67" i="26"/>
  <c r="AB67" i="26"/>
  <c r="AA67" i="26"/>
  <c r="Z67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AL66" i="26"/>
  <c r="AK66" i="26"/>
  <c r="AJ66" i="26"/>
  <c r="AI66" i="26"/>
  <c r="AH66" i="26"/>
  <c r="AG66" i="26"/>
  <c r="AF66" i="26"/>
  <c r="AE66" i="26"/>
  <c r="AD66" i="26"/>
  <c r="AC66" i="26"/>
  <c r="AB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AL65" i="26"/>
  <c r="AK65" i="26"/>
  <c r="AJ65" i="26"/>
  <c r="AI65" i="26"/>
  <c r="AH65" i="26"/>
  <c r="AG65" i="26"/>
  <c r="AF65" i="26"/>
  <c r="AE65" i="26"/>
  <c r="AD65" i="26"/>
  <c r="AC65" i="26"/>
  <c r="AB65" i="26"/>
  <c r="AA65" i="26"/>
  <c r="Z65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AL64" i="26"/>
  <c r="AK64" i="26"/>
  <c r="AJ64" i="26"/>
  <c r="AI64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AL63" i="26"/>
  <c r="AK63" i="26"/>
  <c r="AJ63" i="26"/>
  <c r="AI63" i="26"/>
  <c r="AH63" i="26"/>
  <c r="AG63" i="26"/>
  <c r="AF63" i="26"/>
  <c r="AE63" i="26"/>
  <c r="AD63" i="26"/>
  <c r="AC63" i="26"/>
  <c r="AB63" i="26"/>
  <c r="AA63" i="26"/>
  <c r="Z63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AL62" i="26"/>
  <c r="AK62" i="26"/>
  <c r="AJ62" i="26"/>
  <c r="AI62" i="26"/>
  <c r="AH62" i="26"/>
  <c r="AG62" i="26"/>
  <c r="AF62" i="26"/>
  <c r="AE62" i="26"/>
  <c r="AD62" i="26"/>
  <c r="AC62" i="26"/>
  <c r="AB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AL61" i="26"/>
  <c r="AK61" i="26"/>
  <c r="AJ61" i="26"/>
  <c r="AI61" i="26"/>
  <c r="AH61" i="26"/>
  <c r="AG61" i="26"/>
  <c r="AF61" i="26"/>
  <c r="AE61" i="26"/>
  <c r="AD61" i="26"/>
  <c r="AC61" i="26"/>
  <c r="AB61" i="26"/>
  <c r="AA61" i="26"/>
  <c r="Z61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AL60" i="26"/>
  <c r="AK60" i="26"/>
  <c r="AJ60" i="26"/>
  <c r="AI60" i="26"/>
  <c r="AH60" i="26"/>
  <c r="AG60" i="26"/>
  <c r="AF60" i="26"/>
  <c r="AE60" i="26"/>
  <c r="AD60" i="26"/>
  <c r="AC60" i="26"/>
  <c r="AB60" i="26"/>
  <c r="AA60" i="26"/>
  <c r="Z60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51" i="26"/>
  <c r="D50" i="26"/>
  <c r="D72" i="26" s="1"/>
  <c r="D49" i="26"/>
  <c r="D48" i="26"/>
  <c r="D47" i="26"/>
  <c r="D46" i="26"/>
  <c r="D42" i="26"/>
  <c r="D41" i="26"/>
  <c r="D38" i="26"/>
  <c r="D71" i="26" s="1"/>
  <c r="D37" i="26"/>
  <c r="D70" i="26" s="1"/>
  <c r="D36" i="26"/>
  <c r="D69" i="26" s="1"/>
  <c r="D35" i="26"/>
  <c r="D68" i="26" s="1"/>
  <c r="D34" i="26"/>
  <c r="D67" i="26" s="1"/>
  <c r="D33" i="26"/>
  <c r="D66" i="26" s="1"/>
  <c r="D32" i="26"/>
  <c r="D65" i="26" s="1"/>
  <c r="D31" i="26"/>
  <c r="D64" i="26" s="1"/>
  <c r="D30" i="26"/>
  <c r="D63" i="26" s="1"/>
  <c r="D29" i="26"/>
  <c r="D62" i="26" s="1"/>
  <c r="D28" i="26"/>
  <c r="D61" i="26" s="1"/>
  <c r="D27" i="26"/>
  <c r="D60" i="26" s="1"/>
  <c r="AL26" i="26"/>
  <c r="AL44" i="26" s="1"/>
  <c r="AK26" i="26"/>
  <c r="AK44" i="26" s="1"/>
  <c r="AJ26" i="26"/>
  <c r="AJ44" i="26" s="1"/>
  <c r="AI26" i="26"/>
  <c r="AH26" i="26"/>
  <c r="AH44" i="26" s="1"/>
  <c r="AG26" i="26"/>
  <c r="AG39" i="26" s="1"/>
  <c r="AF26" i="26"/>
  <c r="AF44" i="26" s="1"/>
  <c r="AE26" i="26"/>
  <c r="AE44" i="26" s="1"/>
  <c r="AC26" i="26"/>
  <c r="AC44" i="26" s="1"/>
  <c r="AB26" i="26"/>
  <c r="AB44" i="26" s="1"/>
  <c r="AA39" i="26"/>
  <c r="Z26" i="26"/>
  <c r="Z44" i="26" s="1"/>
  <c r="Y26" i="26"/>
  <c r="Y44" i="26" s="1"/>
  <c r="X26" i="26"/>
  <c r="X44" i="26" s="1"/>
  <c r="W26" i="26"/>
  <c r="W44" i="26" s="1"/>
  <c r="V26" i="26"/>
  <c r="V44" i="26" s="1"/>
  <c r="U26" i="26"/>
  <c r="U39" i="26" s="1"/>
  <c r="T26" i="26"/>
  <c r="T44" i="26" s="1"/>
  <c r="S26" i="26"/>
  <c r="S44" i="26" s="1"/>
  <c r="R26" i="26"/>
  <c r="R44" i="26" s="1"/>
  <c r="Q26" i="26"/>
  <c r="Q44" i="26" s="1"/>
  <c r="P26" i="26"/>
  <c r="P44" i="26" s="1"/>
  <c r="O26" i="26"/>
  <c r="O39" i="26" s="1"/>
  <c r="N26" i="26"/>
  <c r="N44" i="26" s="1"/>
  <c r="M26" i="26"/>
  <c r="M44" i="26" s="1"/>
  <c r="L26" i="26"/>
  <c r="L44" i="26" s="1"/>
  <c r="K26" i="26"/>
  <c r="K44" i="26" s="1"/>
  <c r="J26" i="26"/>
  <c r="J44" i="26" s="1"/>
  <c r="I26" i="26"/>
  <c r="I39" i="26" s="1"/>
  <c r="H26" i="26"/>
  <c r="H44" i="26" s="1"/>
  <c r="G26" i="26"/>
  <c r="G44" i="26" s="1"/>
  <c r="F26" i="26"/>
  <c r="F44" i="26" s="1"/>
  <c r="E26" i="26"/>
  <c r="E44" i="26" s="1"/>
  <c r="D21" i="26"/>
  <c r="D20" i="26"/>
  <c r="D19" i="26"/>
  <c r="D18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5" i="26"/>
  <c r="D14" i="26"/>
  <c r="D13" i="26"/>
  <c r="D12" i="26"/>
  <c r="D11" i="26"/>
  <c r="D10" i="26"/>
  <c r="D9" i="26"/>
  <c r="D42" i="23"/>
  <c r="D41" i="23"/>
  <c r="D50" i="25"/>
  <c r="D72" i="25" s="1"/>
  <c r="D51" i="25"/>
  <c r="D46" i="25"/>
  <c r="D48" i="25"/>
  <c r="D49" i="25"/>
  <c r="D47" i="25"/>
  <c r="D42" i="25"/>
  <c r="D41" i="25"/>
  <c r="D27" i="25"/>
  <c r="D60" i="25" s="1"/>
  <c r="D29" i="25"/>
  <c r="D62" i="25" s="1"/>
  <c r="D30" i="25"/>
  <c r="D63" i="25" s="1"/>
  <c r="D31" i="25"/>
  <c r="D64" i="25" s="1"/>
  <c r="D32" i="25"/>
  <c r="D65" i="25" s="1"/>
  <c r="D33" i="25"/>
  <c r="D66" i="25" s="1"/>
  <c r="D34" i="25"/>
  <c r="D67" i="25" s="1"/>
  <c r="D35" i="25"/>
  <c r="D68" i="25" s="1"/>
  <c r="D36" i="25"/>
  <c r="D69" i="25" s="1"/>
  <c r="D37" i="25"/>
  <c r="D38" i="25"/>
  <c r="D71" i="25" s="1"/>
  <c r="D28" i="25"/>
  <c r="D61" i="25" s="1"/>
  <c r="D9" i="25"/>
  <c r="D10" i="25"/>
  <c r="D12" i="25"/>
  <c r="D13" i="25"/>
  <c r="D14" i="25"/>
  <c r="D15" i="25"/>
  <c r="D11" i="25"/>
  <c r="D51" i="23"/>
  <c r="D50" i="23"/>
  <c r="D72" i="23" s="1"/>
  <c r="D46" i="23"/>
  <c r="D49" i="23"/>
  <c r="D48" i="23"/>
  <c r="D47" i="23"/>
  <c r="D21" i="23"/>
  <c r="D19" i="23"/>
  <c r="D15" i="23"/>
  <c r="D14" i="23"/>
  <c r="D9" i="23"/>
  <c r="D11" i="23"/>
  <c r="D10" i="23"/>
  <c r="D13" i="23"/>
  <c r="D12" i="23"/>
  <c r="D20" i="23"/>
  <c r="D30" i="23"/>
  <c r="D63" i="23" s="1"/>
  <c r="D31" i="23"/>
  <c r="D64" i="23" s="1"/>
  <c r="D32" i="23"/>
  <c r="D65" i="23" s="1"/>
  <c r="D33" i="23"/>
  <c r="D66" i="23" s="1"/>
  <c r="D34" i="23"/>
  <c r="D67" i="23" s="1"/>
  <c r="D35" i="23"/>
  <c r="D68" i="23" s="1"/>
  <c r="D36" i="23"/>
  <c r="D69" i="23" s="1"/>
  <c r="D37" i="23"/>
  <c r="D38" i="23"/>
  <c r="D71" i="23" s="1"/>
  <c r="D27" i="23"/>
  <c r="D60" i="23" s="1"/>
  <c r="D28" i="23"/>
  <c r="D61" i="23" s="1"/>
  <c r="D29" i="23"/>
  <c r="D62" i="23" s="1"/>
  <c r="AL79" i="25"/>
  <c r="AK79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AL70" i="25"/>
  <c r="AK70" i="25"/>
  <c r="AJ70" i="25"/>
  <c r="AI70" i="25"/>
  <c r="AH70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AL69" i="25"/>
  <c r="AK69" i="25"/>
  <c r="AJ69" i="25"/>
  <c r="AI69" i="25"/>
  <c r="AH69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AL68" i="25"/>
  <c r="AK68" i="25"/>
  <c r="AJ68" i="25"/>
  <c r="AI68" i="25"/>
  <c r="AH68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AL61" i="25"/>
  <c r="AK61" i="25"/>
  <c r="AJ61" i="25"/>
  <c r="AI61" i="25"/>
  <c r="AH61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AL26" i="25"/>
  <c r="AL44" i="25" s="1"/>
  <c r="AK26" i="25"/>
  <c r="AK44" i="25" s="1"/>
  <c r="AJ26" i="25"/>
  <c r="AJ44" i="25" s="1"/>
  <c r="AI26" i="25"/>
  <c r="AI44" i="25" s="1"/>
  <c r="AH26" i="25"/>
  <c r="AH44" i="25" s="1"/>
  <c r="AG26" i="25"/>
  <c r="AG44" i="25" s="1"/>
  <c r="AF26" i="25"/>
  <c r="AF39" i="25" s="1"/>
  <c r="AE26" i="25"/>
  <c r="AE39" i="25" s="1"/>
  <c r="AD26" i="25"/>
  <c r="AD39" i="25" s="1"/>
  <c r="AC26" i="25"/>
  <c r="AB26" i="25"/>
  <c r="AA26" i="25"/>
  <c r="Z26" i="25"/>
  <c r="Y26" i="25"/>
  <c r="Y44" i="25" s="1"/>
  <c r="X26" i="25"/>
  <c r="X44" i="25" s="1"/>
  <c r="W26" i="25"/>
  <c r="W44" i="25" s="1"/>
  <c r="V26" i="25"/>
  <c r="V44" i="25" s="1"/>
  <c r="U26" i="25"/>
  <c r="T26" i="25"/>
  <c r="S26" i="25"/>
  <c r="R26" i="25"/>
  <c r="R44" i="25" s="1"/>
  <c r="Q26" i="25"/>
  <c r="Q44" i="25" s="1"/>
  <c r="P26" i="25"/>
  <c r="P39" i="25" s="1"/>
  <c r="O26" i="25"/>
  <c r="N26" i="25"/>
  <c r="M26" i="25"/>
  <c r="L26" i="25"/>
  <c r="K26" i="25"/>
  <c r="J26" i="25"/>
  <c r="I26" i="25"/>
  <c r="H26" i="25"/>
  <c r="H44" i="25" s="1"/>
  <c r="G26" i="25"/>
  <c r="G44" i="25" s="1"/>
  <c r="F26" i="25"/>
  <c r="E26" i="25"/>
  <c r="E39" i="25" s="1"/>
  <c r="D21" i="25"/>
  <c r="D20" i="25"/>
  <c r="D19" i="25"/>
  <c r="D18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AC16" i="23"/>
  <c r="AD16" i="23"/>
  <c r="AE16" i="23"/>
  <c r="AF16" i="23"/>
  <c r="AG16" i="23"/>
  <c r="AH16" i="23"/>
  <c r="AI16" i="23"/>
  <c r="AJ16" i="23"/>
  <c r="AK16" i="23"/>
  <c r="AL16" i="23"/>
  <c r="AC26" i="23"/>
  <c r="AC44" i="23" s="1"/>
  <c r="AD26" i="23"/>
  <c r="AD44" i="23" s="1"/>
  <c r="AE26" i="23"/>
  <c r="AE44" i="23" s="1"/>
  <c r="AF26" i="23"/>
  <c r="AF44" i="23" s="1"/>
  <c r="AG26" i="23"/>
  <c r="AG39" i="23" s="1"/>
  <c r="AH26" i="23"/>
  <c r="AH39" i="23" s="1"/>
  <c r="AI26" i="23"/>
  <c r="AI44" i="23" s="1"/>
  <c r="AJ26" i="23"/>
  <c r="AJ39" i="23" s="1"/>
  <c r="AK26" i="23"/>
  <c r="AK39" i="23" s="1"/>
  <c r="AL26" i="23"/>
  <c r="AL39" i="23" s="1"/>
  <c r="AC60" i="23"/>
  <c r="AD60" i="23"/>
  <c r="AE60" i="23"/>
  <c r="AF60" i="23"/>
  <c r="AG60" i="23"/>
  <c r="AH60" i="23"/>
  <c r="AI60" i="23"/>
  <c r="AJ60" i="23"/>
  <c r="AK60" i="23"/>
  <c r="AL60" i="23"/>
  <c r="AC61" i="23"/>
  <c r="AD61" i="23"/>
  <c r="AE61" i="23"/>
  <c r="AF61" i="23"/>
  <c r="AG61" i="23"/>
  <c r="AH61" i="23"/>
  <c r="AI61" i="23"/>
  <c r="AJ61" i="23"/>
  <c r="AK61" i="23"/>
  <c r="AL61" i="23"/>
  <c r="AC62" i="23"/>
  <c r="AD62" i="23"/>
  <c r="AE62" i="23"/>
  <c r="AF62" i="23"/>
  <c r="AG62" i="23"/>
  <c r="AH62" i="23"/>
  <c r="AI62" i="23"/>
  <c r="AJ62" i="23"/>
  <c r="AK62" i="23"/>
  <c r="AL62" i="23"/>
  <c r="AC63" i="23"/>
  <c r="AD63" i="23"/>
  <c r="AE63" i="23"/>
  <c r="AF63" i="23"/>
  <c r="AG63" i="23"/>
  <c r="AH63" i="23"/>
  <c r="AI63" i="23"/>
  <c r="AJ63" i="23"/>
  <c r="AK63" i="23"/>
  <c r="AL63" i="23"/>
  <c r="AC64" i="23"/>
  <c r="AD64" i="23"/>
  <c r="AE64" i="23"/>
  <c r="AF64" i="23"/>
  <c r="AG64" i="23"/>
  <c r="AH64" i="23"/>
  <c r="AI64" i="23"/>
  <c r="AJ64" i="23"/>
  <c r="AK64" i="23"/>
  <c r="AL64" i="23"/>
  <c r="AC65" i="23"/>
  <c r="AD65" i="23"/>
  <c r="AE65" i="23"/>
  <c r="AF65" i="23"/>
  <c r="AG65" i="23"/>
  <c r="AH65" i="23"/>
  <c r="AI65" i="23"/>
  <c r="AJ65" i="23"/>
  <c r="AK65" i="23"/>
  <c r="AL65" i="23"/>
  <c r="AC66" i="23"/>
  <c r="AD66" i="23"/>
  <c r="AE66" i="23"/>
  <c r="AF66" i="23"/>
  <c r="AG66" i="23"/>
  <c r="AH66" i="23"/>
  <c r="AI66" i="23"/>
  <c r="AJ66" i="23"/>
  <c r="AK66" i="23"/>
  <c r="AL66" i="23"/>
  <c r="AC67" i="23"/>
  <c r="AD67" i="23"/>
  <c r="AE67" i="23"/>
  <c r="AF67" i="23"/>
  <c r="AG67" i="23"/>
  <c r="AH67" i="23"/>
  <c r="AI67" i="23"/>
  <c r="AJ67" i="23"/>
  <c r="AK67" i="23"/>
  <c r="AL67" i="23"/>
  <c r="AC68" i="23"/>
  <c r="AD68" i="23"/>
  <c r="AE68" i="23"/>
  <c r="AF68" i="23"/>
  <c r="AG68" i="23"/>
  <c r="AH68" i="23"/>
  <c r="AI68" i="23"/>
  <c r="AJ68" i="23"/>
  <c r="AK68" i="23"/>
  <c r="AL68" i="23"/>
  <c r="AC69" i="23"/>
  <c r="AD69" i="23"/>
  <c r="AE69" i="23"/>
  <c r="AF69" i="23"/>
  <c r="AG69" i="23"/>
  <c r="AH69" i="23"/>
  <c r="AI69" i="23"/>
  <c r="AJ69" i="23"/>
  <c r="AK69" i="23"/>
  <c r="AL69" i="23"/>
  <c r="AC70" i="23"/>
  <c r="AD70" i="23"/>
  <c r="AE70" i="23"/>
  <c r="AF70" i="23"/>
  <c r="AG70" i="23"/>
  <c r="AH70" i="23"/>
  <c r="AI70" i="23"/>
  <c r="AJ70" i="23"/>
  <c r="AK70" i="23"/>
  <c r="AL70" i="23"/>
  <c r="AC71" i="23"/>
  <c r="AD71" i="23"/>
  <c r="AE71" i="23"/>
  <c r="AF71" i="23"/>
  <c r="AG71" i="23"/>
  <c r="AH71" i="23"/>
  <c r="AI71" i="23"/>
  <c r="AJ71" i="23"/>
  <c r="AK71" i="23"/>
  <c r="AL71" i="23"/>
  <c r="AC72" i="23"/>
  <c r="AD72" i="23"/>
  <c r="AI72" i="23"/>
  <c r="AJ72" i="23"/>
  <c r="AK72" i="23"/>
  <c r="AL72" i="23"/>
  <c r="AC77" i="23"/>
  <c r="AD77" i="23"/>
  <c r="AE77" i="23"/>
  <c r="AF77" i="23"/>
  <c r="AG77" i="23"/>
  <c r="AH77" i="23"/>
  <c r="AI77" i="23"/>
  <c r="AJ77" i="23"/>
  <c r="AK77" i="23"/>
  <c r="AL77" i="23"/>
  <c r="AC78" i="23"/>
  <c r="AD78" i="23"/>
  <c r="AE78" i="23"/>
  <c r="AF78" i="23"/>
  <c r="AG78" i="23"/>
  <c r="AH78" i="23"/>
  <c r="AI78" i="23"/>
  <c r="AJ78" i="23"/>
  <c r="AK78" i="23"/>
  <c r="AL78" i="23"/>
  <c r="AC79" i="23"/>
  <c r="AD79" i="23"/>
  <c r="AE79" i="23"/>
  <c r="AF79" i="23"/>
  <c r="AG79" i="23"/>
  <c r="AH79" i="23"/>
  <c r="AI79" i="23"/>
  <c r="AJ79" i="23"/>
  <c r="AK79" i="23"/>
  <c r="AL79" i="23"/>
  <c r="E16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AB72" i="23"/>
  <c r="AA72" i="23"/>
  <c r="Z72" i="23"/>
  <c r="Y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F72" i="23"/>
  <c r="E72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AB61" i="23"/>
  <c r="AA61" i="23"/>
  <c r="Z61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AB60" i="23"/>
  <c r="AA60" i="23"/>
  <c r="Z60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AB26" i="23"/>
  <c r="AB44" i="23" s="1"/>
  <c r="AA26" i="23"/>
  <c r="AA44" i="23" s="1"/>
  <c r="Z26" i="23"/>
  <c r="Z39" i="23" s="1"/>
  <c r="Y26" i="23"/>
  <c r="Y44" i="23" s="1"/>
  <c r="X26" i="23"/>
  <c r="X44" i="23" s="1"/>
  <c r="W26" i="23"/>
  <c r="W44" i="23" s="1"/>
  <c r="V26" i="23"/>
  <c r="V44" i="23" s="1"/>
  <c r="U26" i="23"/>
  <c r="U44" i="23" s="1"/>
  <c r="T26" i="23"/>
  <c r="T39" i="23" s="1"/>
  <c r="S26" i="23"/>
  <c r="S39" i="23" s="1"/>
  <c r="R26" i="23"/>
  <c r="R39" i="23" s="1"/>
  <c r="Q26" i="23"/>
  <c r="Q44" i="23" s="1"/>
  <c r="P26" i="23"/>
  <c r="P39" i="23" s="1"/>
  <c r="O26" i="23"/>
  <c r="O44" i="23" s="1"/>
  <c r="N26" i="23"/>
  <c r="N44" i="23" s="1"/>
  <c r="M26" i="23"/>
  <c r="M44" i="23" s="1"/>
  <c r="L26" i="23"/>
  <c r="L44" i="23" s="1"/>
  <c r="K26" i="23"/>
  <c r="K44" i="23" s="1"/>
  <c r="J26" i="23"/>
  <c r="I26" i="23"/>
  <c r="I44" i="23" s="1"/>
  <c r="H26" i="23"/>
  <c r="H44" i="23" s="1"/>
  <c r="G26" i="23"/>
  <c r="G44" i="23" s="1"/>
  <c r="F26" i="23"/>
  <c r="F44" i="23" s="1"/>
  <c r="E26" i="23"/>
  <c r="E44" i="23" s="1"/>
  <c r="D18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G60" i="24"/>
  <c r="H60" i="24"/>
  <c r="I60" i="24"/>
  <c r="J60" i="24"/>
  <c r="K60" i="24"/>
  <c r="L60" i="24"/>
  <c r="M60" i="24"/>
  <c r="N60" i="24"/>
  <c r="O60" i="24"/>
  <c r="P60" i="24"/>
  <c r="Q60" i="24"/>
  <c r="R60" i="24"/>
  <c r="S60" i="24"/>
  <c r="T60" i="24"/>
  <c r="U60" i="24"/>
  <c r="V60" i="24"/>
  <c r="W60" i="24"/>
  <c r="X60" i="24"/>
  <c r="Y60" i="24"/>
  <c r="Z60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G68" i="24"/>
  <c r="H68" i="24"/>
  <c r="I68" i="24"/>
  <c r="J68" i="24"/>
  <c r="K68" i="24"/>
  <c r="L68" i="24"/>
  <c r="M68" i="24"/>
  <c r="N68" i="24"/>
  <c r="O68" i="24"/>
  <c r="P68" i="24"/>
  <c r="Q68" i="24"/>
  <c r="R68" i="24"/>
  <c r="S68" i="24"/>
  <c r="T68" i="24"/>
  <c r="U68" i="24"/>
  <c r="V68" i="24"/>
  <c r="W68" i="24"/>
  <c r="X68" i="24"/>
  <c r="Y68" i="24"/>
  <c r="Z68" i="24"/>
  <c r="G69" i="24"/>
  <c r="H69" i="24"/>
  <c r="I69" i="24"/>
  <c r="J69" i="24"/>
  <c r="K69" i="24"/>
  <c r="L69" i="24"/>
  <c r="M69" i="24"/>
  <c r="N69" i="24"/>
  <c r="O69" i="24"/>
  <c r="P69" i="24"/>
  <c r="Q69" i="24"/>
  <c r="R69" i="24"/>
  <c r="S69" i="24"/>
  <c r="T69" i="24"/>
  <c r="U69" i="24"/>
  <c r="V69" i="24"/>
  <c r="W69" i="24"/>
  <c r="X69" i="24"/>
  <c r="Y69" i="24"/>
  <c r="Z69" i="24"/>
  <c r="G70" i="24"/>
  <c r="H70" i="24"/>
  <c r="I70" i="24"/>
  <c r="J70" i="24"/>
  <c r="K70" i="24"/>
  <c r="L70" i="24"/>
  <c r="M70" i="24"/>
  <c r="N70" i="24"/>
  <c r="O70" i="24"/>
  <c r="P70" i="24"/>
  <c r="Q70" i="24"/>
  <c r="R70" i="24"/>
  <c r="S70" i="24"/>
  <c r="T70" i="24"/>
  <c r="U70" i="24"/>
  <c r="V70" i="24"/>
  <c r="W70" i="24"/>
  <c r="X70" i="24"/>
  <c r="Y70" i="24"/>
  <c r="Z70" i="24"/>
  <c r="G71" i="24"/>
  <c r="H71" i="24"/>
  <c r="I71" i="24"/>
  <c r="J71" i="24"/>
  <c r="K71" i="24"/>
  <c r="L71" i="24"/>
  <c r="M71" i="24"/>
  <c r="N71" i="24"/>
  <c r="O71" i="24"/>
  <c r="P71" i="24"/>
  <c r="Q71" i="24"/>
  <c r="R71" i="24"/>
  <c r="S71" i="24"/>
  <c r="T71" i="24"/>
  <c r="U71" i="24"/>
  <c r="V71" i="24"/>
  <c r="W71" i="24"/>
  <c r="X71" i="24"/>
  <c r="Y71" i="24"/>
  <c r="Z71" i="24"/>
  <c r="G72" i="24"/>
  <c r="H72" i="24"/>
  <c r="I72" i="24"/>
  <c r="J72" i="24"/>
  <c r="K72" i="24"/>
  <c r="L72" i="24"/>
  <c r="M72" i="24"/>
  <c r="N72" i="24"/>
  <c r="O72" i="24"/>
  <c r="P72" i="24"/>
  <c r="Q72" i="24"/>
  <c r="R72" i="24"/>
  <c r="S72" i="24"/>
  <c r="T72" i="24"/>
  <c r="U72" i="24"/>
  <c r="V72" i="24"/>
  <c r="W72" i="24"/>
  <c r="X72" i="24"/>
  <c r="Y72" i="24"/>
  <c r="Z72" i="24"/>
  <c r="G26" i="24"/>
  <c r="D27" i="24"/>
  <c r="D60" i="24" s="1"/>
  <c r="D28" i="24"/>
  <c r="D61" i="24" s="1"/>
  <c r="D29" i="24"/>
  <c r="D62" i="24" s="1"/>
  <c r="D30" i="24"/>
  <c r="D63" i="24" s="1"/>
  <c r="D31" i="24"/>
  <c r="D64" i="24" s="1"/>
  <c r="D32" i="24"/>
  <c r="D65" i="24" s="1"/>
  <c r="D33" i="24"/>
  <c r="D66" i="24" s="1"/>
  <c r="D34" i="24"/>
  <c r="D67" i="24" s="1"/>
  <c r="D35" i="24"/>
  <c r="D68" i="24" s="1"/>
  <c r="D36" i="24"/>
  <c r="D69" i="24" s="1"/>
  <c r="D37" i="24"/>
  <c r="D70" i="24" s="1"/>
  <c r="D38" i="24"/>
  <c r="D71" i="24" s="1"/>
  <c r="G77" i="24"/>
  <c r="H77" i="24"/>
  <c r="I77" i="24"/>
  <c r="J77" i="24"/>
  <c r="K77" i="24"/>
  <c r="L77" i="24"/>
  <c r="M77" i="24"/>
  <c r="N77" i="24"/>
  <c r="O77" i="24"/>
  <c r="P77" i="24"/>
  <c r="Q77" i="24"/>
  <c r="R77" i="24"/>
  <c r="S77" i="24"/>
  <c r="T77" i="24"/>
  <c r="U77" i="24"/>
  <c r="V77" i="24"/>
  <c r="W77" i="24"/>
  <c r="X77" i="24"/>
  <c r="Y77" i="24"/>
  <c r="Z77" i="24"/>
  <c r="AA77" i="24"/>
  <c r="AB77" i="24"/>
  <c r="G78" i="24"/>
  <c r="H78" i="24"/>
  <c r="I78" i="24"/>
  <c r="J78" i="24"/>
  <c r="K78" i="24"/>
  <c r="L78" i="24"/>
  <c r="M78" i="24"/>
  <c r="N78" i="24"/>
  <c r="O78" i="24"/>
  <c r="P78" i="24"/>
  <c r="Q78" i="24"/>
  <c r="R78" i="24"/>
  <c r="S78" i="24"/>
  <c r="T78" i="24"/>
  <c r="U78" i="24"/>
  <c r="V78" i="24"/>
  <c r="W78" i="24"/>
  <c r="X78" i="24"/>
  <c r="Y78" i="24"/>
  <c r="Z78" i="24"/>
  <c r="AA78" i="24"/>
  <c r="AB78" i="24"/>
  <c r="G79" i="24"/>
  <c r="H79" i="24"/>
  <c r="I79" i="24"/>
  <c r="J79" i="24"/>
  <c r="K79" i="24"/>
  <c r="L79" i="24"/>
  <c r="M79" i="24"/>
  <c r="N79" i="24"/>
  <c r="O79" i="24"/>
  <c r="P79" i="24"/>
  <c r="Q79" i="24"/>
  <c r="R79" i="24"/>
  <c r="S79" i="24"/>
  <c r="T79" i="24"/>
  <c r="U79" i="24"/>
  <c r="V79" i="24"/>
  <c r="W79" i="24"/>
  <c r="X79" i="24"/>
  <c r="Y79" i="24"/>
  <c r="Z79" i="24"/>
  <c r="AA79" i="24"/>
  <c r="AB79" i="24"/>
  <c r="F72" i="24"/>
  <c r="E72" i="24"/>
  <c r="AA60" i="24"/>
  <c r="AB60" i="24"/>
  <c r="AA61" i="24"/>
  <c r="AB61" i="24"/>
  <c r="AA62" i="24"/>
  <c r="AB62" i="24"/>
  <c r="AA63" i="24"/>
  <c r="AB63" i="24"/>
  <c r="AA64" i="24"/>
  <c r="AB64" i="24"/>
  <c r="AA65" i="24"/>
  <c r="AB65" i="24"/>
  <c r="AA66" i="24"/>
  <c r="AB66" i="24"/>
  <c r="AA67" i="24"/>
  <c r="AB67" i="24"/>
  <c r="AA68" i="24"/>
  <c r="AB68" i="24"/>
  <c r="AA69" i="24"/>
  <c r="AB69" i="24"/>
  <c r="AA70" i="24"/>
  <c r="AB70" i="24"/>
  <c r="AA71" i="24"/>
  <c r="AB71" i="24"/>
  <c r="AL81" i="39" l="1"/>
  <c r="AM76" i="39"/>
  <c r="AM80" i="39"/>
  <c r="AO72" i="39"/>
  <c r="AN59" i="39"/>
  <c r="V90" i="28"/>
  <c r="W90" i="28" s="1"/>
  <c r="X90" i="28" s="1"/>
  <c r="Y90" i="28" s="1"/>
  <c r="Z90" i="28" s="1"/>
  <c r="AA90" i="28" s="1"/>
  <c r="AB90" i="28" s="1"/>
  <c r="AC90" i="28" s="1"/>
  <c r="AD90" i="28" s="1"/>
  <c r="AE90" i="28" s="1"/>
  <c r="AF90" i="28" s="1"/>
  <c r="AG90" i="28" s="1"/>
  <c r="AH90" i="28" s="1"/>
  <c r="AI90" i="28" s="1"/>
  <c r="AJ90" i="28" s="1"/>
  <c r="AK90" i="28" s="1"/>
  <c r="AL90" i="28" s="1"/>
  <c r="AM90" i="28" s="1"/>
  <c r="AN90" i="28" s="1"/>
  <c r="J59" i="24"/>
  <c r="J76" i="24" s="1"/>
  <c r="S59" i="25"/>
  <c r="S76" i="25" s="1"/>
  <c r="L59" i="24"/>
  <c r="P59" i="24"/>
  <c r="P76" i="24" s="1"/>
  <c r="X59" i="24"/>
  <c r="X76" i="24" s="1"/>
  <c r="T59" i="24"/>
  <c r="AB59" i="26"/>
  <c r="AB76" i="26" s="1"/>
  <c r="O59" i="24"/>
  <c r="S59" i="24"/>
  <c r="S76" i="24" s="1"/>
  <c r="M59" i="24"/>
  <c r="M76" i="24" s="1"/>
  <c r="AC59" i="25"/>
  <c r="AC76" i="25" s="1"/>
  <c r="AA59" i="25"/>
  <c r="AA76" i="25" s="1"/>
  <c r="AA80" i="25" s="1"/>
  <c r="Q59" i="24"/>
  <c r="Q76" i="24" s="1"/>
  <c r="D77" i="23"/>
  <c r="AF59" i="25"/>
  <c r="AF76" i="25" s="1"/>
  <c r="Y59" i="24"/>
  <c r="Y76" i="24" s="1"/>
  <c r="N59" i="24"/>
  <c r="N76" i="24" s="1"/>
  <c r="AJ39" i="25"/>
  <c r="AH59" i="25"/>
  <c r="I59" i="24"/>
  <c r="AE44" i="25"/>
  <c r="AI59" i="25"/>
  <c r="AI76" i="25" s="1"/>
  <c r="W59" i="24"/>
  <c r="W76" i="24" s="1"/>
  <c r="D78" i="23"/>
  <c r="R59" i="24"/>
  <c r="R76" i="24" s="1"/>
  <c r="V59" i="24"/>
  <c r="V76" i="24" s="1"/>
  <c r="U59" i="24"/>
  <c r="U76" i="24" s="1"/>
  <c r="K59" i="24"/>
  <c r="K76" i="24" s="1"/>
  <c r="AH39" i="25"/>
  <c r="H59" i="25"/>
  <c r="H76" i="25" s="1"/>
  <c r="H80" i="25" s="1"/>
  <c r="X59" i="25"/>
  <c r="X76" i="25" s="1"/>
  <c r="X80" i="25" s="1"/>
  <c r="D78" i="25"/>
  <c r="AI39" i="25"/>
  <c r="I59" i="25"/>
  <c r="I76" i="25" s="1"/>
  <c r="I80" i="25" s="1"/>
  <c r="Y59" i="25"/>
  <c r="Y76" i="25" s="1"/>
  <c r="Y80" i="25" s="1"/>
  <c r="AK39" i="25"/>
  <c r="E44" i="25"/>
  <c r="AJ59" i="25"/>
  <c r="AJ76" i="25" s="1"/>
  <c r="AD44" i="25"/>
  <c r="N39" i="26"/>
  <c r="Z59" i="24"/>
  <c r="Z76" i="24" s="1"/>
  <c r="AD59" i="25"/>
  <c r="AD76" i="25" s="1"/>
  <c r="AD80" i="25" s="1"/>
  <c r="L59" i="26"/>
  <c r="L76" i="26" s="1"/>
  <c r="L80" i="26" s="1"/>
  <c r="AG59" i="25"/>
  <c r="AG76" i="25" s="1"/>
  <c r="AG80" i="25" s="1"/>
  <c r="AE59" i="25"/>
  <c r="AE76" i="25" s="1"/>
  <c r="P59" i="26"/>
  <c r="P76" i="26" s="1"/>
  <c r="O76" i="24"/>
  <c r="G59" i="24"/>
  <c r="G76" i="24" s="1"/>
  <c r="D77" i="25"/>
  <c r="AL44" i="23"/>
  <c r="AH59" i="26"/>
  <c r="AH76" i="26" s="1"/>
  <c r="H59" i="24"/>
  <c r="H76" i="24" s="1"/>
  <c r="AK44" i="23"/>
  <c r="T76" i="24"/>
  <c r="AJ44" i="23"/>
  <c r="F59" i="25"/>
  <c r="F76" i="25" s="1"/>
  <c r="V59" i="25"/>
  <c r="V76" i="25" s="1"/>
  <c r="AL59" i="25"/>
  <c r="AL76" i="25" s="1"/>
  <c r="AG39" i="25"/>
  <c r="G59" i="25"/>
  <c r="G76" i="25" s="1"/>
  <c r="W59" i="25"/>
  <c r="W76" i="25" s="1"/>
  <c r="W80" i="25" s="1"/>
  <c r="E59" i="25"/>
  <c r="E76" i="25" s="1"/>
  <c r="E80" i="25" s="1"/>
  <c r="U59" i="25"/>
  <c r="U76" i="25" s="1"/>
  <c r="AK59" i="25"/>
  <c r="AK76" i="25" s="1"/>
  <c r="AK80" i="25" s="1"/>
  <c r="AI44" i="26"/>
  <c r="B89" i="26"/>
  <c r="AF39" i="26"/>
  <c r="AB39" i="26"/>
  <c r="V59" i="26"/>
  <c r="V76" i="26" s="1"/>
  <c r="T39" i="26"/>
  <c r="P39" i="26"/>
  <c r="O59" i="26"/>
  <c r="O76" i="26" s="1"/>
  <c r="O80" i="26" s="1"/>
  <c r="J59" i="26"/>
  <c r="J76" i="26" s="1"/>
  <c r="H59" i="26"/>
  <c r="H76" i="26" s="1"/>
  <c r="H80" i="26" s="1"/>
  <c r="M59" i="26"/>
  <c r="M76" i="26" s="1"/>
  <c r="M80" i="26" s="1"/>
  <c r="AD59" i="26"/>
  <c r="AD76" i="26" s="1"/>
  <c r="AD80" i="26" s="1"/>
  <c r="Z39" i="26"/>
  <c r="AI59" i="26"/>
  <c r="AI76" i="26" s="1"/>
  <c r="AI80" i="26" s="1"/>
  <c r="Q59" i="26"/>
  <c r="Q76" i="26" s="1"/>
  <c r="Q80" i="26" s="1"/>
  <c r="AE59" i="26"/>
  <c r="AE76" i="26" s="1"/>
  <c r="AE80" i="26" s="1"/>
  <c r="D77" i="26"/>
  <c r="AG59" i="26"/>
  <c r="AG76" i="26" s="1"/>
  <c r="AG80" i="26" s="1"/>
  <c r="Z59" i="26"/>
  <c r="Z76" i="26" s="1"/>
  <c r="Z80" i="26" s="1"/>
  <c r="E59" i="26"/>
  <c r="E76" i="26" s="1"/>
  <c r="U59" i="26"/>
  <c r="U76" i="26" s="1"/>
  <c r="R59" i="26"/>
  <c r="R76" i="26" s="1"/>
  <c r="R80" i="26" s="1"/>
  <c r="N59" i="26"/>
  <c r="N76" i="26" s="1"/>
  <c r="N80" i="26" s="1"/>
  <c r="D78" i="26"/>
  <c r="AH39" i="26"/>
  <c r="AL39" i="26"/>
  <c r="W59" i="26"/>
  <c r="W76" i="26" s="1"/>
  <c r="W80" i="26" s="1"/>
  <c r="AJ59" i="26"/>
  <c r="AJ76" i="26" s="1"/>
  <c r="AJ80" i="26" s="1"/>
  <c r="AF59" i="26"/>
  <c r="AF76" i="26" s="1"/>
  <c r="AF80" i="26" s="1"/>
  <c r="S59" i="26"/>
  <c r="S76" i="26" s="1"/>
  <c r="S80" i="26" s="1"/>
  <c r="D79" i="26"/>
  <c r="V39" i="26"/>
  <c r="D16" i="26"/>
  <c r="I59" i="26"/>
  <c r="I76" i="26" s="1"/>
  <c r="F59" i="26"/>
  <c r="F76" i="26" s="1"/>
  <c r="F80" i="26" s="1"/>
  <c r="AK59" i="26"/>
  <c r="AK76" i="26" s="1"/>
  <c r="AK80" i="26" s="1"/>
  <c r="K59" i="26"/>
  <c r="AA59" i="26"/>
  <c r="AA76" i="26" s="1"/>
  <c r="X59" i="26"/>
  <c r="X76" i="26" s="1"/>
  <c r="X80" i="26" s="1"/>
  <c r="T59" i="26"/>
  <c r="T76" i="26" s="1"/>
  <c r="T80" i="26" s="1"/>
  <c r="G59" i="26"/>
  <c r="G76" i="26" s="1"/>
  <c r="H39" i="26"/>
  <c r="AC59" i="26"/>
  <c r="AL59" i="26"/>
  <c r="AL76" i="26" s="1"/>
  <c r="AL80" i="26" s="1"/>
  <c r="J39" i="26"/>
  <c r="Y59" i="26"/>
  <c r="Y76" i="26" s="1"/>
  <c r="Y80" i="26" s="1"/>
  <c r="AC44" i="25"/>
  <c r="AC39" i="25"/>
  <c r="AB44" i="25"/>
  <c r="AB39" i="25"/>
  <c r="AB59" i="25"/>
  <c r="AB76" i="25" s="1"/>
  <c r="AB80" i="25" s="1"/>
  <c r="AA44" i="25"/>
  <c r="AA39" i="25"/>
  <c r="Z44" i="25"/>
  <c r="Z39" i="25"/>
  <c r="Z59" i="25"/>
  <c r="Z76" i="25" s="1"/>
  <c r="Z80" i="25" s="1"/>
  <c r="U44" i="25"/>
  <c r="U39" i="25"/>
  <c r="T44" i="25"/>
  <c r="T39" i="25"/>
  <c r="T59" i="25"/>
  <c r="T76" i="25" s="1"/>
  <c r="S44" i="25"/>
  <c r="S39" i="25"/>
  <c r="R59" i="25"/>
  <c r="R39" i="25"/>
  <c r="Q59" i="25"/>
  <c r="Q76" i="25" s="1"/>
  <c r="Q80" i="25" s="1"/>
  <c r="Q39" i="25"/>
  <c r="P59" i="25"/>
  <c r="P76" i="25" s="1"/>
  <c r="D79" i="25"/>
  <c r="O39" i="25"/>
  <c r="O44" i="25"/>
  <c r="O59" i="25"/>
  <c r="N44" i="25"/>
  <c r="N39" i="25"/>
  <c r="N59" i="25"/>
  <c r="N76" i="25" s="1"/>
  <c r="N80" i="25" s="1"/>
  <c r="M44" i="25"/>
  <c r="M39" i="25"/>
  <c r="M59" i="25"/>
  <c r="M76" i="25" s="1"/>
  <c r="M80" i="25" s="1"/>
  <c r="L44" i="25"/>
  <c r="L39" i="25"/>
  <c r="L59" i="25"/>
  <c r="K44" i="25"/>
  <c r="K39" i="25"/>
  <c r="K59" i="25"/>
  <c r="K76" i="25" s="1"/>
  <c r="K80" i="25" s="1"/>
  <c r="J44" i="25"/>
  <c r="J39" i="25"/>
  <c r="J59" i="25"/>
  <c r="J76" i="25" s="1"/>
  <c r="J80" i="25" s="1"/>
  <c r="I44" i="25"/>
  <c r="I39" i="25"/>
  <c r="F44" i="25"/>
  <c r="D26" i="25"/>
  <c r="D39" i="25" s="1"/>
  <c r="D59" i="26"/>
  <c r="O44" i="26"/>
  <c r="E39" i="26"/>
  <c r="K39" i="26"/>
  <c r="Q39" i="26"/>
  <c r="W39" i="26"/>
  <c r="AC39" i="26"/>
  <c r="AI39" i="26"/>
  <c r="I44" i="26"/>
  <c r="AG44" i="26"/>
  <c r="F39" i="26"/>
  <c r="L39" i="26"/>
  <c r="R39" i="26"/>
  <c r="X39" i="26"/>
  <c r="AJ39" i="26"/>
  <c r="AB80" i="26"/>
  <c r="AA44" i="26"/>
  <c r="G39" i="26"/>
  <c r="M39" i="26"/>
  <c r="S39" i="26"/>
  <c r="Y39" i="26"/>
  <c r="AE39" i="26"/>
  <c r="AK39" i="26"/>
  <c r="U44" i="26"/>
  <c r="D16" i="25"/>
  <c r="AE59" i="23"/>
  <c r="AE76" i="23" s="1"/>
  <c r="AE80" i="23" s="1"/>
  <c r="W39" i="23"/>
  <c r="D79" i="23"/>
  <c r="D26" i="23"/>
  <c r="D39" i="23" s="1"/>
  <c r="AH76" i="25"/>
  <c r="AH80" i="25" s="1"/>
  <c r="D70" i="25"/>
  <c r="D59" i="25" s="1"/>
  <c r="P44" i="25"/>
  <c r="AF44" i="25"/>
  <c r="F39" i="25"/>
  <c r="V39" i="25"/>
  <c r="AL39" i="25"/>
  <c r="G39" i="25"/>
  <c r="W39" i="25"/>
  <c r="H39" i="25"/>
  <c r="X39" i="25"/>
  <c r="Y39" i="25"/>
  <c r="H39" i="23"/>
  <c r="I39" i="23"/>
  <c r="U39" i="23"/>
  <c r="X39" i="23"/>
  <c r="Y39" i="23"/>
  <c r="V39" i="23"/>
  <c r="AI59" i="23"/>
  <c r="AI76" i="23" s="1"/>
  <c r="AG59" i="23"/>
  <c r="AG76" i="23" s="1"/>
  <c r="AC59" i="23"/>
  <c r="AC76" i="23" s="1"/>
  <c r="AC80" i="23" s="1"/>
  <c r="AL59" i="23"/>
  <c r="AL76" i="23" s="1"/>
  <c r="AL80" i="23" s="1"/>
  <c r="O59" i="23"/>
  <c r="O76" i="23" s="1"/>
  <c r="O80" i="23" s="1"/>
  <c r="AJ59" i="23"/>
  <c r="AJ76" i="23" s="1"/>
  <c r="AJ80" i="23" s="1"/>
  <c r="AF39" i="23"/>
  <c r="AK59" i="23"/>
  <c r="AK76" i="23" s="1"/>
  <c r="AE39" i="23"/>
  <c r="Q59" i="23"/>
  <c r="Q76" i="23" s="1"/>
  <c r="Q80" i="23" s="1"/>
  <c r="AF59" i="23"/>
  <c r="AF76" i="23" s="1"/>
  <c r="AF80" i="23" s="1"/>
  <c r="D16" i="23"/>
  <c r="K39" i="23"/>
  <c r="AH59" i="23"/>
  <c r="AD59" i="23"/>
  <c r="G39" i="23"/>
  <c r="AH44" i="23"/>
  <c r="AG44" i="23"/>
  <c r="AD39" i="23"/>
  <c r="AC39" i="23"/>
  <c r="AI39" i="23"/>
  <c r="M39" i="23"/>
  <c r="L39" i="23"/>
  <c r="N39" i="23"/>
  <c r="K59" i="23"/>
  <c r="K76" i="23" s="1"/>
  <c r="M59" i="23"/>
  <c r="M76" i="23" s="1"/>
  <c r="M80" i="23" s="1"/>
  <c r="L59" i="23"/>
  <c r="L76" i="23" s="1"/>
  <c r="L80" i="23" s="1"/>
  <c r="H59" i="23"/>
  <c r="H76" i="23" s="1"/>
  <c r="U59" i="23"/>
  <c r="U76" i="23" s="1"/>
  <c r="U80" i="23" s="1"/>
  <c r="AA39" i="23"/>
  <c r="I59" i="23"/>
  <c r="I76" i="23" s="1"/>
  <c r="Y59" i="23"/>
  <c r="Y76" i="23" s="1"/>
  <c r="G59" i="23"/>
  <c r="G76" i="23" s="1"/>
  <c r="W59" i="23"/>
  <c r="W76" i="23" s="1"/>
  <c r="W80" i="23" s="1"/>
  <c r="AA59" i="23"/>
  <c r="AA76" i="23" s="1"/>
  <c r="AB59" i="23"/>
  <c r="AB76" i="23" s="1"/>
  <c r="AB80" i="23" s="1"/>
  <c r="E59" i="23"/>
  <c r="E76" i="23" s="1"/>
  <c r="E39" i="23"/>
  <c r="AB39" i="23"/>
  <c r="J59" i="23"/>
  <c r="J76" i="23" s="1"/>
  <c r="J80" i="23" s="1"/>
  <c r="Z59" i="23"/>
  <c r="Z76" i="23" s="1"/>
  <c r="F59" i="23"/>
  <c r="F76" i="23" s="1"/>
  <c r="P59" i="23"/>
  <c r="P76" i="23" s="1"/>
  <c r="P80" i="23" s="1"/>
  <c r="O39" i="23"/>
  <c r="R59" i="23"/>
  <c r="R76" i="23" s="1"/>
  <c r="R80" i="23" s="1"/>
  <c r="T59" i="23"/>
  <c r="T76" i="23" s="1"/>
  <c r="T80" i="23" s="1"/>
  <c r="S59" i="23"/>
  <c r="S76" i="23" s="1"/>
  <c r="S80" i="23" s="1"/>
  <c r="X59" i="23"/>
  <c r="N59" i="23"/>
  <c r="N76" i="23" s="1"/>
  <c r="N80" i="23" s="1"/>
  <c r="F39" i="23"/>
  <c r="V59" i="23"/>
  <c r="V76" i="23" s="1"/>
  <c r="V80" i="23" s="1"/>
  <c r="P44" i="23"/>
  <c r="J44" i="23"/>
  <c r="Z44" i="23"/>
  <c r="J39" i="23"/>
  <c r="R44" i="23"/>
  <c r="S44" i="23"/>
  <c r="Q39" i="23"/>
  <c r="D70" i="23"/>
  <c r="D59" i="23" s="1"/>
  <c r="T44" i="23"/>
  <c r="I76" i="24"/>
  <c r="L76" i="24"/>
  <c r="AM81" i="39" l="1"/>
  <c r="AN76" i="39"/>
  <c r="AN80" i="39"/>
  <c r="AP72" i="39"/>
  <c r="AO59" i="39"/>
  <c r="AI80" i="25"/>
  <c r="S80" i="25"/>
  <c r="F80" i="25"/>
  <c r="T80" i="25"/>
  <c r="AE80" i="25"/>
  <c r="AF80" i="25"/>
  <c r="U80" i="25"/>
  <c r="AL80" i="25"/>
  <c r="V80" i="25"/>
  <c r="AC80" i="25"/>
  <c r="D74" i="25"/>
  <c r="L76" i="25"/>
  <c r="L80" i="25" s="1"/>
  <c r="AH80" i="26"/>
  <c r="AJ80" i="25"/>
  <c r="G80" i="25"/>
  <c r="O76" i="25"/>
  <c r="O80" i="25" s="1"/>
  <c r="P80" i="26"/>
  <c r="J80" i="26"/>
  <c r="AC76" i="26"/>
  <c r="AC80" i="26" s="1"/>
  <c r="V80" i="26"/>
  <c r="K76" i="26"/>
  <c r="K80" i="26" s="1"/>
  <c r="D74" i="26"/>
  <c r="AA80" i="26"/>
  <c r="U80" i="26"/>
  <c r="G80" i="26"/>
  <c r="I80" i="26"/>
  <c r="R76" i="25"/>
  <c r="R80" i="25" s="1"/>
  <c r="C84" i="25"/>
  <c r="P80" i="25"/>
  <c r="E80" i="26"/>
  <c r="AK80" i="23"/>
  <c r="AG80" i="23"/>
  <c r="AI80" i="23"/>
  <c r="C24" i="23"/>
  <c r="D44" i="23"/>
  <c r="C84" i="23"/>
  <c r="D74" i="23"/>
  <c r="F80" i="23"/>
  <c r="E81" i="25"/>
  <c r="D44" i="25"/>
  <c r="C24" i="25"/>
  <c r="I80" i="23"/>
  <c r="AD76" i="23"/>
  <c r="AD80" i="23" s="1"/>
  <c r="AH76" i="23"/>
  <c r="AH80" i="23" s="1"/>
  <c r="AA80" i="23"/>
  <c r="K80" i="23"/>
  <c r="Y80" i="23"/>
  <c r="Z80" i="23"/>
  <c r="H80" i="23"/>
  <c r="X76" i="23"/>
  <c r="X80" i="23" s="1"/>
  <c r="G80" i="23"/>
  <c r="E80" i="23"/>
  <c r="G80" i="24"/>
  <c r="AN81" i="39" l="1"/>
  <c r="AO76" i="39"/>
  <c r="AO80" i="39"/>
  <c r="AQ72" i="39"/>
  <c r="AP59" i="39"/>
  <c r="F81" i="25"/>
  <c r="G81" i="25" s="1"/>
  <c r="H81" i="25" s="1"/>
  <c r="I81" i="25" s="1"/>
  <c r="J81" i="25" s="1"/>
  <c r="K81" i="25" s="1"/>
  <c r="L81" i="25" s="1"/>
  <c r="M81" i="25" s="1"/>
  <c r="N81" i="25" s="1"/>
  <c r="O81" i="25" s="1"/>
  <c r="P81" i="25" s="1"/>
  <c r="Q81" i="25" s="1"/>
  <c r="R81" i="25" s="1"/>
  <c r="S81" i="25" s="1"/>
  <c r="T81" i="25" s="1"/>
  <c r="U81" i="25" s="1"/>
  <c r="V81" i="25" s="1"/>
  <c r="W81" i="25" s="1"/>
  <c r="X81" i="25" s="1"/>
  <c r="Y81" i="25" s="1"/>
  <c r="Z81" i="25" s="1"/>
  <c r="AA81" i="25" s="1"/>
  <c r="AB81" i="25" s="1"/>
  <c r="AC81" i="25" s="1"/>
  <c r="AD81" i="25" s="1"/>
  <c r="AE81" i="25" s="1"/>
  <c r="AF81" i="25" s="1"/>
  <c r="AG81" i="25" s="1"/>
  <c r="AH81" i="25" s="1"/>
  <c r="AI81" i="25" s="1"/>
  <c r="AJ81" i="25" s="1"/>
  <c r="AK81" i="25" s="1"/>
  <c r="AL81" i="25" s="1"/>
  <c r="D76" i="26"/>
  <c r="D80" i="26" s="1"/>
  <c r="D82" i="26" s="1"/>
  <c r="D76" i="25"/>
  <c r="D80" i="25" s="1"/>
  <c r="D82" i="25" s="1"/>
  <c r="C80" i="25"/>
  <c r="E81" i="26"/>
  <c r="F81" i="26" s="1"/>
  <c r="G81" i="26" s="1"/>
  <c r="H81" i="26" s="1"/>
  <c r="I81" i="26" s="1"/>
  <c r="J81" i="26" s="1"/>
  <c r="K81" i="26" s="1"/>
  <c r="L81" i="26" s="1"/>
  <c r="M81" i="26" s="1"/>
  <c r="N81" i="26" s="1"/>
  <c r="O81" i="26" s="1"/>
  <c r="P81" i="26" s="1"/>
  <c r="Q81" i="26" s="1"/>
  <c r="R81" i="26" s="1"/>
  <c r="S81" i="26" s="1"/>
  <c r="T81" i="26" s="1"/>
  <c r="U81" i="26" s="1"/>
  <c r="V81" i="26" s="1"/>
  <c r="W81" i="26" s="1"/>
  <c r="X81" i="26" s="1"/>
  <c r="Y81" i="26" s="1"/>
  <c r="Z81" i="26" s="1"/>
  <c r="AA81" i="26" s="1"/>
  <c r="AB81" i="26" s="1"/>
  <c r="AC81" i="26" s="1"/>
  <c r="AD81" i="26" s="1"/>
  <c r="AE81" i="26" s="1"/>
  <c r="AF81" i="26" s="1"/>
  <c r="AG81" i="26" s="1"/>
  <c r="AH81" i="26" s="1"/>
  <c r="AI81" i="26" s="1"/>
  <c r="AJ81" i="26" s="1"/>
  <c r="AK81" i="26" s="1"/>
  <c r="AL81" i="26" s="1"/>
  <c r="AM81" i="26" s="1"/>
  <c r="AN81" i="26" s="1"/>
  <c r="C80" i="26"/>
  <c r="D76" i="23"/>
  <c r="D80" i="23" s="1"/>
  <c r="D82" i="23" s="1"/>
  <c r="E81" i="23"/>
  <c r="F81" i="23" s="1"/>
  <c r="G81" i="23" s="1"/>
  <c r="H81" i="23" s="1"/>
  <c r="I81" i="23" s="1"/>
  <c r="J81" i="23" s="1"/>
  <c r="K81" i="23" s="1"/>
  <c r="L81" i="23" s="1"/>
  <c r="M81" i="23" s="1"/>
  <c r="N81" i="23" s="1"/>
  <c r="O81" i="23" s="1"/>
  <c r="P81" i="23" s="1"/>
  <c r="Q81" i="23" s="1"/>
  <c r="R81" i="23" s="1"/>
  <c r="S81" i="23" s="1"/>
  <c r="T81" i="23" s="1"/>
  <c r="U81" i="23" s="1"/>
  <c r="V81" i="23" s="1"/>
  <c r="W81" i="23" s="1"/>
  <c r="X81" i="23" s="1"/>
  <c r="Y81" i="23" s="1"/>
  <c r="Z81" i="23" s="1"/>
  <c r="AA81" i="23" s="1"/>
  <c r="AB81" i="23" s="1"/>
  <c r="AC81" i="23" s="1"/>
  <c r="AD81" i="23" s="1"/>
  <c r="AE81" i="23" s="1"/>
  <c r="AF81" i="23" s="1"/>
  <c r="AG81" i="23" s="1"/>
  <c r="AH81" i="23" s="1"/>
  <c r="AI81" i="23" s="1"/>
  <c r="AJ81" i="23" s="1"/>
  <c r="AK81" i="23" s="1"/>
  <c r="AL81" i="23" s="1"/>
  <c r="C80" i="23"/>
  <c r="AA72" i="24"/>
  <c r="AA59" i="24" s="1"/>
  <c r="AA76" i="24" s="1"/>
  <c r="AB72" i="24"/>
  <c r="D19" i="24"/>
  <c r="D20" i="24"/>
  <c r="AO81" i="39" l="1"/>
  <c r="AP76" i="39"/>
  <c r="AP80" i="39"/>
  <c r="AR72" i="39"/>
  <c r="AR59" i="39" s="1"/>
  <c r="AQ59" i="39"/>
  <c r="D50" i="24"/>
  <c r="D72" i="24" s="1"/>
  <c r="D59" i="24" s="1"/>
  <c r="D50" i="15"/>
  <c r="F79" i="24"/>
  <c r="E79" i="24"/>
  <c r="F71" i="24"/>
  <c r="E71" i="24"/>
  <c r="F70" i="24"/>
  <c r="E70" i="24"/>
  <c r="F69" i="24"/>
  <c r="E69" i="24"/>
  <c r="F68" i="24"/>
  <c r="E68" i="24"/>
  <c r="F67" i="24"/>
  <c r="E67" i="24"/>
  <c r="F66" i="24"/>
  <c r="E66" i="24"/>
  <c r="F65" i="24"/>
  <c r="E65" i="24"/>
  <c r="F64" i="24"/>
  <c r="E64" i="24"/>
  <c r="F63" i="24"/>
  <c r="E63" i="24"/>
  <c r="F62" i="24"/>
  <c r="E62" i="24"/>
  <c r="F61" i="24"/>
  <c r="E61" i="24"/>
  <c r="F60" i="24"/>
  <c r="E60" i="24"/>
  <c r="D51" i="24"/>
  <c r="D49" i="24"/>
  <c r="D48" i="24"/>
  <c r="D47" i="24"/>
  <c r="D46" i="24"/>
  <c r="D42" i="24"/>
  <c r="D41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F26" i="24"/>
  <c r="E26" i="24"/>
  <c r="D21" i="24"/>
  <c r="D18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5" i="24"/>
  <c r="D14" i="24"/>
  <c r="D13" i="24"/>
  <c r="D12" i="24"/>
  <c r="D11" i="24"/>
  <c r="D10" i="24"/>
  <c r="D9" i="24"/>
  <c r="AP81" i="39" l="1"/>
  <c r="AQ76" i="39"/>
  <c r="AQ80" i="39" s="1"/>
  <c r="AR76" i="39"/>
  <c r="AR80" i="39" s="1"/>
  <c r="D16" i="24"/>
  <c r="D79" i="24"/>
  <c r="E59" i="24"/>
  <c r="E76" i="24" s="1"/>
  <c r="D26" i="24"/>
  <c r="C24" i="24" s="1"/>
  <c r="F59" i="24"/>
  <c r="F76" i="24" s="1"/>
  <c r="E44" i="24"/>
  <c r="E39" i="24"/>
  <c r="F44" i="24"/>
  <c r="F39" i="24"/>
  <c r="G44" i="24"/>
  <c r="G39" i="24"/>
  <c r="H44" i="24"/>
  <c r="H39" i="24"/>
  <c r="I44" i="24"/>
  <c r="I39" i="24"/>
  <c r="J44" i="24"/>
  <c r="J39" i="24"/>
  <c r="K44" i="24"/>
  <c r="K39" i="24"/>
  <c r="L44" i="24"/>
  <c r="L39" i="24"/>
  <c r="M44" i="24"/>
  <c r="M39" i="24"/>
  <c r="N44" i="24"/>
  <c r="N39" i="24"/>
  <c r="O44" i="24"/>
  <c r="O39" i="24"/>
  <c r="P44" i="24"/>
  <c r="P39" i="24"/>
  <c r="Q44" i="24"/>
  <c r="Q39" i="24"/>
  <c r="R44" i="24"/>
  <c r="R39" i="24"/>
  <c r="S44" i="24"/>
  <c r="S39" i="24"/>
  <c r="T44" i="24"/>
  <c r="T39" i="24"/>
  <c r="U44" i="24"/>
  <c r="U39" i="24"/>
  <c r="V44" i="24"/>
  <c r="V39" i="24"/>
  <c r="W44" i="24"/>
  <c r="W39" i="24"/>
  <c r="X44" i="24"/>
  <c r="X39" i="24"/>
  <c r="Y44" i="24"/>
  <c r="Y39" i="24"/>
  <c r="Z44" i="24"/>
  <c r="Z39" i="24"/>
  <c r="AA44" i="24"/>
  <c r="AA39" i="24"/>
  <c r="AB44" i="24"/>
  <c r="AB39" i="24"/>
  <c r="F77" i="24"/>
  <c r="E77" i="24"/>
  <c r="F78" i="24"/>
  <c r="E78" i="24"/>
  <c r="E80" i="20"/>
  <c r="D79" i="20" s="1"/>
  <c r="E81" i="20"/>
  <c r="D81" i="20" s="1"/>
  <c r="E82" i="20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AH73" i="18"/>
  <c r="AI73" i="18"/>
  <c r="AJ73" i="18"/>
  <c r="AK73" i="18"/>
  <c r="AL73" i="18"/>
  <c r="AM73" i="18"/>
  <c r="AN73" i="18"/>
  <c r="E73" i="18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E73" i="17"/>
  <c r="X16" i="15"/>
  <c r="Y16" i="15"/>
  <c r="Z16" i="15"/>
  <c r="AA16" i="15"/>
  <c r="AB16" i="15"/>
  <c r="AC16" i="15"/>
  <c r="AD16" i="15"/>
  <c r="AE16" i="15"/>
  <c r="AF16" i="15"/>
  <c r="AG16" i="15"/>
  <c r="AH16" i="15"/>
  <c r="X26" i="15"/>
  <c r="X39" i="15" s="1"/>
  <c r="Y26" i="15"/>
  <c r="Y44" i="15" s="1"/>
  <c r="Z26" i="15"/>
  <c r="Z39" i="15" s="1"/>
  <c r="AA26" i="15"/>
  <c r="AA44" i="15" s="1"/>
  <c r="AB26" i="15"/>
  <c r="AB39" i="15" s="1"/>
  <c r="AC26" i="15"/>
  <c r="AC39" i="15" s="1"/>
  <c r="AD26" i="15"/>
  <c r="AD44" i="15" s="1"/>
  <c r="AE26" i="15"/>
  <c r="AE39" i="15" s="1"/>
  <c r="AF26" i="15"/>
  <c r="AF39" i="15" s="1"/>
  <c r="AG26" i="15"/>
  <c r="AG39" i="15" s="1"/>
  <c r="AH26" i="15"/>
  <c r="AH44" i="15" s="1"/>
  <c r="X60" i="15"/>
  <c r="Y60" i="15"/>
  <c r="Z60" i="15"/>
  <c r="AA60" i="15"/>
  <c r="AB60" i="15"/>
  <c r="AC60" i="15"/>
  <c r="AD60" i="15"/>
  <c r="AE60" i="15"/>
  <c r="AF60" i="15"/>
  <c r="AG60" i="15"/>
  <c r="AH60" i="15"/>
  <c r="X61" i="15"/>
  <c r="Y61" i="15"/>
  <c r="Z61" i="15"/>
  <c r="AA61" i="15"/>
  <c r="AB61" i="15"/>
  <c r="AC61" i="15"/>
  <c r="AD61" i="15"/>
  <c r="AE61" i="15"/>
  <c r="AF61" i="15"/>
  <c r="AG61" i="15"/>
  <c r="AH61" i="15"/>
  <c r="X62" i="15"/>
  <c r="Y62" i="15"/>
  <c r="Z62" i="15"/>
  <c r="AA62" i="15"/>
  <c r="AB62" i="15"/>
  <c r="AC62" i="15"/>
  <c r="AD62" i="15"/>
  <c r="AE62" i="15"/>
  <c r="AF62" i="15"/>
  <c r="AG62" i="15"/>
  <c r="AH62" i="15"/>
  <c r="X63" i="15"/>
  <c r="Y63" i="15"/>
  <c r="Z63" i="15"/>
  <c r="AA63" i="15"/>
  <c r="AB63" i="15"/>
  <c r="AC63" i="15"/>
  <c r="AD63" i="15"/>
  <c r="AE63" i="15"/>
  <c r="AF63" i="15"/>
  <c r="AG63" i="15"/>
  <c r="AH63" i="15"/>
  <c r="X64" i="15"/>
  <c r="Y64" i="15"/>
  <c r="Z64" i="15"/>
  <c r="AA64" i="15"/>
  <c r="AB64" i="15"/>
  <c r="AC64" i="15"/>
  <c r="AD64" i="15"/>
  <c r="AE64" i="15"/>
  <c r="AF64" i="15"/>
  <c r="AG64" i="15"/>
  <c r="AH64" i="15"/>
  <c r="X65" i="15"/>
  <c r="Y65" i="15"/>
  <c r="Z65" i="15"/>
  <c r="AA65" i="15"/>
  <c r="AB65" i="15"/>
  <c r="AC65" i="15"/>
  <c r="AD65" i="15"/>
  <c r="AE65" i="15"/>
  <c r="AF65" i="15"/>
  <c r="AG65" i="15"/>
  <c r="AH65" i="15"/>
  <c r="X66" i="15"/>
  <c r="Y66" i="15"/>
  <c r="Z66" i="15"/>
  <c r="AA66" i="15"/>
  <c r="AB66" i="15"/>
  <c r="AC66" i="15"/>
  <c r="AD66" i="15"/>
  <c r="AE66" i="15"/>
  <c r="AF66" i="15"/>
  <c r="AG66" i="15"/>
  <c r="AH66" i="15"/>
  <c r="X67" i="15"/>
  <c r="Y67" i="15"/>
  <c r="Z67" i="15"/>
  <c r="AA67" i="15"/>
  <c r="AB67" i="15"/>
  <c r="AC67" i="15"/>
  <c r="AD67" i="15"/>
  <c r="AE67" i="15"/>
  <c r="AF67" i="15"/>
  <c r="AG67" i="15"/>
  <c r="AH67" i="15"/>
  <c r="X68" i="15"/>
  <c r="Y68" i="15"/>
  <c r="Z68" i="15"/>
  <c r="AA68" i="15"/>
  <c r="AB68" i="15"/>
  <c r="AC68" i="15"/>
  <c r="AD68" i="15"/>
  <c r="AE68" i="15"/>
  <c r="AF68" i="15"/>
  <c r="AG68" i="15"/>
  <c r="AH68" i="15"/>
  <c r="X69" i="15"/>
  <c r="Y69" i="15"/>
  <c r="Z69" i="15"/>
  <c r="AA69" i="15"/>
  <c r="AB69" i="15"/>
  <c r="AC69" i="15"/>
  <c r="AD69" i="15"/>
  <c r="AE69" i="15"/>
  <c r="AF69" i="15"/>
  <c r="AG69" i="15"/>
  <c r="AH69" i="15"/>
  <c r="X70" i="15"/>
  <c r="Y70" i="15"/>
  <c r="Z70" i="15"/>
  <c r="AA70" i="15"/>
  <c r="AB70" i="15"/>
  <c r="AC70" i="15"/>
  <c r="AD70" i="15"/>
  <c r="AE70" i="15"/>
  <c r="AF70" i="15"/>
  <c r="AG70" i="15"/>
  <c r="AH70" i="15"/>
  <c r="X71" i="15"/>
  <c r="Y71" i="15"/>
  <c r="Z71" i="15"/>
  <c r="AA71" i="15"/>
  <c r="AB71" i="15"/>
  <c r="AC71" i="15"/>
  <c r="AD71" i="15"/>
  <c r="AE71" i="15"/>
  <c r="AF71" i="15"/>
  <c r="AG71" i="15"/>
  <c r="AH71" i="15"/>
  <c r="X72" i="15"/>
  <c r="Y72" i="15"/>
  <c r="Z72" i="15"/>
  <c r="AA72" i="15"/>
  <c r="AB72" i="15"/>
  <c r="AC72" i="15"/>
  <c r="AD72" i="15"/>
  <c r="AE72" i="15"/>
  <c r="AF72" i="15"/>
  <c r="AG72" i="15"/>
  <c r="AH72" i="15"/>
  <c r="X81" i="15"/>
  <c r="Y81" i="15"/>
  <c r="Z81" i="15"/>
  <c r="AA81" i="15"/>
  <c r="AB81" i="15"/>
  <c r="AC81" i="15"/>
  <c r="AD81" i="15"/>
  <c r="AE81" i="15"/>
  <c r="AF81" i="15"/>
  <c r="AG81" i="15"/>
  <c r="AH81" i="15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E72" i="13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E72" i="15"/>
  <c r="AR79" i="22"/>
  <c r="AQ79" i="22"/>
  <c r="AP79" i="22"/>
  <c r="AO79" i="22"/>
  <c r="AN79" i="22"/>
  <c r="AM79" i="22"/>
  <c r="AL79" i="22"/>
  <c r="AK79" i="22"/>
  <c r="AJ79" i="22"/>
  <c r="AI79" i="22"/>
  <c r="AH79" i="22"/>
  <c r="AG79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E72" i="22"/>
  <c r="F72" i="22" s="1"/>
  <c r="G72" i="22" s="1"/>
  <c r="H72" i="22" s="1"/>
  <c r="I72" i="22" s="1"/>
  <c r="J72" i="22" s="1"/>
  <c r="K72" i="22" s="1"/>
  <c r="L72" i="22" s="1"/>
  <c r="M72" i="22" s="1"/>
  <c r="N72" i="22" s="1"/>
  <c r="O72" i="22" s="1"/>
  <c r="P72" i="22" s="1"/>
  <c r="Q72" i="22" s="1"/>
  <c r="R72" i="22" s="1"/>
  <c r="S72" i="22" s="1"/>
  <c r="T72" i="22" s="1"/>
  <c r="U72" i="22" s="1"/>
  <c r="V72" i="22" s="1"/>
  <c r="W72" i="22" s="1"/>
  <c r="X72" i="22" s="1"/>
  <c r="Y72" i="22" s="1"/>
  <c r="Z72" i="22" s="1"/>
  <c r="AA72" i="22" s="1"/>
  <c r="AB72" i="22" s="1"/>
  <c r="AC72" i="22" s="1"/>
  <c r="AD72" i="22" s="1"/>
  <c r="AE72" i="22" s="1"/>
  <c r="AF72" i="22" s="1"/>
  <c r="AG72" i="22" s="1"/>
  <c r="AH72" i="22" s="1"/>
  <c r="AI72" i="22" s="1"/>
  <c r="AJ72" i="22" s="1"/>
  <c r="AK72" i="22" s="1"/>
  <c r="AL72" i="22" s="1"/>
  <c r="AM72" i="22" s="1"/>
  <c r="AN72" i="22" s="1"/>
  <c r="AO72" i="22" s="1"/>
  <c r="AP72" i="22" s="1"/>
  <c r="AQ72" i="22" s="1"/>
  <c r="AR72" i="22" s="1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F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AR67" i="22"/>
  <c r="AQ67" i="22"/>
  <c r="AP67" i="22"/>
  <c r="AO67" i="22"/>
  <c r="AN67" i="22"/>
  <c r="AM67" i="22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AR65" i="22"/>
  <c r="AQ65" i="22"/>
  <c r="AP65" i="22"/>
  <c r="AO65" i="22"/>
  <c r="AN65" i="22"/>
  <c r="AM65" i="22"/>
  <c r="AL65" i="22"/>
  <c r="AK65" i="22"/>
  <c r="AJ65" i="22"/>
  <c r="AI65" i="22"/>
  <c r="AH65" i="22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AR64" i="22"/>
  <c r="AQ64" i="22"/>
  <c r="AP64" i="22"/>
  <c r="AO64" i="22"/>
  <c r="AN64" i="22"/>
  <c r="AM64" i="22"/>
  <c r="AL64" i="22"/>
  <c r="AK64" i="22"/>
  <c r="AJ64" i="22"/>
  <c r="AI64" i="22"/>
  <c r="AH64" i="22"/>
  <c r="AG64" i="22"/>
  <c r="AF64" i="22"/>
  <c r="AE64" i="22"/>
  <c r="AD64" i="22"/>
  <c r="AC64" i="22"/>
  <c r="AB6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AR63" i="22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AR62" i="22"/>
  <c r="AQ62" i="22"/>
  <c r="AP62" i="22"/>
  <c r="AO62" i="22"/>
  <c r="AN62" i="22"/>
  <c r="AM62" i="22"/>
  <c r="AL62" i="22"/>
  <c r="AK62" i="22"/>
  <c r="AJ62" i="22"/>
  <c r="AI62" i="22"/>
  <c r="AH62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AR61" i="22"/>
  <c r="AQ61" i="22"/>
  <c r="AP61" i="22"/>
  <c r="AO61" i="22"/>
  <c r="AN61" i="22"/>
  <c r="AM61" i="22"/>
  <c r="AL61" i="22"/>
  <c r="AK61" i="22"/>
  <c r="AJ61" i="22"/>
  <c r="AI61" i="22"/>
  <c r="AH61" i="22"/>
  <c r="AG61" i="22"/>
  <c r="AF61" i="22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AR60" i="22"/>
  <c r="AQ60" i="22"/>
  <c r="AP60" i="22"/>
  <c r="AO60" i="22"/>
  <c r="AN60" i="22"/>
  <c r="AM60" i="22"/>
  <c r="AL60" i="22"/>
  <c r="AK60" i="22"/>
  <c r="AJ60" i="22"/>
  <c r="AI60" i="22"/>
  <c r="AH60" i="22"/>
  <c r="AG60" i="22"/>
  <c r="AF60" i="22"/>
  <c r="AE60" i="22"/>
  <c r="AD60" i="22"/>
  <c r="AC60" i="22"/>
  <c r="AB60" i="22"/>
  <c r="AA60" i="22"/>
  <c r="Z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51" i="22"/>
  <c r="D50" i="22"/>
  <c r="D72" i="22" s="1"/>
  <c r="D49" i="22"/>
  <c r="D48" i="22"/>
  <c r="D47" i="22"/>
  <c r="D46" i="22"/>
  <c r="D42" i="22"/>
  <c r="D41" i="22"/>
  <c r="D38" i="22"/>
  <c r="D71" i="22" s="1"/>
  <c r="D37" i="22"/>
  <c r="D36" i="22"/>
  <c r="D69" i="22" s="1"/>
  <c r="D35" i="22"/>
  <c r="D68" i="22" s="1"/>
  <c r="D34" i="22"/>
  <c r="D67" i="22" s="1"/>
  <c r="D33" i="22"/>
  <c r="D66" i="22" s="1"/>
  <c r="D32" i="22"/>
  <c r="D65" i="22" s="1"/>
  <c r="D31" i="22"/>
  <c r="D64" i="22" s="1"/>
  <c r="D30" i="22"/>
  <c r="D63" i="22" s="1"/>
  <c r="D29" i="22"/>
  <c r="D62" i="22" s="1"/>
  <c r="D28" i="22"/>
  <c r="D61" i="22" s="1"/>
  <c r="D27" i="22"/>
  <c r="D60" i="22" s="1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1" i="22"/>
  <c r="D20" i="22"/>
  <c r="D19" i="22"/>
  <c r="D18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5" i="22"/>
  <c r="D14" i="22"/>
  <c r="D13" i="22"/>
  <c r="D12" i="22"/>
  <c r="D11" i="22"/>
  <c r="D10" i="22"/>
  <c r="D9" i="22"/>
  <c r="F8" i="12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T8" i="12" s="1"/>
  <c r="AU8" i="12" s="1"/>
  <c r="AV8" i="12" s="1"/>
  <c r="AW8" i="12" s="1"/>
  <c r="D44" i="20"/>
  <c r="D44" i="19"/>
  <c r="AN79" i="20"/>
  <c r="AM79" i="20" s="1"/>
  <c r="AL79" i="20" s="1"/>
  <c r="AK79" i="20" s="1"/>
  <c r="AJ79" i="20" s="1"/>
  <c r="AI79" i="20" s="1"/>
  <c r="AH79" i="20" s="1"/>
  <c r="AG79" i="20" s="1"/>
  <c r="AF79" i="20" s="1"/>
  <c r="AE79" i="20" s="1"/>
  <c r="AD79" i="20" s="1"/>
  <c r="AC79" i="20" s="1"/>
  <c r="AB79" i="20" s="1"/>
  <c r="AA79" i="20" s="1"/>
  <c r="Z79" i="20" s="1"/>
  <c r="Y79" i="20" s="1"/>
  <c r="X79" i="20" s="1"/>
  <c r="W79" i="20" s="1"/>
  <c r="V79" i="20" s="1"/>
  <c r="U79" i="20" s="1"/>
  <c r="T79" i="20" s="1"/>
  <c r="S79" i="20" s="1"/>
  <c r="R79" i="20" s="1"/>
  <c r="Q79" i="20" s="1"/>
  <c r="P79" i="20" s="1"/>
  <c r="O79" i="20" s="1"/>
  <c r="N79" i="20" s="1"/>
  <c r="M79" i="20" s="1"/>
  <c r="L79" i="20" s="1"/>
  <c r="K79" i="20" s="1"/>
  <c r="J79" i="20" s="1"/>
  <c r="I79" i="20" s="1"/>
  <c r="H79" i="20" s="1"/>
  <c r="G79" i="20" s="1"/>
  <c r="F79" i="20" s="1"/>
  <c r="AN82" i="20"/>
  <c r="AM82" i="20" s="1"/>
  <c r="AL82" i="20" s="1"/>
  <c r="AK82" i="20" s="1"/>
  <c r="AJ82" i="20" s="1"/>
  <c r="AI82" i="20" s="1"/>
  <c r="AH82" i="20" s="1"/>
  <c r="AG82" i="20" s="1"/>
  <c r="AF82" i="20" s="1"/>
  <c r="AE82" i="20" s="1"/>
  <c r="AD82" i="20" s="1"/>
  <c r="AC82" i="20" s="1"/>
  <c r="AB82" i="20" s="1"/>
  <c r="AA82" i="20" s="1"/>
  <c r="Z82" i="20" s="1"/>
  <c r="Y82" i="20" s="1"/>
  <c r="X82" i="20" s="1"/>
  <c r="W82" i="20" s="1"/>
  <c r="V82" i="20" s="1"/>
  <c r="U82" i="20" s="1"/>
  <c r="T82" i="20" s="1"/>
  <c r="S82" i="20" s="1"/>
  <c r="R82" i="20" s="1"/>
  <c r="Q82" i="20" s="1"/>
  <c r="P82" i="20" s="1"/>
  <c r="O82" i="20" s="1"/>
  <c r="N82" i="20" s="1"/>
  <c r="M82" i="20" s="1"/>
  <c r="L82" i="20" s="1"/>
  <c r="K82" i="20" s="1"/>
  <c r="J82" i="20" s="1"/>
  <c r="I82" i="20" s="1"/>
  <c r="H82" i="20" s="1"/>
  <c r="G82" i="20" s="1"/>
  <c r="F82" i="20" s="1"/>
  <c r="D43" i="20"/>
  <c r="D19" i="20"/>
  <c r="D11" i="20"/>
  <c r="D12" i="20"/>
  <c r="D13" i="20"/>
  <c r="D14" i="20"/>
  <c r="D15" i="20"/>
  <c r="D9" i="20"/>
  <c r="D10" i="20"/>
  <c r="Z91" i="20"/>
  <c r="E74" i="20"/>
  <c r="F74" i="20" s="1"/>
  <c r="G74" i="20" s="1"/>
  <c r="H74" i="20" s="1"/>
  <c r="I74" i="20" s="1"/>
  <c r="J74" i="20" s="1"/>
  <c r="K74" i="20" s="1"/>
  <c r="L74" i="20" s="1"/>
  <c r="M74" i="20" s="1"/>
  <c r="N74" i="20" s="1"/>
  <c r="O74" i="20" s="1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P72" i="20"/>
  <c r="O72" i="20"/>
  <c r="N72" i="20"/>
  <c r="M72" i="20"/>
  <c r="K72" i="20"/>
  <c r="J72" i="20"/>
  <c r="I72" i="20"/>
  <c r="H72" i="20"/>
  <c r="G72" i="20"/>
  <c r="F72" i="20"/>
  <c r="E72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53" i="20"/>
  <c r="D52" i="20"/>
  <c r="D74" i="20" s="1"/>
  <c r="D51" i="20"/>
  <c r="D50" i="20"/>
  <c r="D49" i="20"/>
  <c r="D48" i="20"/>
  <c r="D39" i="20"/>
  <c r="D73" i="20" s="1"/>
  <c r="Q72" i="20"/>
  <c r="L72" i="20"/>
  <c r="D37" i="20"/>
  <c r="D71" i="20" s="1"/>
  <c r="D36" i="20"/>
  <c r="D70" i="20" s="1"/>
  <c r="D35" i="20"/>
  <c r="D69" i="20" s="1"/>
  <c r="D34" i="20"/>
  <c r="D68" i="20" s="1"/>
  <c r="D33" i="20"/>
  <c r="D67" i="20" s="1"/>
  <c r="D32" i="20"/>
  <c r="D66" i="20" s="1"/>
  <c r="D31" i="20"/>
  <c r="D65" i="20" s="1"/>
  <c r="D30" i="20"/>
  <c r="D64" i="20" s="1"/>
  <c r="D29" i="20"/>
  <c r="D63" i="20" s="1"/>
  <c r="D28" i="20"/>
  <c r="D62" i="20" s="1"/>
  <c r="AN27" i="20"/>
  <c r="AN40" i="20" s="1"/>
  <c r="AM27" i="20"/>
  <c r="AM46" i="20" s="1"/>
  <c r="AL27" i="20"/>
  <c r="AK27" i="20"/>
  <c r="AK46" i="20" s="1"/>
  <c r="AJ27" i="20"/>
  <c r="AJ46" i="20" s="1"/>
  <c r="AI27" i="20"/>
  <c r="AI46" i="20" s="1"/>
  <c r="AH27" i="20"/>
  <c r="AH40" i="20" s="1"/>
  <c r="AG27" i="20"/>
  <c r="AG46" i="20" s="1"/>
  <c r="AF27" i="20"/>
  <c r="AF40" i="20" s="1"/>
  <c r="AE27" i="20"/>
  <c r="AE46" i="20" s="1"/>
  <c r="AD27" i="20"/>
  <c r="AD46" i="20" s="1"/>
  <c r="AC27" i="20"/>
  <c r="AC40" i="20" s="1"/>
  <c r="AB27" i="20"/>
  <c r="AB40" i="20" s="1"/>
  <c r="AA27" i="20"/>
  <c r="Z27" i="20"/>
  <c r="Z40" i="20" s="1"/>
  <c r="Y27" i="20"/>
  <c r="Y40" i="20" s="1"/>
  <c r="X27" i="20"/>
  <c r="X40" i="20" s="1"/>
  <c r="W27" i="20"/>
  <c r="W46" i="20" s="1"/>
  <c r="V27" i="20"/>
  <c r="V46" i="20" s="1"/>
  <c r="U27" i="20"/>
  <c r="U46" i="20" s="1"/>
  <c r="T27" i="20"/>
  <c r="T46" i="20" s="1"/>
  <c r="S27" i="20"/>
  <c r="S46" i="20" s="1"/>
  <c r="R27" i="20"/>
  <c r="R40" i="20" s="1"/>
  <c r="Q27" i="20"/>
  <c r="Q46" i="20" s="1"/>
  <c r="P27" i="20"/>
  <c r="P40" i="20" s="1"/>
  <c r="O27" i="20"/>
  <c r="O46" i="20" s="1"/>
  <c r="N27" i="20"/>
  <c r="N46" i="20" s="1"/>
  <c r="M27" i="20"/>
  <c r="M40" i="20" s="1"/>
  <c r="K27" i="20"/>
  <c r="K46" i="20" s="1"/>
  <c r="J27" i="20"/>
  <c r="J40" i="20" s="1"/>
  <c r="I27" i="20"/>
  <c r="I40" i="20" s="1"/>
  <c r="H27" i="20"/>
  <c r="H40" i="20" s="1"/>
  <c r="G27" i="20"/>
  <c r="G46" i="20" s="1"/>
  <c r="F27" i="20"/>
  <c r="F46" i="20" s="1"/>
  <c r="E27" i="20"/>
  <c r="D21" i="20"/>
  <c r="D20" i="20"/>
  <c r="D18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AQ81" i="39" l="1"/>
  <c r="AR81" i="39" s="1"/>
  <c r="AC44" i="15"/>
  <c r="AH74" i="15"/>
  <c r="AH39" i="15"/>
  <c r="AF74" i="15"/>
  <c r="AD39" i="15"/>
  <c r="D78" i="24"/>
  <c r="D77" i="24"/>
  <c r="AE74" i="15"/>
  <c r="AB44" i="15"/>
  <c r="G59" i="22"/>
  <c r="G76" i="22" s="1"/>
  <c r="AM59" i="22"/>
  <c r="AM76" i="22" s="1"/>
  <c r="H59" i="22"/>
  <c r="H76" i="22" s="1"/>
  <c r="X59" i="22"/>
  <c r="X76" i="22" s="1"/>
  <c r="I59" i="22"/>
  <c r="I76" i="22" s="1"/>
  <c r="Y59" i="22"/>
  <c r="Y76" i="22" s="1"/>
  <c r="J59" i="22"/>
  <c r="J76" i="22" s="1"/>
  <c r="Z59" i="22"/>
  <c r="Z76" i="22" s="1"/>
  <c r="L59" i="22"/>
  <c r="L76" i="22" s="1"/>
  <c r="AR59" i="22"/>
  <c r="AR76" i="22" s="1"/>
  <c r="Q59" i="22"/>
  <c r="Q76" i="22" s="1"/>
  <c r="AG59" i="22"/>
  <c r="AG76" i="22" s="1"/>
  <c r="E59" i="22"/>
  <c r="E76" i="22" s="1"/>
  <c r="AB74" i="15"/>
  <c r="O59" i="22"/>
  <c r="O76" i="22" s="1"/>
  <c r="AE59" i="22"/>
  <c r="AE76" i="22" s="1"/>
  <c r="P59" i="22"/>
  <c r="P76" i="22" s="1"/>
  <c r="AF59" i="22"/>
  <c r="AF76" i="22" s="1"/>
  <c r="AH59" i="22"/>
  <c r="AH76" i="22" s="1"/>
  <c r="K59" i="22"/>
  <c r="K76" i="22" s="1"/>
  <c r="S59" i="22"/>
  <c r="S76" i="22" s="1"/>
  <c r="AI59" i="22"/>
  <c r="AI76" i="22" s="1"/>
  <c r="Z44" i="15"/>
  <c r="AD74" i="15"/>
  <c r="AG74" i="15"/>
  <c r="AA74" i="15"/>
  <c r="Z74" i="15"/>
  <c r="Y74" i="15"/>
  <c r="M59" i="22"/>
  <c r="M76" i="22" s="1"/>
  <c r="X74" i="15"/>
  <c r="F59" i="22"/>
  <c r="F76" i="22" s="1"/>
  <c r="V59" i="22"/>
  <c r="V76" i="22" s="1"/>
  <c r="N59" i="22"/>
  <c r="N76" i="22" s="1"/>
  <c r="AK59" i="22"/>
  <c r="AK76" i="22" s="1"/>
  <c r="R59" i="22"/>
  <c r="R76" i="22" s="1"/>
  <c r="X44" i="15"/>
  <c r="AQ59" i="22"/>
  <c r="AQ76" i="22" s="1"/>
  <c r="AC74" i="15"/>
  <c r="AA39" i="15"/>
  <c r="U59" i="22"/>
  <c r="U76" i="22" s="1"/>
  <c r="T59" i="22"/>
  <c r="T76" i="22" s="1"/>
  <c r="AG44" i="15"/>
  <c r="AE44" i="15"/>
  <c r="D16" i="22"/>
  <c r="AC59" i="22"/>
  <c r="AC76" i="22" s="1"/>
  <c r="W59" i="22"/>
  <c r="W76" i="22" s="1"/>
  <c r="AF44" i="15"/>
  <c r="Y39" i="15"/>
  <c r="C84" i="24"/>
  <c r="D39" i="24"/>
  <c r="D44" i="24"/>
  <c r="L80" i="24"/>
  <c r="K80" i="24"/>
  <c r="Q80" i="24"/>
  <c r="P80" i="24"/>
  <c r="O80" i="24"/>
  <c r="N80" i="24"/>
  <c r="F80" i="24"/>
  <c r="E80" i="24"/>
  <c r="E81" i="24" s="1"/>
  <c r="D26" i="22"/>
  <c r="C24" i="22" s="1"/>
  <c r="AL59" i="22"/>
  <c r="AL76" i="22" s="1"/>
  <c r="AN59" i="22"/>
  <c r="AN76" i="22" s="1"/>
  <c r="AO59" i="22"/>
  <c r="AO76" i="22" s="1"/>
  <c r="AB59" i="22"/>
  <c r="AB76" i="22" s="1"/>
  <c r="AA59" i="22"/>
  <c r="AA76" i="22" s="1"/>
  <c r="AD59" i="22"/>
  <c r="AD76" i="22" s="1"/>
  <c r="AJ59" i="22"/>
  <c r="AJ76" i="22" s="1"/>
  <c r="AP59" i="22"/>
  <c r="AP76" i="22" s="1"/>
  <c r="D79" i="22"/>
  <c r="E46" i="20"/>
  <c r="E40" i="20"/>
  <c r="AA46" i="20"/>
  <c r="AA40" i="20"/>
  <c r="AL46" i="20"/>
  <c r="AL40" i="20"/>
  <c r="D82" i="20"/>
  <c r="AH59" i="15"/>
  <c r="AG59" i="15"/>
  <c r="AF59" i="15"/>
  <c r="AE59" i="15"/>
  <c r="AD59" i="15"/>
  <c r="AC59" i="15"/>
  <c r="AB59" i="15"/>
  <c r="AA59" i="15"/>
  <c r="Z59" i="15"/>
  <c r="Y59" i="15"/>
  <c r="X59" i="15"/>
  <c r="E44" i="22"/>
  <c r="E39" i="22"/>
  <c r="F44" i="22"/>
  <c r="F39" i="22"/>
  <c r="G44" i="22"/>
  <c r="G39" i="22"/>
  <c r="H44" i="22"/>
  <c r="H39" i="22"/>
  <c r="I44" i="22"/>
  <c r="I39" i="22"/>
  <c r="J44" i="22"/>
  <c r="J39" i="22"/>
  <c r="K44" i="22"/>
  <c r="K39" i="22"/>
  <c r="L44" i="22"/>
  <c r="L39" i="22"/>
  <c r="M44" i="22"/>
  <c r="M39" i="22"/>
  <c r="N44" i="22"/>
  <c r="N39" i="22"/>
  <c r="O44" i="22"/>
  <c r="O39" i="22"/>
  <c r="P44" i="22"/>
  <c r="P39" i="22"/>
  <c r="Q44" i="22"/>
  <c r="Q39" i="22"/>
  <c r="R44" i="22"/>
  <c r="R39" i="22"/>
  <c r="S44" i="22"/>
  <c r="S39" i="22"/>
  <c r="T44" i="22"/>
  <c r="T39" i="22"/>
  <c r="U44" i="22"/>
  <c r="U39" i="22"/>
  <c r="V44" i="22"/>
  <c r="V39" i="22"/>
  <c r="W44" i="22"/>
  <c r="W39" i="22"/>
  <c r="X44" i="22"/>
  <c r="X39" i="22"/>
  <c r="Y44" i="22"/>
  <c r="Y39" i="22"/>
  <c r="Z44" i="22"/>
  <c r="Z39" i="22"/>
  <c r="AA44" i="22"/>
  <c r="AA39" i="22"/>
  <c r="AB44" i="22"/>
  <c r="AB39" i="22"/>
  <c r="AC44" i="22"/>
  <c r="AC39" i="22"/>
  <c r="AD44" i="22"/>
  <c r="AD39" i="22"/>
  <c r="AE44" i="22"/>
  <c r="AE39" i="22"/>
  <c r="AF44" i="22"/>
  <c r="AF39" i="22"/>
  <c r="AG44" i="22"/>
  <c r="AG39" i="22"/>
  <c r="AH44" i="22"/>
  <c r="AH39" i="22"/>
  <c r="AI44" i="22"/>
  <c r="AI39" i="22"/>
  <c r="AJ44" i="22"/>
  <c r="AJ39" i="22"/>
  <c r="AK44" i="22"/>
  <c r="AK39" i="22"/>
  <c r="AL44" i="22"/>
  <c r="AL39" i="22"/>
  <c r="AM44" i="22"/>
  <c r="AM39" i="22"/>
  <c r="AN44" i="22"/>
  <c r="AN39" i="22"/>
  <c r="AO44" i="22"/>
  <c r="AO39" i="22"/>
  <c r="AP44" i="22"/>
  <c r="AP39" i="22"/>
  <c r="AQ44" i="22"/>
  <c r="AQ39" i="22"/>
  <c r="AR44" i="22"/>
  <c r="AR39" i="22"/>
  <c r="D70" i="22"/>
  <c r="D59" i="22" s="1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AM40" i="20"/>
  <c r="E61" i="20"/>
  <c r="E79" i="20" s="1"/>
  <c r="E83" i="20" s="1"/>
  <c r="AH46" i="20"/>
  <c r="Z46" i="20"/>
  <c r="U40" i="20"/>
  <c r="T40" i="20"/>
  <c r="M46" i="20"/>
  <c r="R46" i="20"/>
  <c r="J46" i="20"/>
  <c r="F61" i="20"/>
  <c r="F41" i="20" s="1"/>
  <c r="F40" i="20"/>
  <c r="D16" i="20"/>
  <c r="G40" i="20"/>
  <c r="K40" i="20"/>
  <c r="Q40" i="20"/>
  <c r="S40" i="20"/>
  <c r="P46" i="20"/>
  <c r="V40" i="20"/>
  <c r="W40" i="20"/>
  <c r="AB46" i="20"/>
  <c r="AC46" i="20"/>
  <c r="AJ40" i="20"/>
  <c r="AF46" i="20"/>
  <c r="AG40" i="20"/>
  <c r="AI40" i="20"/>
  <c r="AK40" i="20"/>
  <c r="P74" i="20"/>
  <c r="Q74" i="20" s="1"/>
  <c r="R74" i="20" s="1"/>
  <c r="S74" i="20" s="1"/>
  <c r="T74" i="20" s="1"/>
  <c r="U74" i="20" s="1"/>
  <c r="V74" i="20" s="1"/>
  <c r="W74" i="20" s="1"/>
  <c r="X74" i="20" s="1"/>
  <c r="Y74" i="20" s="1"/>
  <c r="Z74" i="20" s="1"/>
  <c r="AA74" i="20" s="1"/>
  <c r="AB74" i="20" s="1"/>
  <c r="AC74" i="20" s="1"/>
  <c r="AD74" i="20" s="1"/>
  <c r="AE74" i="20" s="1"/>
  <c r="O61" i="20"/>
  <c r="H61" i="20"/>
  <c r="I61" i="20"/>
  <c r="M61" i="20"/>
  <c r="N61" i="20"/>
  <c r="J61" i="20"/>
  <c r="F83" i="20"/>
  <c r="K61" i="20"/>
  <c r="G61" i="20"/>
  <c r="L61" i="20"/>
  <c r="N40" i="20"/>
  <c r="AD40" i="20"/>
  <c r="O40" i="20"/>
  <c r="AE40" i="20"/>
  <c r="D38" i="20"/>
  <c r="H46" i="20"/>
  <c r="X46" i="20"/>
  <c r="AN46" i="20"/>
  <c r="I46" i="20"/>
  <c r="Y46" i="20"/>
  <c r="L27" i="20"/>
  <c r="L46" i="20" s="1"/>
  <c r="D74" i="22" l="1"/>
  <c r="C84" i="22"/>
  <c r="D44" i="22"/>
  <c r="D39" i="22"/>
  <c r="R61" i="20"/>
  <c r="R41" i="20" s="1"/>
  <c r="E41" i="20"/>
  <c r="J80" i="24"/>
  <c r="D74" i="24"/>
  <c r="H80" i="24"/>
  <c r="I80" i="24"/>
  <c r="M80" i="24"/>
  <c r="R80" i="24"/>
  <c r="D78" i="22"/>
  <c r="D77" i="22"/>
  <c r="F81" i="24"/>
  <c r="G81" i="24" s="1"/>
  <c r="X73" i="15"/>
  <c r="X78" i="15"/>
  <c r="Y73" i="15"/>
  <c r="Y78" i="15"/>
  <c r="Z73" i="15"/>
  <c r="Z78" i="15"/>
  <c r="AA73" i="15"/>
  <c r="AA78" i="15"/>
  <c r="AB73" i="15"/>
  <c r="AB78" i="15"/>
  <c r="AC73" i="15"/>
  <c r="AC78" i="15"/>
  <c r="AD73" i="15"/>
  <c r="AD78" i="15"/>
  <c r="AE73" i="15"/>
  <c r="AE78" i="15"/>
  <c r="AF73" i="15"/>
  <c r="AF78" i="15"/>
  <c r="AG73" i="15"/>
  <c r="AG78" i="15"/>
  <c r="AH73" i="15"/>
  <c r="AH78" i="15"/>
  <c r="D76" i="22"/>
  <c r="AR80" i="22"/>
  <c r="AQ80" i="22"/>
  <c r="AP80" i="22"/>
  <c r="AO80" i="22"/>
  <c r="AN80" i="22"/>
  <c r="AM80" i="22"/>
  <c r="AL80" i="22"/>
  <c r="AK80" i="22"/>
  <c r="AJ80" i="22"/>
  <c r="AI80" i="22"/>
  <c r="AH80" i="22"/>
  <c r="AG80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E81" i="22" s="1"/>
  <c r="E82" i="22" s="1"/>
  <c r="D27" i="20"/>
  <c r="C25" i="20" s="1"/>
  <c r="L40" i="20"/>
  <c r="Y61" i="20"/>
  <c r="Y83" i="20" s="1"/>
  <c r="X61" i="20"/>
  <c r="X83" i="20" s="1"/>
  <c r="D77" i="20"/>
  <c r="T61" i="20"/>
  <c r="S61" i="20"/>
  <c r="J83" i="20"/>
  <c r="J41" i="20"/>
  <c r="W61" i="20"/>
  <c r="AC61" i="20"/>
  <c r="G41" i="20"/>
  <c r="M41" i="20"/>
  <c r="M83" i="20"/>
  <c r="D72" i="20"/>
  <c r="D61" i="20" s="1"/>
  <c r="D83" i="20" s="1"/>
  <c r="AA61" i="20"/>
  <c r="L41" i="20"/>
  <c r="L83" i="20"/>
  <c r="N41" i="20"/>
  <c r="N83" i="20"/>
  <c r="K83" i="20"/>
  <c r="K41" i="20"/>
  <c r="U61" i="20"/>
  <c r="F85" i="20"/>
  <c r="P61" i="20"/>
  <c r="I41" i="20"/>
  <c r="I83" i="20"/>
  <c r="AD61" i="20"/>
  <c r="Q61" i="20"/>
  <c r="V61" i="20"/>
  <c r="H41" i="20"/>
  <c r="H83" i="20"/>
  <c r="AB61" i="20"/>
  <c r="Z61" i="20"/>
  <c r="O41" i="20"/>
  <c r="O83" i="20"/>
  <c r="AF74" i="20"/>
  <c r="AE61" i="20"/>
  <c r="R83" i="20" l="1"/>
  <c r="D80" i="22"/>
  <c r="D82" i="22" s="1"/>
  <c r="H81" i="24"/>
  <c r="I81" i="24" s="1"/>
  <c r="J81" i="24" s="1"/>
  <c r="K81" i="24" s="1"/>
  <c r="L81" i="24" s="1"/>
  <c r="M81" i="24" s="1"/>
  <c r="N81" i="24" s="1"/>
  <c r="O81" i="24" s="1"/>
  <c r="P81" i="24" s="1"/>
  <c r="Q81" i="24" s="1"/>
  <c r="R81" i="24" s="1"/>
  <c r="S80" i="24"/>
  <c r="C80" i="22"/>
  <c r="F81" i="22"/>
  <c r="F82" i="22" s="1"/>
  <c r="X41" i="20"/>
  <c r="D46" i="20"/>
  <c r="Y41" i="20"/>
  <c r="C89" i="20"/>
  <c r="D40" i="20"/>
  <c r="C24" i="20"/>
  <c r="K85" i="20"/>
  <c r="N85" i="20"/>
  <c r="X85" i="20"/>
  <c r="Y85" i="20"/>
  <c r="O85" i="20"/>
  <c r="M85" i="20"/>
  <c r="AE41" i="20"/>
  <c r="AE83" i="20"/>
  <c r="L85" i="20"/>
  <c r="W83" i="20"/>
  <c r="W41" i="20"/>
  <c r="E85" i="20"/>
  <c r="E84" i="20"/>
  <c r="Q83" i="20"/>
  <c r="Q41" i="20"/>
  <c r="I85" i="20"/>
  <c r="AG74" i="20"/>
  <c r="AF61" i="20"/>
  <c r="J85" i="20"/>
  <c r="Z41" i="20"/>
  <c r="Z83" i="20"/>
  <c r="AC41" i="20"/>
  <c r="AC83" i="20"/>
  <c r="AD41" i="20"/>
  <c r="AD83" i="20"/>
  <c r="P41" i="20"/>
  <c r="R85" i="20"/>
  <c r="G83" i="20"/>
  <c r="AB41" i="20"/>
  <c r="AB83" i="20"/>
  <c r="AA41" i="20"/>
  <c r="AA83" i="20"/>
  <c r="H85" i="20"/>
  <c r="C75" i="20"/>
  <c r="S41" i="20"/>
  <c r="S83" i="20"/>
  <c r="U41" i="20"/>
  <c r="U83" i="20"/>
  <c r="T41" i="20"/>
  <c r="T83" i="20"/>
  <c r="V41" i="20"/>
  <c r="V83" i="20"/>
  <c r="S81" i="24" l="1"/>
  <c r="T80" i="24"/>
  <c r="G81" i="22"/>
  <c r="T85" i="20"/>
  <c r="V85" i="20"/>
  <c r="U85" i="20"/>
  <c r="AD85" i="20"/>
  <c r="S85" i="20"/>
  <c r="AC85" i="20"/>
  <c r="AE85" i="20"/>
  <c r="Q85" i="20"/>
  <c r="W85" i="20"/>
  <c r="P83" i="20"/>
  <c r="G85" i="20"/>
  <c r="AF41" i="20"/>
  <c r="AF83" i="20"/>
  <c r="AH74" i="20"/>
  <c r="AG61" i="20"/>
  <c r="E86" i="20"/>
  <c r="F84" i="20"/>
  <c r="AA85" i="20"/>
  <c r="Z85" i="20"/>
  <c r="AB85" i="20"/>
  <c r="T81" i="24" l="1"/>
  <c r="U80" i="24"/>
  <c r="G82" i="22"/>
  <c r="H81" i="22"/>
  <c r="F86" i="20"/>
  <c r="G84" i="20"/>
  <c r="AF85" i="20"/>
  <c r="AG41" i="20"/>
  <c r="AG83" i="20"/>
  <c r="G86" i="20"/>
  <c r="H84" i="20"/>
  <c r="AI74" i="20"/>
  <c r="AH61" i="20"/>
  <c r="P85" i="20"/>
  <c r="U81" i="24" l="1"/>
  <c r="V80" i="24"/>
  <c r="H82" i="22"/>
  <c r="I81" i="22"/>
  <c r="AG85" i="20"/>
  <c r="H86" i="20"/>
  <c r="I84" i="20"/>
  <c r="AH41" i="20"/>
  <c r="AH83" i="20"/>
  <c r="AJ74" i="20"/>
  <c r="AI61" i="20"/>
  <c r="V81" i="24" l="1"/>
  <c r="W80" i="24"/>
  <c r="I82" i="22"/>
  <c r="J81" i="22"/>
  <c r="AH85" i="20"/>
  <c r="AI83" i="20"/>
  <c r="AI41" i="20"/>
  <c r="AK74" i="20"/>
  <c r="AJ61" i="20"/>
  <c r="I86" i="20"/>
  <c r="J84" i="20"/>
  <c r="W81" i="24" l="1"/>
  <c r="J82" i="22"/>
  <c r="K81" i="22"/>
  <c r="AI85" i="20"/>
  <c r="J86" i="20"/>
  <c r="K84" i="20"/>
  <c r="AJ41" i="20"/>
  <c r="AJ83" i="20"/>
  <c r="AL74" i="20"/>
  <c r="AK61" i="20"/>
  <c r="X80" i="24" l="1"/>
  <c r="X81" i="24" s="1"/>
  <c r="K82" i="22"/>
  <c r="L81" i="22"/>
  <c r="AJ85" i="20"/>
  <c r="AK41" i="20"/>
  <c r="AK83" i="20"/>
  <c r="AM74" i="20"/>
  <c r="AL61" i="20"/>
  <c r="K86" i="20"/>
  <c r="L84" i="20"/>
  <c r="Y80" i="24" l="1"/>
  <c r="Z80" i="24"/>
  <c r="L82" i="22"/>
  <c r="M81" i="22"/>
  <c r="AK85" i="20"/>
  <c r="L86" i="20"/>
  <c r="M84" i="20"/>
  <c r="AL41" i="20"/>
  <c r="AL83" i="20"/>
  <c r="AN74" i="20"/>
  <c r="AN61" i="20" s="1"/>
  <c r="AM61" i="20"/>
  <c r="Y81" i="24" l="1"/>
  <c r="Z81" i="24" s="1"/>
  <c r="AA80" i="24"/>
  <c r="AB59" i="24"/>
  <c r="AB76" i="24" s="1"/>
  <c r="M82" i="22"/>
  <c r="N81" i="22"/>
  <c r="AL85" i="20"/>
  <c r="AM83" i="20"/>
  <c r="AM41" i="20"/>
  <c r="C87" i="20"/>
  <c r="AN83" i="20"/>
  <c r="AN41" i="20"/>
  <c r="M86" i="20"/>
  <c r="N84" i="20"/>
  <c r="AA81" i="24" l="1"/>
  <c r="N82" i="22"/>
  <c r="O81" i="22"/>
  <c r="AM85" i="20"/>
  <c r="N86" i="20"/>
  <c r="O84" i="20"/>
  <c r="AN85" i="20"/>
  <c r="C83" i="20"/>
  <c r="AB80" i="24" l="1"/>
  <c r="C80" i="24" s="1"/>
  <c r="O82" i="22"/>
  <c r="P81" i="22"/>
  <c r="O86" i="20"/>
  <c r="P84" i="20"/>
  <c r="AB81" i="24" l="1"/>
  <c r="P82" i="22"/>
  <c r="Q81" i="22"/>
  <c r="P86" i="20"/>
  <c r="Q84" i="20"/>
  <c r="Q82" i="22" l="1"/>
  <c r="R81" i="22"/>
  <c r="Q86" i="20"/>
  <c r="R84" i="20"/>
  <c r="R82" i="22" l="1"/>
  <c r="S81" i="22"/>
  <c r="R86" i="20"/>
  <c r="S84" i="20"/>
  <c r="S82" i="22" l="1"/>
  <c r="T81" i="22"/>
  <c r="S86" i="20"/>
  <c r="T84" i="20"/>
  <c r="T82" i="22" l="1"/>
  <c r="U81" i="22"/>
  <c r="T86" i="20"/>
  <c r="U84" i="20"/>
  <c r="U82" i="22" l="1"/>
  <c r="V81" i="22"/>
  <c r="U86" i="20"/>
  <c r="V84" i="20"/>
  <c r="V82" i="22" l="1"/>
  <c r="W81" i="22"/>
  <c r="V86" i="20"/>
  <c r="W84" i="20"/>
  <c r="W82" i="22" l="1"/>
  <c r="X81" i="22"/>
  <c r="W86" i="20"/>
  <c r="X84" i="20"/>
  <c r="D76" i="24" l="1"/>
  <c r="D80" i="24" s="1"/>
  <c r="X82" i="22"/>
  <c r="Y81" i="22"/>
  <c r="X86" i="20"/>
  <c r="Y84" i="20"/>
  <c r="D82" i="24" l="1"/>
  <c r="Y82" i="22"/>
  <c r="Z81" i="22"/>
  <c r="Y86" i="20"/>
  <c r="Z84" i="20"/>
  <c r="Z82" i="22" l="1"/>
  <c r="AA81" i="22"/>
  <c r="Z86" i="20"/>
  <c r="AA84" i="20"/>
  <c r="AA82" i="22" l="1"/>
  <c r="AB81" i="22"/>
  <c r="AA86" i="20"/>
  <c r="AB84" i="20"/>
  <c r="AB82" i="22" l="1"/>
  <c r="AC81" i="22"/>
  <c r="AB86" i="20"/>
  <c r="AC84" i="20"/>
  <c r="AC82" i="22" l="1"/>
  <c r="AD81" i="22"/>
  <c r="AC86" i="20"/>
  <c r="AD84" i="20"/>
  <c r="AE81" i="22" l="1"/>
  <c r="AD82" i="22"/>
  <c r="AD86" i="20"/>
  <c r="AE84" i="20"/>
  <c r="AE82" i="22" l="1"/>
  <c r="AF81" i="22"/>
  <c r="AE86" i="20"/>
  <c r="AF84" i="20"/>
  <c r="AG81" i="22" l="1"/>
  <c r="AF82" i="22"/>
  <c r="AF86" i="20"/>
  <c r="AG84" i="20"/>
  <c r="AG82" i="22" l="1"/>
  <c r="AH81" i="22"/>
  <c r="AG86" i="20"/>
  <c r="AH84" i="20"/>
  <c r="AI81" i="22" l="1"/>
  <c r="AH82" i="22"/>
  <c r="AH86" i="20"/>
  <c r="AI84" i="20"/>
  <c r="AI82" i="22" l="1"/>
  <c r="AJ81" i="22"/>
  <c r="AI86" i="20"/>
  <c r="AJ84" i="20"/>
  <c r="AJ82" i="22" l="1"/>
  <c r="AK81" i="22"/>
  <c r="AJ86" i="20"/>
  <c r="AK84" i="20"/>
  <c r="AK82" i="22" l="1"/>
  <c r="AL81" i="22"/>
  <c r="AK86" i="20"/>
  <c r="AL84" i="20"/>
  <c r="AL82" i="22" l="1"/>
  <c r="AM81" i="22"/>
  <c r="AL86" i="20"/>
  <c r="AM84" i="20"/>
  <c r="AM82" i="22" l="1"/>
  <c r="AN81" i="22"/>
  <c r="AM86" i="20"/>
  <c r="AN84" i="20"/>
  <c r="AN86" i="20" s="1"/>
  <c r="AN82" i="22" l="1"/>
  <c r="AO81" i="22"/>
  <c r="Z91" i="19"/>
  <c r="AO82" i="22" l="1"/>
  <c r="AP81" i="22"/>
  <c r="D20" i="19"/>
  <c r="D19" i="19"/>
  <c r="AP82" i="22" l="1"/>
  <c r="AQ81" i="22"/>
  <c r="Q38" i="19"/>
  <c r="AQ82" i="22" l="1"/>
  <c r="AR81" i="22"/>
  <c r="AR82" i="22" s="1"/>
  <c r="L38" i="19"/>
  <c r="D37" i="19" l="1"/>
  <c r="D71" i="19" s="1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U82" i="19"/>
  <c r="V82" i="19"/>
  <c r="W82" i="19"/>
  <c r="X82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AG70" i="19"/>
  <c r="AH70" i="19"/>
  <c r="AI70" i="19"/>
  <c r="AJ70" i="19"/>
  <c r="AK70" i="19"/>
  <c r="AL70" i="19"/>
  <c r="AM70" i="19"/>
  <c r="AN70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E74" i="19"/>
  <c r="F74" i="19" s="1"/>
  <c r="G74" i="19" s="1"/>
  <c r="H74" i="19" s="1"/>
  <c r="I74" i="19" s="1"/>
  <c r="J74" i="19" s="1"/>
  <c r="K74" i="19" s="1"/>
  <c r="L74" i="19" s="1"/>
  <c r="M74" i="19" s="1"/>
  <c r="N74" i="19" s="1"/>
  <c r="O74" i="19" s="1"/>
  <c r="P74" i="19" s="1"/>
  <c r="Q74" i="19" s="1"/>
  <c r="R74" i="19" s="1"/>
  <c r="S74" i="19" s="1"/>
  <c r="T74" i="19" s="1"/>
  <c r="U74" i="19" s="1"/>
  <c r="V74" i="19" s="1"/>
  <c r="W74" i="19" s="1"/>
  <c r="X74" i="19" s="1"/>
  <c r="Y74" i="19" s="1"/>
  <c r="Z74" i="19" s="1"/>
  <c r="AA74" i="19" s="1"/>
  <c r="AB74" i="19" s="1"/>
  <c r="AC74" i="19" s="1"/>
  <c r="AD74" i="19" s="1"/>
  <c r="AE74" i="19" s="1"/>
  <c r="AF74" i="19" s="1"/>
  <c r="AG74" i="19" s="1"/>
  <c r="AH74" i="19" s="1"/>
  <c r="AI74" i="19" s="1"/>
  <c r="AJ74" i="19" s="1"/>
  <c r="AK74" i="19" s="1"/>
  <c r="AL74" i="19" s="1"/>
  <c r="AM74" i="19" s="1"/>
  <c r="AN74" i="19" s="1"/>
  <c r="D48" i="19"/>
  <c r="D49" i="19"/>
  <c r="D50" i="19"/>
  <c r="D51" i="19"/>
  <c r="D52" i="19"/>
  <c r="D74" i="19" s="1"/>
  <c r="D53" i="19"/>
  <c r="D43" i="19"/>
  <c r="E27" i="19"/>
  <c r="E40" i="19" s="1"/>
  <c r="F27" i="19"/>
  <c r="F46" i="19" s="1"/>
  <c r="G27" i="19"/>
  <c r="G46" i="19" s="1"/>
  <c r="H27" i="19"/>
  <c r="H46" i="19" s="1"/>
  <c r="I27" i="19"/>
  <c r="I46" i="19" s="1"/>
  <c r="J27" i="19"/>
  <c r="J46" i="19" s="1"/>
  <c r="K27" i="19"/>
  <c r="K46" i="19" s="1"/>
  <c r="L27" i="19"/>
  <c r="L46" i="19" s="1"/>
  <c r="M27" i="19"/>
  <c r="M46" i="19" s="1"/>
  <c r="N27" i="19"/>
  <c r="N46" i="19" s="1"/>
  <c r="O27" i="19"/>
  <c r="O46" i="19" s="1"/>
  <c r="P27" i="19"/>
  <c r="P46" i="19" s="1"/>
  <c r="Q27" i="19"/>
  <c r="Q46" i="19" s="1"/>
  <c r="R27" i="19"/>
  <c r="R46" i="19" s="1"/>
  <c r="S27" i="19"/>
  <c r="S46" i="19" s="1"/>
  <c r="T27" i="19"/>
  <c r="T46" i="19" s="1"/>
  <c r="U27" i="19"/>
  <c r="U46" i="19" s="1"/>
  <c r="V27" i="19"/>
  <c r="V46" i="19" s="1"/>
  <c r="W27" i="19"/>
  <c r="W46" i="19" s="1"/>
  <c r="X27" i="19"/>
  <c r="X46" i="19" s="1"/>
  <c r="Y27" i="19"/>
  <c r="Y46" i="19" s="1"/>
  <c r="Z27" i="19"/>
  <c r="Z46" i="19" s="1"/>
  <c r="AA27" i="19"/>
  <c r="AA46" i="19" s="1"/>
  <c r="AB27" i="19"/>
  <c r="AB46" i="19" s="1"/>
  <c r="AC27" i="19"/>
  <c r="AC46" i="19" s="1"/>
  <c r="AD27" i="19"/>
  <c r="AD46" i="19" s="1"/>
  <c r="AE27" i="19"/>
  <c r="AE46" i="19" s="1"/>
  <c r="AF27" i="19"/>
  <c r="AF46" i="19" s="1"/>
  <c r="AG27" i="19"/>
  <c r="AG46" i="19" s="1"/>
  <c r="AH27" i="19"/>
  <c r="AH46" i="19" s="1"/>
  <c r="AI27" i="19"/>
  <c r="AI46" i="19" s="1"/>
  <c r="AJ27" i="19"/>
  <c r="AJ46" i="19" s="1"/>
  <c r="AK27" i="19"/>
  <c r="AK46" i="19" s="1"/>
  <c r="AL27" i="19"/>
  <c r="AL46" i="19" s="1"/>
  <c r="AM27" i="19"/>
  <c r="AM46" i="19" s="1"/>
  <c r="AN27" i="19"/>
  <c r="AN46" i="19" s="1"/>
  <c r="D28" i="19"/>
  <c r="D62" i="19" s="1"/>
  <c r="D29" i="19"/>
  <c r="D63" i="19" s="1"/>
  <c r="D30" i="19"/>
  <c r="D64" i="19" s="1"/>
  <c r="D31" i="19"/>
  <c r="D65" i="19" s="1"/>
  <c r="D32" i="19"/>
  <c r="D66" i="19" s="1"/>
  <c r="D33" i="19"/>
  <c r="D67" i="19" s="1"/>
  <c r="D34" i="19"/>
  <c r="D68" i="19" s="1"/>
  <c r="D35" i="19"/>
  <c r="D69" i="19" s="1"/>
  <c r="D36" i="19"/>
  <c r="D70" i="19" s="1"/>
  <c r="D38" i="19"/>
  <c r="D72" i="19" s="1"/>
  <c r="D39" i="19"/>
  <c r="D73" i="19" s="1"/>
  <c r="D18" i="19"/>
  <c r="D21" i="19"/>
  <c r="D9" i="19"/>
  <c r="D10" i="19"/>
  <c r="D11" i="19"/>
  <c r="D12" i="19"/>
  <c r="D13" i="19"/>
  <c r="D14" i="19"/>
  <c r="D15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D52" i="18"/>
  <c r="D51" i="18"/>
  <c r="D50" i="9"/>
  <c r="D47" i="18"/>
  <c r="D49" i="18"/>
  <c r="D50" i="18"/>
  <c r="D48" i="18"/>
  <c r="D20" i="18"/>
  <c r="D19" i="18"/>
  <c r="D9" i="18"/>
  <c r="D29" i="18"/>
  <c r="D63" i="18" s="1"/>
  <c r="D30" i="18"/>
  <c r="D64" i="18" s="1"/>
  <c r="D31" i="18"/>
  <c r="D65" i="18" s="1"/>
  <c r="D32" i="18"/>
  <c r="D66" i="18" s="1"/>
  <c r="D33" i="18"/>
  <c r="D67" i="18" s="1"/>
  <c r="D34" i="18"/>
  <c r="D68" i="18" s="1"/>
  <c r="D35" i="18"/>
  <c r="D69" i="18" s="1"/>
  <c r="D36" i="18"/>
  <c r="D70" i="18" s="1"/>
  <c r="D37" i="18"/>
  <c r="D71" i="18" s="1"/>
  <c r="D38" i="18"/>
  <c r="D72" i="18" s="1"/>
  <c r="D27" i="18"/>
  <c r="D61" i="18" s="1"/>
  <c r="D28" i="18"/>
  <c r="D62" i="18" s="1"/>
  <c r="D10" i="18"/>
  <c r="E81" i="18"/>
  <c r="F81" i="18"/>
  <c r="G81" i="18"/>
  <c r="H81" i="18"/>
  <c r="I81" i="18"/>
  <c r="J81" i="18"/>
  <c r="E61" i="18"/>
  <c r="F61" i="18"/>
  <c r="G61" i="18"/>
  <c r="H61" i="18"/>
  <c r="I61" i="18"/>
  <c r="J61" i="18"/>
  <c r="E62" i="18"/>
  <c r="F62" i="18"/>
  <c r="G62" i="18"/>
  <c r="H62" i="18"/>
  <c r="I62" i="18"/>
  <c r="J62" i="18"/>
  <c r="E63" i="18"/>
  <c r="F63" i="18"/>
  <c r="G63" i="18"/>
  <c r="H63" i="18"/>
  <c r="I63" i="18"/>
  <c r="J63" i="18"/>
  <c r="E64" i="18"/>
  <c r="F64" i="18"/>
  <c r="G64" i="18"/>
  <c r="H64" i="18"/>
  <c r="I64" i="18"/>
  <c r="J64" i="18"/>
  <c r="E65" i="18"/>
  <c r="F65" i="18"/>
  <c r="G65" i="18"/>
  <c r="H65" i="18"/>
  <c r="I65" i="18"/>
  <c r="J65" i="18"/>
  <c r="E66" i="18"/>
  <c r="F66" i="18"/>
  <c r="G66" i="18"/>
  <c r="H66" i="18"/>
  <c r="I66" i="18"/>
  <c r="J66" i="18"/>
  <c r="E67" i="18"/>
  <c r="F67" i="18"/>
  <c r="G67" i="18"/>
  <c r="H67" i="18"/>
  <c r="I67" i="18"/>
  <c r="J67" i="18"/>
  <c r="E68" i="18"/>
  <c r="F68" i="18"/>
  <c r="G68" i="18"/>
  <c r="H68" i="18"/>
  <c r="I68" i="18"/>
  <c r="J68" i="18"/>
  <c r="E69" i="18"/>
  <c r="F69" i="18"/>
  <c r="G69" i="18"/>
  <c r="H69" i="18"/>
  <c r="I69" i="18"/>
  <c r="J69" i="18"/>
  <c r="E70" i="18"/>
  <c r="F70" i="18"/>
  <c r="G70" i="18"/>
  <c r="H70" i="18"/>
  <c r="I70" i="18"/>
  <c r="J70" i="18"/>
  <c r="E71" i="18"/>
  <c r="F71" i="18"/>
  <c r="G71" i="18"/>
  <c r="H71" i="18"/>
  <c r="I71" i="18"/>
  <c r="J71" i="18"/>
  <c r="E72" i="18"/>
  <c r="F72" i="18"/>
  <c r="G72" i="18"/>
  <c r="H72" i="18"/>
  <c r="I72" i="18"/>
  <c r="J72" i="18"/>
  <c r="E26" i="18"/>
  <c r="F26" i="18"/>
  <c r="G26" i="18"/>
  <c r="H26" i="18"/>
  <c r="I26" i="18"/>
  <c r="J26" i="18"/>
  <c r="E16" i="18"/>
  <c r="F16" i="18"/>
  <c r="G16" i="18"/>
  <c r="H16" i="18"/>
  <c r="I16" i="18"/>
  <c r="J16" i="18"/>
  <c r="D73" i="18"/>
  <c r="D43" i="18"/>
  <c r="D42" i="18"/>
  <c r="D21" i="18"/>
  <c r="D18" i="18"/>
  <c r="D15" i="18"/>
  <c r="D14" i="18"/>
  <c r="D13" i="18"/>
  <c r="D12" i="18"/>
  <c r="D1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AH81" i="18"/>
  <c r="AI81" i="18"/>
  <c r="AJ81" i="18"/>
  <c r="AK81" i="18"/>
  <c r="AL8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AD68" i="18"/>
  <c r="AE68" i="18"/>
  <c r="AF68" i="18"/>
  <c r="AG68" i="18"/>
  <c r="AH68" i="18"/>
  <c r="AI68" i="18"/>
  <c r="AJ68" i="18"/>
  <c r="AK68" i="18"/>
  <c r="AL68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AD69" i="18"/>
  <c r="AE69" i="18"/>
  <c r="AF69" i="18"/>
  <c r="AG69" i="18"/>
  <c r="AH69" i="18"/>
  <c r="AI69" i="18"/>
  <c r="AJ69" i="18"/>
  <c r="AK69" i="18"/>
  <c r="AL69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AD71" i="18"/>
  <c r="AE71" i="18"/>
  <c r="AF71" i="18"/>
  <c r="AG71" i="18"/>
  <c r="AH71" i="18"/>
  <c r="AI71" i="18"/>
  <c r="AJ71" i="18"/>
  <c r="AK71" i="18"/>
  <c r="AL71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K26" i="18"/>
  <c r="K39" i="18" s="1"/>
  <c r="L26" i="18"/>
  <c r="L45" i="18" s="1"/>
  <c r="M26" i="18"/>
  <c r="M45" i="18" s="1"/>
  <c r="N26" i="18"/>
  <c r="N45" i="18" s="1"/>
  <c r="O26" i="18"/>
  <c r="O45" i="18" s="1"/>
  <c r="P26" i="18"/>
  <c r="P45" i="18" s="1"/>
  <c r="Q26" i="18"/>
  <c r="Q45" i="18" s="1"/>
  <c r="R26" i="18"/>
  <c r="R45" i="18" s="1"/>
  <c r="S26" i="18"/>
  <c r="S45" i="18" s="1"/>
  <c r="T26" i="18"/>
  <c r="T45" i="18" s="1"/>
  <c r="U26" i="18"/>
  <c r="U45" i="18" s="1"/>
  <c r="V26" i="18"/>
  <c r="V45" i="18" s="1"/>
  <c r="W26" i="18"/>
  <c r="W45" i="18" s="1"/>
  <c r="X26" i="18"/>
  <c r="X45" i="18" s="1"/>
  <c r="Y26" i="18"/>
  <c r="Y45" i="18" s="1"/>
  <c r="Z26" i="18"/>
  <c r="Z45" i="18" s="1"/>
  <c r="AA26" i="18"/>
  <c r="AA45" i="18" s="1"/>
  <c r="AB26" i="18"/>
  <c r="AB45" i="18" s="1"/>
  <c r="AC26" i="18"/>
  <c r="AC45" i="18" s="1"/>
  <c r="AD26" i="18"/>
  <c r="AD45" i="18" s="1"/>
  <c r="AE26" i="18"/>
  <c r="AE45" i="18" s="1"/>
  <c r="AF26" i="18"/>
  <c r="AF45" i="18" s="1"/>
  <c r="AG26" i="18"/>
  <c r="AG45" i="18" s="1"/>
  <c r="AH26" i="18"/>
  <c r="AH45" i="18" s="1"/>
  <c r="AI26" i="18"/>
  <c r="AI45" i="18" s="1"/>
  <c r="AJ26" i="18"/>
  <c r="AJ45" i="18" s="1"/>
  <c r="AK26" i="18"/>
  <c r="AK45" i="18" s="1"/>
  <c r="AL26" i="18"/>
  <c r="AL45" i="18" s="1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79" i="18"/>
  <c r="AN79" i="18"/>
  <c r="AM80" i="18"/>
  <c r="AN80" i="18"/>
  <c r="AM81" i="18"/>
  <c r="AN81" i="18"/>
  <c r="AM61" i="18"/>
  <c r="AN61" i="18"/>
  <c r="AM62" i="18"/>
  <c r="AN62" i="18"/>
  <c r="AM63" i="18"/>
  <c r="AN63" i="18"/>
  <c r="AM64" i="18"/>
  <c r="AN64" i="18"/>
  <c r="AM65" i="18"/>
  <c r="AN65" i="18"/>
  <c r="AM66" i="18"/>
  <c r="AN66" i="18"/>
  <c r="AM67" i="18"/>
  <c r="AN67" i="18"/>
  <c r="AM68" i="18"/>
  <c r="AN68" i="18"/>
  <c r="AM69" i="18"/>
  <c r="AN69" i="18"/>
  <c r="AM70" i="18"/>
  <c r="AN70" i="18"/>
  <c r="AM71" i="18"/>
  <c r="AN71" i="18"/>
  <c r="AM72" i="18"/>
  <c r="AN72" i="18"/>
  <c r="AM26" i="18"/>
  <c r="AM45" i="18" s="1"/>
  <c r="AN26" i="18"/>
  <c r="AN45" i="18" s="1"/>
  <c r="AM16" i="18"/>
  <c r="AN16" i="18"/>
  <c r="D31" i="17"/>
  <c r="D27" i="17"/>
  <c r="D28" i="17"/>
  <c r="D30" i="17"/>
  <c r="D64" i="17" s="1"/>
  <c r="D32" i="17"/>
  <c r="D33" i="17"/>
  <c r="D34" i="17"/>
  <c r="D35" i="17"/>
  <c r="D36" i="17"/>
  <c r="AN39" i="18" l="1"/>
  <c r="R39" i="18"/>
  <c r="AC39" i="18"/>
  <c r="D81" i="18"/>
  <c r="O39" i="18"/>
  <c r="N39" i="18"/>
  <c r="AD40" i="19"/>
  <c r="AM39" i="18"/>
  <c r="AL39" i="18"/>
  <c r="T39" i="18"/>
  <c r="M40" i="19"/>
  <c r="X79" i="15"/>
  <c r="Y79" i="15"/>
  <c r="Z79" i="15"/>
  <c r="AA79" i="15"/>
  <c r="AB79" i="15"/>
  <c r="AC79" i="15"/>
  <c r="AD79" i="15"/>
  <c r="AE79" i="15"/>
  <c r="AF79" i="15"/>
  <c r="AG79" i="15"/>
  <c r="AH79" i="15"/>
  <c r="X80" i="15"/>
  <c r="Y80" i="15"/>
  <c r="Z80" i="15"/>
  <c r="AA80" i="15"/>
  <c r="AB80" i="15"/>
  <c r="AC80" i="15"/>
  <c r="AD80" i="15"/>
  <c r="AE80" i="15"/>
  <c r="AF80" i="15"/>
  <c r="AG80" i="15"/>
  <c r="AH80" i="15"/>
  <c r="X40" i="19"/>
  <c r="H40" i="19"/>
  <c r="L40" i="19"/>
  <c r="D80" i="19"/>
  <c r="AN40" i="19"/>
  <c r="AE40" i="19"/>
  <c r="AC40" i="19"/>
  <c r="AB40" i="19"/>
  <c r="Y40" i="19"/>
  <c r="D81" i="19"/>
  <c r="D82" i="19"/>
  <c r="AJ40" i="19"/>
  <c r="AF40" i="19"/>
  <c r="T40" i="19"/>
  <c r="P40" i="19"/>
  <c r="O40" i="19"/>
  <c r="N40" i="19"/>
  <c r="AA40" i="19"/>
  <c r="J40" i="19"/>
  <c r="Z40" i="19"/>
  <c r="I40" i="19"/>
  <c r="G40" i="19"/>
  <c r="W40" i="19"/>
  <c r="F40" i="19"/>
  <c r="AL40" i="19"/>
  <c r="V40" i="19"/>
  <c r="AM40" i="19"/>
  <c r="AK40" i="19"/>
  <c r="U40" i="19"/>
  <c r="AI40" i="19"/>
  <c r="S40" i="19"/>
  <c r="AH40" i="19"/>
  <c r="R40" i="19"/>
  <c r="AG40" i="19"/>
  <c r="Q40" i="19"/>
  <c r="K40" i="19"/>
  <c r="D16" i="19"/>
  <c r="D61" i="19"/>
  <c r="E46" i="19"/>
  <c r="D27" i="19"/>
  <c r="C25" i="19" s="1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F41" i="19" s="1"/>
  <c r="E61" i="19"/>
  <c r="E41" i="19" s="1"/>
  <c r="AK39" i="18"/>
  <c r="AJ39" i="18"/>
  <c r="AI39" i="18"/>
  <c r="AH39" i="18"/>
  <c r="AG39" i="18"/>
  <c r="AF39" i="18"/>
  <c r="AE39" i="18"/>
  <c r="AD39" i="18"/>
  <c r="AB39" i="18"/>
  <c r="AA39" i="18"/>
  <c r="Z39" i="18"/>
  <c r="Y39" i="18"/>
  <c r="X39" i="18"/>
  <c r="W39" i="18"/>
  <c r="V39" i="18"/>
  <c r="U39" i="18"/>
  <c r="S39" i="18"/>
  <c r="Q39" i="18"/>
  <c r="P39" i="18"/>
  <c r="M39" i="18"/>
  <c r="L39" i="18"/>
  <c r="K45" i="18"/>
  <c r="D26" i="18"/>
  <c r="AN60" i="18"/>
  <c r="AN78" i="18" s="1"/>
  <c r="AM60" i="18"/>
  <c r="AM78" i="18" s="1"/>
  <c r="D60" i="18"/>
  <c r="E80" i="18"/>
  <c r="F80" i="18"/>
  <c r="G80" i="18"/>
  <c r="H80" i="18"/>
  <c r="I80" i="18"/>
  <c r="J80" i="18"/>
  <c r="E79" i="18"/>
  <c r="F79" i="18"/>
  <c r="G79" i="18"/>
  <c r="H79" i="18"/>
  <c r="I79" i="18"/>
  <c r="J79" i="18"/>
  <c r="J45" i="18"/>
  <c r="J39" i="18"/>
  <c r="I45" i="18"/>
  <c r="I39" i="18"/>
  <c r="H45" i="18"/>
  <c r="H39" i="18"/>
  <c r="G45" i="18"/>
  <c r="G39" i="18"/>
  <c r="F45" i="18"/>
  <c r="F39" i="18"/>
  <c r="E45" i="18"/>
  <c r="E39" i="18"/>
  <c r="J60" i="18"/>
  <c r="J40" i="18" s="1"/>
  <c r="I60" i="18"/>
  <c r="H60" i="18"/>
  <c r="G60" i="18"/>
  <c r="F60" i="18"/>
  <c r="E6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AH79" i="18"/>
  <c r="AI79" i="18"/>
  <c r="AJ79" i="18"/>
  <c r="AK79" i="18"/>
  <c r="AL79" i="18"/>
  <c r="D16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O91" i="17"/>
  <c r="O92" i="17"/>
  <c r="D80" i="18" l="1"/>
  <c r="AH82" i="15"/>
  <c r="AG82" i="15"/>
  <c r="AF82" i="15"/>
  <c r="AE82" i="15"/>
  <c r="AD82" i="15"/>
  <c r="AC82" i="15"/>
  <c r="AB82" i="15"/>
  <c r="AA82" i="15"/>
  <c r="Z82" i="15"/>
  <c r="Y82" i="15"/>
  <c r="X82" i="15"/>
  <c r="X83" i="15" s="1"/>
  <c r="C89" i="19"/>
  <c r="C24" i="19"/>
  <c r="C75" i="19"/>
  <c r="M41" i="19"/>
  <c r="AC41" i="19"/>
  <c r="N41" i="19"/>
  <c r="AD41" i="19"/>
  <c r="O41" i="19"/>
  <c r="AE41" i="19"/>
  <c r="P41" i="19"/>
  <c r="AF41" i="19"/>
  <c r="Q41" i="19"/>
  <c r="AG41" i="19"/>
  <c r="R41" i="19"/>
  <c r="AH41" i="19"/>
  <c r="S41" i="19"/>
  <c r="AI41" i="19"/>
  <c r="T41" i="19"/>
  <c r="AJ41" i="19"/>
  <c r="U41" i="19"/>
  <c r="AK41" i="19"/>
  <c r="V41" i="19"/>
  <c r="AL41" i="19"/>
  <c r="G41" i="19"/>
  <c r="W41" i="19"/>
  <c r="AM41" i="19"/>
  <c r="H41" i="19"/>
  <c r="X41" i="19"/>
  <c r="AN41" i="19"/>
  <c r="I41" i="19"/>
  <c r="Y41" i="19"/>
  <c r="J41" i="19"/>
  <c r="Z41" i="19"/>
  <c r="K41" i="19"/>
  <c r="AA41" i="19"/>
  <c r="L41" i="19"/>
  <c r="AB41" i="19"/>
  <c r="D46" i="19"/>
  <c r="D79" i="18"/>
  <c r="E79" i="19"/>
  <c r="D77" i="19"/>
  <c r="F79" i="19"/>
  <c r="F83" i="19" s="1"/>
  <c r="F85" i="19" s="1"/>
  <c r="G79" i="19"/>
  <c r="G83" i="19" s="1"/>
  <c r="G85" i="19" s="1"/>
  <c r="H79" i="19"/>
  <c r="H83" i="19" s="1"/>
  <c r="H85" i="19" s="1"/>
  <c r="I79" i="19"/>
  <c r="I83" i="19" s="1"/>
  <c r="I85" i="19" s="1"/>
  <c r="J79" i="19"/>
  <c r="J83" i="19" s="1"/>
  <c r="J85" i="19" s="1"/>
  <c r="K79" i="19"/>
  <c r="K83" i="19" s="1"/>
  <c r="K85" i="19" s="1"/>
  <c r="L79" i="19"/>
  <c r="L83" i="19" s="1"/>
  <c r="L85" i="19" s="1"/>
  <c r="M79" i="19"/>
  <c r="M83" i="19" s="1"/>
  <c r="M85" i="19" s="1"/>
  <c r="N79" i="19"/>
  <c r="N83" i="19" s="1"/>
  <c r="N85" i="19" s="1"/>
  <c r="O79" i="19"/>
  <c r="O83" i="19" s="1"/>
  <c r="O85" i="19" s="1"/>
  <c r="P79" i="19"/>
  <c r="P83" i="19" s="1"/>
  <c r="P85" i="19" s="1"/>
  <c r="Q79" i="19"/>
  <c r="Q83" i="19" s="1"/>
  <c r="Q85" i="19" s="1"/>
  <c r="R79" i="19"/>
  <c r="R83" i="19" s="1"/>
  <c r="R85" i="19" s="1"/>
  <c r="S79" i="19"/>
  <c r="S83" i="19" s="1"/>
  <c r="S85" i="19" s="1"/>
  <c r="T79" i="19"/>
  <c r="T83" i="19" s="1"/>
  <c r="T85" i="19" s="1"/>
  <c r="U79" i="19"/>
  <c r="U83" i="19" s="1"/>
  <c r="U85" i="19" s="1"/>
  <c r="V79" i="19"/>
  <c r="V83" i="19" s="1"/>
  <c r="V85" i="19" s="1"/>
  <c r="W79" i="19"/>
  <c r="W83" i="19" s="1"/>
  <c r="W85" i="19" s="1"/>
  <c r="X79" i="19"/>
  <c r="X83" i="19" s="1"/>
  <c r="X85" i="19" s="1"/>
  <c r="Y79" i="19"/>
  <c r="Y83" i="19" s="1"/>
  <c r="Y85" i="19" s="1"/>
  <c r="Z79" i="19"/>
  <c r="Z83" i="19" s="1"/>
  <c r="Z85" i="19" s="1"/>
  <c r="AA79" i="19"/>
  <c r="AA83" i="19" s="1"/>
  <c r="AA85" i="19" s="1"/>
  <c r="AB79" i="19"/>
  <c r="AB83" i="19" s="1"/>
  <c r="AB85" i="19" s="1"/>
  <c r="AC79" i="19"/>
  <c r="AC83" i="19" s="1"/>
  <c r="AC85" i="19" s="1"/>
  <c r="AD79" i="19"/>
  <c r="AD83" i="19" s="1"/>
  <c r="AD85" i="19" s="1"/>
  <c r="AE79" i="19"/>
  <c r="AE83" i="19" s="1"/>
  <c r="AE85" i="19" s="1"/>
  <c r="AF79" i="19"/>
  <c r="AF83" i="19" s="1"/>
  <c r="AF85" i="19" s="1"/>
  <c r="AG79" i="19"/>
  <c r="AG83" i="19" s="1"/>
  <c r="AG85" i="19" s="1"/>
  <c r="AH79" i="19"/>
  <c r="AH83" i="19" s="1"/>
  <c r="AH85" i="19" s="1"/>
  <c r="AI79" i="19"/>
  <c r="AI83" i="19" s="1"/>
  <c r="AI85" i="19" s="1"/>
  <c r="AJ79" i="19"/>
  <c r="AJ83" i="19" s="1"/>
  <c r="AJ85" i="19" s="1"/>
  <c r="AK79" i="19"/>
  <c r="AK83" i="19" s="1"/>
  <c r="AK85" i="19" s="1"/>
  <c r="AL79" i="19"/>
  <c r="AL83" i="19" s="1"/>
  <c r="AL85" i="19" s="1"/>
  <c r="AM79" i="19"/>
  <c r="AM83" i="19" s="1"/>
  <c r="AM85" i="19" s="1"/>
  <c r="AN79" i="19"/>
  <c r="AN83" i="19" s="1"/>
  <c r="AN85" i="19" s="1"/>
  <c r="D40" i="19"/>
  <c r="E78" i="18"/>
  <c r="E40" i="18"/>
  <c r="F78" i="18"/>
  <c r="F82" i="18" s="1"/>
  <c r="F84" i="18" s="1"/>
  <c r="F40" i="18"/>
  <c r="G78" i="18"/>
  <c r="G82" i="18" s="1"/>
  <c r="G84" i="18" s="1"/>
  <c r="G40" i="18"/>
  <c r="H78" i="18"/>
  <c r="H82" i="18" s="1"/>
  <c r="H84" i="18" s="1"/>
  <c r="H40" i="18"/>
  <c r="I78" i="18"/>
  <c r="I82" i="18" s="1"/>
  <c r="I84" i="18" s="1"/>
  <c r="I40" i="18"/>
  <c r="J78" i="18"/>
  <c r="J82" i="18" s="1"/>
  <c r="J84" i="18" s="1"/>
  <c r="D76" i="18"/>
  <c r="K78" i="18"/>
  <c r="K82" i="18" s="1"/>
  <c r="K84" i="18" s="1"/>
  <c r="K40" i="18"/>
  <c r="L78" i="18"/>
  <c r="L82" i="18" s="1"/>
  <c r="L84" i="18" s="1"/>
  <c r="L40" i="18"/>
  <c r="M78" i="18"/>
  <c r="M82" i="18" s="1"/>
  <c r="M84" i="18" s="1"/>
  <c r="M40" i="18"/>
  <c r="N78" i="18"/>
  <c r="N82" i="18" s="1"/>
  <c r="N84" i="18" s="1"/>
  <c r="N40" i="18"/>
  <c r="O78" i="18"/>
  <c r="O82" i="18" s="1"/>
  <c r="O84" i="18" s="1"/>
  <c r="O40" i="18"/>
  <c r="P78" i="18"/>
  <c r="P82" i="18" s="1"/>
  <c r="P84" i="18" s="1"/>
  <c r="P40" i="18"/>
  <c r="Q78" i="18"/>
  <c r="Q82" i="18" s="1"/>
  <c r="Q84" i="18" s="1"/>
  <c r="Q40" i="18"/>
  <c r="R78" i="18"/>
  <c r="R82" i="18" s="1"/>
  <c r="R84" i="18" s="1"/>
  <c r="R40" i="18"/>
  <c r="S78" i="18"/>
  <c r="S82" i="18" s="1"/>
  <c r="S84" i="18" s="1"/>
  <c r="S40" i="18"/>
  <c r="T78" i="18"/>
  <c r="T82" i="18" s="1"/>
  <c r="T84" i="18" s="1"/>
  <c r="T40" i="18"/>
  <c r="U78" i="18"/>
  <c r="U82" i="18" s="1"/>
  <c r="U84" i="18" s="1"/>
  <c r="U40" i="18"/>
  <c r="V78" i="18"/>
  <c r="V82" i="18" s="1"/>
  <c r="V84" i="18" s="1"/>
  <c r="V40" i="18"/>
  <c r="W78" i="18"/>
  <c r="W82" i="18" s="1"/>
  <c r="W84" i="18" s="1"/>
  <c r="W40" i="18"/>
  <c r="X78" i="18"/>
  <c r="X82" i="18" s="1"/>
  <c r="X84" i="18" s="1"/>
  <c r="X40" i="18"/>
  <c r="Y78" i="18"/>
  <c r="Y82" i="18" s="1"/>
  <c r="Y84" i="18" s="1"/>
  <c r="Y40" i="18"/>
  <c r="Z78" i="18"/>
  <c r="Z82" i="18" s="1"/>
  <c r="Z84" i="18" s="1"/>
  <c r="Z40" i="18"/>
  <c r="AA78" i="18"/>
  <c r="AA82" i="18" s="1"/>
  <c r="AA84" i="18" s="1"/>
  <c r="AA40" i="18"/>
  <c r="AB78" i="18"/>
  <c r="AB82" i="18" s="1"/>
  <c r="AB84" i="18" s="1"/>
  <c r="AB40" i="18"/>
  <c r="AC78" i="18"/>
  <c r="AC82" i="18" s="1"/>
  <c r="AC84" i="18" s="1"/>
  <c r="AC40" i="18"/>
  <c r="AD78" i="18"/>
  <c r="AD82" i="18" s="1"/>
  <c r="AD84" i="18" s="1"/>
  <c r="AD40" i="18"/>
  <c r="AE78" i="18"/>
  <c r="AE82" i="18" s="1"/>
  <c r="AE84" i="18" s="1"/>
  <c r="AE40" i="18"/>
  <c r="AF78" i="18"/>
  <c r="AF82" i="18" s="1"/>
  <c r="AF84" i="18" s="1"/>
  <c r="AF40" i="18"/>
  <c r="AG78" i="18"/>
  <c r="AG82" i="18" s="1"/>
  <c r="AG84" i="18" s="1"/>
  <c r="AG40" i="18"/>
  <c r="AH78" i="18"/>
  <c r="AH82" i="18" s="1"/>
  <c r="AH84" i="18" s="1"/>
  <c r="AH40" i="18"/>
  <c r="AI78" i="18"/>
  <c r="AI82" i="18" s="1"/>
  <c r="AI84" i="18" s="1"/>
  <c r="AI40" i="18"/>
  <c r="AJ78" i="18"/>
  <c r="AJ82" i="18" s="1"/>
  <c r="AJ84" i="18" s="1"/>
  <c r="AJ40" i="18"/>
  <c r="AK78" i="18"/>
  <c r="AK82" i="18" s="1"/>
  <c r="AK84" i="18" s="1"/>
  <c r="AK40" i="18"/>
  <c r="AL78" i="18"/>
  <c r="AL82" i="18" s="1"/>
  <c r="AL84" i="18" s="1"/>
  <c r="AL40" i="18"/>
  <c r="C86" i="18"/>
  <c r="D45" i="18"/>
  <c r="D39" i="18"/>
  <c r="C24" i="18"/>
  <c r="C74" i="18"/>
  <c r="AM82" i="18"/>
  <c r="AM84" i="18" s="1"/>
  <c r="AM40" i="18"/>
  <c r="AN82" i="18"/>
  <c r="AN84" i="18" s="1"/>
  <c r="AN40" i="18"/>
  <c r="AE81" i="17"/>
  <c r="AL81" i="17"/>
  <c r="AK81" i="17"/>
  <c r="AJ81" i="17"/>
  <c r="AI81" i="17"/>
  <c r="AG81" i="17"/>
  <c r="AF81" i="17"/>
  <c r="AD81" i="17"/>
  <c r="AC81" i="17"/>
  <c r="AB81" i="17"/>
  <c r="AA81" i="17"/>
  <c r="Z81" i="17"/>
  <c r="V81" i="17"/>
  <c r="U81" i="17"/>
  <c r="T81" i="17"/>
  <c r="S81" i="17"/>
  <c r="Q81" i="17"/>
  <c r="P81" i="17"/>
  <c r="N81" i="17"/>
  <c r="M81" i="17"/>
  <c r="L81" i="17"/>
  <c r="K81" i="17"/>
  <c r="J81" i="17"/>
  <c r="I81" i="17"/>
  <c r="H81" i="17"/>
  <c r="F81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AL66" i="17"/>
  <c r="AK66" i="17"/>
  <c r="AJ66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AL65" i="17"/>
  <c r="AK65" i="17"/>
  <c r="AJ65" i="17"/>
  <c r="AI65" i="17"/>
  <c r="AH65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52" i="17"/>
  <c r="D51" i="17"/>
  <c r="D73" i="17" s="1"/>
  <c r="D50" i="17"/>
  <c r="D49" i="17"/>
  <c r="D48" i="17"/>
  <c r="D47" i="17"/>
  <c r="D43" i="17"/>
  <c r="D42" i="17"/>
  <c r="D38" i="17"/>
  <c r="D72" i="17" s="1"/>
  <c r="D37" i="17"/>
  <c r="D70" i="17"/>
  <c r="D69" i="17"/>
  <c r="D68" i="17"/>
  <c r="D67" i="17"/>
  <c r="D66" i="17"/>
  <c r="D65" i="17"/>
  <c r="D29" i="17"/>
  <c r="D63" i="17" s="1"/>
  <c r="D62" i="17"/>
  <c r="D61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1" i="17"/>
  <c r="D20" i="17"/>
  <c r="D19" i="17"/>
  <c r="D18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5" i="17"/>
  <c r="D14" i="17"/>
  <c r="D13" i="17"/>
  <c r="D12" i="17"/>
  <c r="D11" i="17"/>
  <c r="D10" i="17"/>
  <c r="D9" i="17"/>
  <c r="D18" i="16"/>
  <c r="D20" i="16"/>
  <c r="D21" i="16"/>
  <c r="D19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D47" i="16"/>
  <c r="D48" i="16"/>
  <c r="D49" i="16"/>
  <c r="D50" i="16"/>
  <c r="D72" i="16" s="1"/>
  <c r="D51" i="16"/>
  <c r="D46" i="16"/>
  <c r="D42" i="16"/>
  <c r="D41" i="16"/>
  <c r="D31" i="16"/>
  <c r="D64" i="16" s="1"/>
  <c r="D27" i="16"/>
  <c r="D60" i="16" s="1"/>
  <c r="D28" i="16"/>
  <c r="D61" i="16" s="1"/>
  <c r="D29" i="16"/>
  <c r="D62" i="16" s="1"/>
  <c r="D30" i="16"/>
  <c r="D63" i="16" s="1"/>
  <c r="D32" i="16"/>
  <c r="D65" i="16" s="1"/>
  <c r="D33" i="16"/>
  <c r="D66" i="16" s="1"/>
  <c r="D34" i="16"/>
  <c r="D67" i="16" s="1"/>
  <c r="D35" i="16"/>
  <c r="D68" i="16" s="1"/>
  <c r="D36" i="16"/>
  <c r="D69" i="16" s="1"/>
  <c r="D37" i="16"/>
  <c r="D38" i="16"/>
  <c r="D71" i="16" s="1"/>
  <c r="D13" i="16"/>
  <c r="D14" i="16"/>
  <c r="D15" i="16"/>
  <c r="D9" i="16"/>
  <c r="D10" i="16"/>
  <c r="D11" i="16"/>
  <c r="D12" i="16"/>
  <c r="O16" i="16"/>
  <c r="P16" i="16"/>
  <c r="O26" i="16"/>
  <c r="O44" i="16" s="1"/>
  <c r="P26" i="16"/>
  <c r="P44" i="16" s="1"/>
  <c r="O60" i="16"/>
  <c r="P60" i="16"/>
  <c r="O61" i="16"/>
  <c r="P61" i="16"/>
  <c r="O62" i="16"/>
  <c r="P62" i="16"/>
  <c r="O63" i="16"/>
  <c r="P63" i="16"/>
  <c r="O64" i="16"/>
  <c r="P64" i="16"/>
  <c r="O65" i="16"/>
  <c r="P65" i="16"/>
  <c r="O66" i="16"/>
  <c r="P66" i="16"/>
  <c r="O67" i="16"/>
  <c r="P67" i="16"/>
  <c r="O68" i="16"/>
  <c r="P68" i="16"/>
  <c r="O69" i="16"/>
  <c r="P69" i="16"/>
  <c r="O70" i="16"/>
  <c r="P70" i="16"/>
  <c r="O71" i="16"/>
  <c r="P71" i="16"/>
  <c r="O79" i="16"/>
  <c r="P79" i="16"/>
  <c r="O80" i="16"/>
  <c r="P80" i="16"/>
  <c r="O81" i="16"/>
  <c r="P81" i="16"/>
  <c r="N81" i="16"/>
  <c r="M81" i="16"/>
  <c r="L81" i="16"/>
  <c r="K81" i="16"/>
  <c r="J81" i="16"/>
  <c r="I81" i="16"/>
  <c r="H81" i="16"/>
  <c r="G81" i="16"/>
  <c r="F81" i="16"/>
  <c r="E81" i="16"/>
  <c r="N80" i="16"/>
  <c r="M80" i="16"/>
  <c r="L80" i="16"/>
  <c r="G80" i="16"/>
  <c r="F80" i="16"/>
  <c r="K80" i="16"/>
  <c r="F79" i="16"/>
  <c r="N71" i="16"/>
  <c r="M71" i="16"/>
  <c r="L71" i="16"/>
  <c r="K71" i="16"/>
  <c r="J71" i="16"/>
  <c r="I71" i="16"/>
  <c r="H71" i="16"/>
  <c r="G71" i="16"/>
  <c r="F71" i="16"/>
  <c r="E71" i="16"/>
  <c r="N70" i="16"/>
  <c r="M70" i="16"/>
  <c r="L70" i="16"/>
  <c r="K70" i="16"/>
  <c r="J70" i="16"/>
  <c r="I70" i="16"/>
  <c r="H70" i="16"/>
  <c r="G70" i="16"/>
  <c r="F70" i="16"/>
  <c r="E70" i="16"/>
  <c r="N69" i="16"/>
  <c r="M69" i="16"/>
  <c r="L69" i="16"/>
  <c r="K69" i="16"/>
  <c r="J69" i="16"/>
  <c r="I69" i="16"/>
  <c r="H69" i="16"/>
  <c r="G69" i="16"/>
  <c r="F69" i="16"/>
  <c r="E69" i="16"/>
  <c r="N68" i="16"/>
  <c r="M68" i="16"/>
  <c r="L68" i="16"/>
  <c r="K68" i="16"/>
  <c r="J68" i="16"/>
  <c r="I68" i="16"/>
  <c r="H68" i="16"/>
  <c r="G68" i="16"/>
  <c r="F68" i="16"/>
  <c r="E68" i="16"/>
  <c r="N67" i="16"/>
  <c r="M67" i="16"/>
  <c r="L67" i="16"/>
  <c r="K67" i="16"/>
  <c r="J67" i="16"/>
  <c r="I67" i="16"/>
  <c r="H67" i="16"/>
  <c r="G67" i="16"/>
  <c r="F67" i="16"/>
  <c r="E67" i="16"/>
  <c r="N66" i="16"/>
  <c r="M66" i="16"/>
  <c r="L66" i="16"/>
  <c r="K66" i="16"/>
  <c r="J66" i="16"/>
  <c r="I66" i="16"/>
  <c r="H66" i="16"/>
  <c r="G66" i="16"/>
  <c r="F66" i="16"/>
  <c r="E66" i="16"/>
  <c r="N65" i="16"/>
  <c r="M65" i="16"/>
  <c r="L65" i="16"/>
  <c r="K65" i="16"/>
  <c r="J65" i="16"/>
  <c r="I65" i="16"/>
  <c r="H65" i="16"/>
  <c r="G65" i="16"/>
  <c r="F65" i="16"/>
  <c r="E65" i="16"/>
  <c r="N64" i="16"/>
  <c r="M64" i="16"/>
  <c r="L64" i="16"/>
  <c r="K64" i="16"/>
  <c r="J64" i="16"/>
  <c r="I64" i="16"/>
  <c r="H64" i="16"/>
  <c r="G64" i="16"/>
  <c r="F64" i="16"/>
  <c r="E64" i="16"/>
  <c r="N63" i="16"/>
  <c r="M63" i="16"/>
  <c r="L63" i="16"/>
  <c r="K63" i="16"/>
  <c r="J63" i="16"/>
  <c r="I63" i="16"/>
  <c r="H63" i="16"/>
  <c r="G63" i="16"/>
  <c r="F63" i="16"/>
  <c r="E63" i="16"/>
  <c r="N62" i="16"/>
  <c r="M62" i="16"/>
  <c r="L62" i="16"/>
  <c r="K62" i="16"/>
  <c r="J62" i="16"/>
  <c r="I62" i="16"/>
  <c r="H62" i="16"/>
  <c r="G62" i="16"/>
  <c r="F62" i="16"/>
  <c r="E62" i="16"/>
  <c r="N61" i="16"/>
  <c r="M61" i="16"/>
  <c r="L61" i="16"/>
  <c r="K61" i="16"/>
  <c r="J61" i="16"/>
  <c r="I61" i="16"/>
  <c r="H61" i="16"/>
  <c r="G61" i="16"/>
  <c r="F61" i="16"/>
  <c r="E61" i="16"/>
  <c r="N60" i="16"/>
  <c r="M60" i="16"/>
  <c r="L60" i="16"/>
  <c r="K60" i="16"/>
  <c r="J60" i="16"/>
  <c r="I60" i="16"/>
  <c r="H60" i="16"/>
  <c r="G60" i="16"/>
  <c r="F60" i="16"/>
  <c r="E60" i="16"/>
  <c r="N26" i="16"/>
  <c r="N39" i="16" s="1"/>
  <c r="M26" i="16"/>
  <c r="M44" i="16" s="1"/>
  <c r="L26" i="16"/>
  <c r="K26" i="16"/>
  <c r="J26" i="16"/>
  <c r="J44" i="16" s="1"/>
  <c r="I26" i="16"/>
  <c r="I44" i="16" s="1"/>
  <c r="H26" i="16"/>
  <c r="H39" i="16" s="1"/>
  <c r="G26" i="16"/>
  <c r="G44" i="16" s="1"/>
  <c r="F26" i="16"/>
  <c r="F39" i="16" s="1"/>
  <c r="E26" i="16"/>
  <c r="E39" i="16" s="1"/>
  <c r="N16" i="16"/>
  <c r="M16" i="16"/>
  <c r="L16" i="16"/>
  <c r="K16" i="16"/>
  <c r="J16" i="16"/>
  <c r="I16" i="16"/>
  <c r="H16" i="16"/>
  <c r="G16" i="16"/>
  <c r="F16" i="16"/>
  <c r="E16" i="16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51" i="15"/>
  <c r="D72" i="15"/>
  <c r="D49" i="15"/>
  <c r="D48" i="15"/>
  <c r="D47" i="15"/>
  <c r="D46" i="15"/>
  <c r="D42" i="15"/>
  <c r="D41" i="15"/>
  <c r="D38" i="15"/>
  <c r="D71" i="15" s="1"/>
  <c r="D37" i="15"/>
  <c r="D36" i="15"/>
  <c r="D69" i="15" s="1"/>
  <c r="D35" i="15"/>
  <c r="D68" i="15" s="1"/>
  <c r="D34" i="15"/>
  <c r="D67" i="15" s="1"/>
  <c r="D33" i="15"/>
  <c r="D66" i="15" s="1"/>
  <c r="D32" i="15"/>
  <c r="D65" i="15" s="1"/>
  <c r="D31" i="15"/>
  <c r="D64" i="15" s="1"/>
  <c r="D30" i="15"/>
  <c r="D63" i="15" s="1"/>
  <c r="D29" i="15"/>
  <c r="D62" i="15" s="1"/>
  <c r="D28" i="15"/>
  <c r="D61" i="15" s="1"/>
  <c r="D27" i="15"/>
  <c r="D60" i="15" s="1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1" i="15"/>
  <c r="D20" i="15"/>
  <c r="D19" i="15"/>
  <c r="D18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5" i="15"/>
  <c r="D14" i="15"/>
  <c r="D13" i="15"/>
  <c r="D12" i="15"/>
  <c r="D11" i="15"/>
  <c r="D10" i="15"/>
  <c r="D9" i="15"/>
  <c r="D27" i="14"/>
  <c r="D60" i="14" s="1"/>
  <c r="F26" i="14"/>
  <c r="F39" i="14" s="1"/>
  <c r="E26" i="14"/>
  <c r="F16" i="14"/>
  <c r="E16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AH78" i="14"/>
  <c r="AD78" i="14"/>
  <c r="AC78" i="14"/>
  <c r="AB78" i="14"/>
  <c r="AA78" i="14"/>
  <c r="Z78" i="14"/>
  <c r="Y78" i="14"/>
  <c r="R78" i="14"/>
  <c r="N78" i="14"/>
  <c r="M78" i="14"/>
  <c r="L78" i="14"/>
  <c r="K78" i="14"/>
  <c r="J78" i="14"/>
  <c r="I78" i="14"/>
  <c r="X77" i="14"/>
  <c r="W77" i="14"/>
  <c r="V77" i="14"/>
  <c r="U77" i="14"/>
  <c r="T77" i="14"/>
  <c r="H77" i="14"/>
  <c r="G77" i="14"/>
  <c r="F77" i="14"/>
  <c r="E77" i="14"/>
  <c r="E72" i="14"/>
  <c r="F72" i="14" s="1"/>
  <c r="G72" i="14" s="1"/>
  <c r="H72" i="14" s="1"/>
  <c r="I72" i="14" s="1"/>
  <c r="J72" i="14" s="1"/>
  <c r="K72" i="14" s="1"/>
  <c r="L72" i="14" s="1"/>
  <c r="M72" i="14" s="1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51" i="14"/>
  <c r="D50" i="14"/>
  <c r="D72" i="14" s="1"/>
  <c r="D49" i="14"/>
  <c r="D48" i="14"/>
  <c r="D47" i="14"/>
  <c r="D46" i="14"/>
  <c r="D42" i="14"/>
  <c r="D41" i="14"/>
  <c r="D38" i="14"/>
  <c r="D71" i="14" s="1"/>
  <c r="D37" i="14"/>
  <c r="D70" i="14" s="1"/>
  <c r="D36" i="14"/>
  <c r="D69" i="14" s="1"/>
  <c r="D35" i="14"/>
  <c r="D68" i="14" s="1"/>
  <c r="D34" i="14"/>
  <c r="D67" i="14" s="1"/>
  <c r="D33" i="14"/>
  <c r="D66" i="14" s="1"/>
  <c r="D32" i="14"/>
  <c r="D65" i="14" s="1"/>
  <c r="D31" i="14"/>
  <c r="D64" i="14" s="1"/>
  <c r="D30" i="14"/>
  <c r="D63" i="14" s="1"/>
  <c r="D29" i="14"/>
  <c r="D62" i="14" s="1"/>
  <c r="D28" i="14"/>
  <c r="D61" i="14" s="1"/>
  <c r="AH26" i="14"/>
  <c r="AH39" i="14" s="1"/>
  <c r="AG26" i="14"/>
  <c r="AG44" i="14" s="1"/>
  <c r="AF26" i="14"/>
  <c r="AF44" i="14" s="1"/>
  <c r="AE26" i="14"/>
  <c r="AE39" i="14" s="1"/>
  <c r="AD26" i="14"/>
  <c r="AD39" i="14" s="1"/>
  <c r="AC26" i="14"/>
  <c r="AC39" i="14" s="1"/>
  <c r="AB26" i="14"/>
  <c r="AB39" i="14" s="1"/>
  <c r="AA26" i="14"/>
  <c r="AA44" i="14" s="1"/>
  <c r="Z26" i="14"/>
  <c r="Z44" i="14" s="1"/>
  <c r="Y26" i="14"/>
  <c r="Y44" i="14" s="1"/>
  <c r="X26" i="14"/>
  <c r="X44" i="14" s="1"/>
  <c r="W26" i="14"/>
  <c r="W44" i="14" s="1"/>
  <c r="V26" i="14"/>
  <c r="V44" i="14" s="1"/>
  <c r="U26" i="14"/>
  <c r="U39" i="14" s="1"/>
  <c r="T26" i="14"/>
  <c r="T39" i="14" s="1"/>
  <c r="S26" i="14"/>
  <c r="S39" i="14" s="1"/>
  <c r="R26" i="14"/>
  <c r="R39" i="14" s="1"/>
  <c r="Q26" i="14"/>
  <c r="Q44" i="14" s="1"/>
  <c r="P26" i="14"/>
  <c r="P44" i="14" s="1"/>
  <c r="O26" i="14"/>
  <c r="O44" i="14" s="1"/>
  <c r="N26" i="14"/>
  <c r="N39" i="14" s="1"/>
  <c r="M26" i="14"/>
  <c r="M39" i="14" s="1"/>
  <c r="L26" i="14"/>
  <c r="L39" i="14" s="1"/>
  <c r="K26" i="14"/>
  <c r="K44" i="14" s="1"/>
  <c r="J26" i="14"/>
  <c r="J44" i="14" s="1"/>
  <c r="I26" i="14"/>
  <c r="I44" i="14" s="1"/>
  <c r="H26" i="14"/>
  <c r="H44" i="14" s="1"/>
  <c r="G26" i="14"/>
  <c r="G44" i="14" s="1"/>
  <c r="D21" i="14"/>
  <c r="D20" i="14"/>
  <c r="D19" i="14"/>
  <c r="D18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D15" i="14"/>
  <c r="D14" i="14"/>
  <c r="D13" i="14"/>
  <c r="D12" i="14"/>
  <c r="D11" i="14"/>
  <c r="D10" i="14"/>
  <c r="D9" i="14"/>
  <c r="F83" i="13"/>
  <c r="E98" i="13" s="1"/>
  <c r="F98" i="13" s="1"/>
  <c r="G90" i="13"/>
  <c r="G91" i="13" s="1"/>
  <c r="G92" i="13" s="1"/>
  <c r="G93" i="13" s="1"/>
  <c r="G94" i="13" s="1"/>
  <c r="G95" i="13" s="1"/>
  <c r="G96" i="13" s="1"/>
  <c r="G97" i="13" s="1"/>
  <c r="G98" i="13" s="1"/>
  <c r="G99" i="13" s="1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51" i="13"/>
  <c r="D50" i="13"/>
  <c r="D72" i="13" s="1"/>
  <c r="D49" i="13"/>
  <c r="D48" i="13"/>
  <c r="D47" i="13"/>
  <c r="D46" i="13"/>
  <c r="D42" i="13"/>
  <c r="D41" i="13"/>
  <c r="D38" i="13"/>
  <c r="D71" i="13" s="1"/>
  <c r="D37" i="13"/>
  <c r="D36" i="13"/>
  <c r="D69" i="13" s="1"/>
  <c r="D35" i="13"/>
  <c r="D68" i="13" s="1"/>
  <c r="D34" i="13"/>
  <c r="D67" i="13" s="1"/>
  <c r="D33" i="13"/>
  <c r="D66" i="13" s="1"/>
  <c r="D32" i="13"/>
  <c r="D65" i="13" s="1"/>
  <c r="D31" i="13"/>
  <c r="D64" i="13" s="1"/>
  <c r="D30" i="13"/>
  <c r="D63" i="13" s="1"/>
  <c r="D29" i="13"/>
  <c r="D62" i="13" s="1"/>
  <c r="D28" i="13"/>
  <c r="D61" i="13" s="1"/>
  <c r="D27" i="13"/>
  <c r="D60" i="13" s="1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1" i="13"/>
  <c r="D20" i="13"/>
  <c r="D19" i="13"/>
  <c r="D18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5" i="13"/>
  <c r="D14" i="13"/>
  <c r="D13" i="13"/>
  <c r="D12" i="13"/>
  <c r="D11" i="13"/>
  <c r="D10" i="13"/>
  <c r="D9" i="13"/>
  <c r="D51" i="12"/>
  <c r="D50" i="12"/>
  <c r="D72" i="12" s="1"/>
  <c r="E60" i="12"/>
  <c r="E61" i="12"/>
  <c r="E62" i="12"/>
  <c r="E63" i="12"/>
  <c r="E64" i="12"/>
  <c r="E65" i="12"/>
  <c r="E66" i="12"/>
  <c r="E67" i="12"/>
  <c r="E68" i="12"/>
  <c r="E69" i="12"/>
  <c r="E70" i="12"/>
  <c r="E71" i="12"/>
  <c r="I40" i="12"/>
  <c r="H40" i="12"/>
  <c r="G40" i="12"/>
  <c r="F40" i="12"/>
  <c r="E40" i="12"/>
  <c r="I26" i="12"/>
  <c r="I39" i="12" s="1"/>
  <c r="H26" i="12"/>
  <c r="H39" i="12" s="1"/>
  <c r="G26" i="12"/>
  <c r="G39" i="12" s="1"/>
  <c r="F26" i="12"/>
  <c r="F39" i="12" s="1"/>
  <c r="E26" i="12"/>
  <c r="E39" i="12" s="1"/>
  <c r="I16" i="12"/>
  <c r="H16" i="12"/>
  <c r="G16" i="12"/>
  <c r="F16" i="12"/>
  <c r="E16" i="12"/>
  <c r="J93" i="12"/>
  <c r="I93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C78" i="12"/>
  <c r="AU78" i="12" s="1"/>
  <c r="C77" i="12"/>
  <c r="AT77" i="12" s="1"/>
  <c r="AG72" i="12"/>
  <c r="AH72" i="12" s="1"/>
  <c r="AI72" i="12" s="1"/>
  <c r="AJ72" i="12" s="1"/>
  <c r="AK72" i="12" s="1"/>
  <c r="AL72" i="12" s="1"/>
  <c r="AM72" i="12" s="1"/>
  <c r="AN72" i="12" s="1"/>
  <c r="AO72" i="12" s="1"/>
  <c r="AP72" i="12" s="1"/>
  <c r="AQ72" i="12" s="1"/>
  <c r="AR72" i="12" s="1"/>
  <c r="AS72" i="12" s="1"/>
  <c r="AT72" i="12" s="1"/>
  <c r="AU72" i="12" s="1"/>
  <c r="AV72" i="12" s="1"/>
  <c r="AW72" i="12" s="1"/>
  <c r="E72" i="12"/>
  <c r="F72" i="12" s="1"/>
  <c r="G72" i="12" s="1"/>
  <c r="H72" i="12" s="1"/>
  <c r="I72" i="12" s="1"/>
  <c r="J72" i="12" s="1"/>
  <c r="K72" i="12" s="1"/>
  <c r="L72" i="12" s="1"/>
  <c r="M72" i="12" s="1"/>
  <c r="N72" i="12" s="1"/>
  <c r="O72" i="12" s="1"/>
  <c r="P72" i="12" s="1"/>
  <c r="Q72" i="12" s="1"/>
  <c r="R72" i="12" s="1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AW63" i="12"/>
  <c r="AV63" i="12"/>
  <c r="AU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D49" i="12"/>
  <c r="D48" i="12"/>
  <c r="D47" i="12"/>
  <c r="D46" i="12"/>
  <c r="H44" i="12"/>
  <c r="D43" i="12"/>
  <c r="D42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D38" i="12"/>
  <c r="D71" i="12" s="1"/>
  <c r="D37" i="12"/>
  <c r="D70" i="12" s="1"/>
  <c r="D36" i="12"/>
  <c r="D69" i="12" s="1"/>
  <c r="D35" i="12"/>
  <c r="D68" i="12" s="1"/>
  <c r="D34" i="12"/>
  <c r="D67" i="12" s="1"/>
  <c r="D33" i="12"/>
  <c r="D66" i="12" s="1"/>
  <c r="D32" i="12"/>
  <c r="D65" i="12" s="1"/>
  <c r="D31" i="12"/>
  <c r="D64" i="12" s="1"/>
  <c r="D30" i="12"/>
  <c r="D63" i="12" s="1"/>
  <c r="D29" i="12"/>
  <c r="D62" i="12" s="1"/>
  <c r="D28" i="12"/>
  <c r="D61" i="12" s="1"/>
  <c r="D27" i="12"/>
  <c r="AW26" i="12"/>
  <c r="AW39" i="12" s="1"/>
  <c r="AV26" i="12"/>
  <c r="AV39" i="12" s="1"/>
  <c r="AU26" i="12"/>
  <c r="AU39" i="12" s="1"/>
  <c r="AT26" i="12"/>
  <c r="AS26" i="12"/>
  <c r="AR26" i="12"/>
  <c r="AR39" i="12" s="1"/>
  <c r="AQ26" i="12"/>
  <c r="AQ44" i="12" s="1"/>
  <c r="AP26" i="12"/>
  <c r="AP39" i="12" s="1"/>
  <c r="AO26" i="12"/>
  <c r="AO44" i="12" s="1"/>
  <c r="AN26" i="12"/>
  <c r="AN44" i="12" s="1"/>
  <c r="AM26" i="12"/>
  <c r="AM44" i="12" s="1"/>
  <c r="AL26" i="12"/>
  <c r="AL44" i="12" s="1"/>
  <c r="AK26" i="12"/>
  <c r="AK39" i="12" s="1"/>
  <c r="AJ26" i="12"/>
  <c r="AJ39" i="12" s="1"/>
  <c r="AI26" i="12"/>
  <c r="AI44" i="12" s="1"/>
  <c r="AH26" i="12"/>
  <c r="AH39" i="12" s="1"/>
  <c r="AG26" i="12"/>
  <c r="AG39" i="12" s="1"/>
  <c r="AF26" i="12"/>
  <c r="AF39" i="12" s="1"/>
  <c r="AE26" i="12"/>
  <c r="AE39" i="12" s="1"/>
  <c r="AD26" i="12"/>
  <c r="AC26" i="12"/>
  <c r="AB26" i="12"/>
  <c r="AB39" i="12" s="1"/>
  <c r="AA26" i="12"/>
  <c r="AA44" i="12" s="1"/>
  <c r="Z26" i="12"/>
  <c r="Z44" i="12" s="1"/>
  <c r="Y26" i="12"/>
  <c r="Y44" i="12" s="1"/>
  <c r="X26" i="12"/>
  <c r="X39" i="12" s="1"/>
  <c r="W26" i="12"/>
  <c r="W44" i="12" s="1"/>
  <c r="V26" i="12"/>
  <c r="V44" i="12" s="1"/>
  <c r="U26" i="12"/>
  <c r="U44" i="12" s="1"/>
  <c r="T26" i="12"/>
  <c r="S26" i="12"/>
  <c r="S44" i="12" s="1"/>
  <c r="R26" i="12"/>
  <c r="R39" i="12" s="1"/>
  <c r="Q26" i="12"/>
  <c r="Q39" i="12" s="1"/>
  <c r="P26" i="12"/>
  <c r="P39" i="12" s="1"/>
  <c r="O26" i="12"/>
  <c r="O39" i="12" s="1"/>
  <c r="N26" i="12"/>
  <c r="M26" i="12"/>
  <c r="L26" i="12"/>
  <c r="L39" i="12" s="1"/>
  <c r="K26" i="12"/>
  <c r="K39" i="12" s="1"/>
  <c r="J26" i="12"/>
  <c r="J39" i="12" s="1"/>
  <c r="D21" i="12"/>
  <c r="D20" i="12"/>
  <c r="D19" i="12"/>
  <c r="D18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D15" i="12"/>
  <c r="D14" i="12"/>
  <c r="D13" i="12"/>
  <c r="D12" i="12"/>
  <c r="D11" i="12"/>
  <c r="D10" i="12"/>
  <c r="D9" i="12"/>
  <c r="AT16" i="10"/>
  <c r="AU16" i="10"/>
  <c r="AV16" i="10"/>
  <c r="AW16" i="10"/>
  <c r="AT26" i="10"/>
  <c r="AT39" i="10" s="1"/>
  <c r="AU26" i="10"/>
  <c r="AU39" i="10" s="1"/>
  <c r="AV26" i="10"/>
  <c r="AV44" i="10" s="1"/>
  <c r="AW26" i="10"/>
  <c r="AW44" i="10" s="1"/>
  <c r="AT40" i="10"/>
  <c r="AU40" i="10"/>
  <c r="AV40" i="10"/>
  <c r="AW40" i="10"/>
  <c r="AT60" i="10"/>
  <c r="AU60" i="10"/>
  <c r="AV60" i="10"/>
  <c r="AW60" i="10"/>
  <c r="AT61" i="10"/>
  <c r="AU61" i="10"/>
  <c r="AV61" i="10"/>
  <c r="AW61" i="10"/>
  <c r="AT62" i="10"/>
  <c r="AU62" i="10"/>
  <c r="AV62" i="10"/>
  <c r="AW62" i="10"/>
  <c r="AT63" i="10"/>
  <c r="AU63" i="10"/>
  <c r="AV63" i="10"/>
  <c r="AW63" i="10"/>
  <c r="AT64" i="10"/>
  <c r="AU64" i="10"/>
  <c r="AV64" i="10"/>
  <c r="AW64" i="10"/>
  <c r="AT65" i="10"/>
  <c r="AU65" i="10"/>
  <c r="AV65" i="10"/>
  <c r="AW65" i="10"/>
  <c r="AT66" i="10"/>
  <c r="AU66" i="10"/>
  <c r="AV66" i="10"/>
  <c r="AW66" i="10"/>
  <c r="AT67" i="10"/>
  <c r="AU67" i="10"/>
  <c r="AV67" i="10"/>
  <c r="AW67" i="10"/>
  <c r="AT68" i="10"/>
  <c r="AU68" i="10"/>
  <c r="AV68" i="10"/>
  <c r="AW68" i="10"/>
  <c r="AT69" i="10"/>
  <c r="AU69" i="10"/>
  <c r="AV69" i="10"/>
  <c r="AW69" i="10"/>
  <c r="AT70" i="10"/>
  <c r="AU70" i="10"/>
  <c r="AV70" i="10"/>
  <c r="AW70" i="10"/>
  <c r="AT71" i="10"/>
  <c r="AU71" i="10"/>
  <c r="AV71" i="10"/>
  <c r="AW71" i="10"/>
  <c r="AT79" i="10"/>
  <c r="AU79" i="10"/>
  <c r="AV79" i="10"/>
  <c r="AW79" i="10"/>
  <c r="D50" i="10"/>
  <c r="D72" i="10" s="1"/>
  <c r="AS16" i="10"/>
  <c r="AS26" i="10"/>
  <c r="AS39" i="10" s="1"/>
  <c r="AS40" i="10"/>
  <c r="AS60" i="10"/>
  <c r="AS61" i="10"/>
  <c r="AS62" i="10"/>
  <c r="AS63" i="10"/>
  <c r="AS64" i="10"/>
  <c r="AS65" i="10"/>
  <c r="AS66" i="10"/>
  <c r="AS67" i="10"/>
  <c r="AS68" i="10"/>
  <c r="AS69" i="10"/>
  <c r="AS70" i="10"/>
  <c r="AS71" i="10"/>
  <c r="AS79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E40" i="10"/>
  <c r="C78" i="10"/>
  <c r="AS78" i="10" s="1"/>
  <c r="C77" i="10"/>
  <c r="AS77" i="10" s="1"/>
  <c r="J93" i="10"/>
  <c r="I93" i="10"/>
  <c r="D20" i="10"/>
  <c r="D19" i="10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C78" i="11"/>
  <c r="C77" i="11"/>
  <c r="E72" i="11"/>
  <c r="F72" i="11" s="1"/>
  <c r="G72" i="11" s="1"/>
  <c r="H72" i="11" s="1"/>
  <c r="I72" i="11" s="1"/>
  <c r="J72" i="11" s="1"/>
  <c r="K72" i="11" s="1"/>
  <c r="L72" i="11" s="1"/>
  <c r="M72" i="11" s="1"/>
  <c r="N72" i="11" s="1"/>
  <c r="O72" i="11" s="1"/>
  <c r="P72" i="11" s="1"/>
  <c r="Q72" i="11" s="1"/>
  <c r="R72" i="11" s="1"/>
  <c r="S72" i="11" s="1"/>
  <c r="T72" i="11" s="1"/>
  <c r="U72" i="11" s="1"/>
  <c r="V72" i="11" s="1"/>
  <c r="W72" i="11" s="1"/>
  <c r="X72" i="11" s="1"/>
  <c r="Y72" i="11" s="1"/>
  <c r="Z72" i="11" s="1"/>
  <c r="AA72" i="11" s="1"/>
  <c r="AB72" i="11" s="1"/>
  <c r="AC72" i="11" s="1"/>
  <c r="AD72" i="11" s="1"/>
  <c r="AE72" i="11" s="1"/>
  <c r="AF72" i="11" s="1"/>
  <c r="AG72" i="11" s="1"/>
  <c r="AH72" i="11" s="1"/>
  <c r="AI72" i="11" s="1"/>
  <c r="AJ72" i="11" s="1"/>
  <c r="AK72" i="11" s="1"/>
  <c r="AL72" i="11" s="1"/>
  <c r="AM72" i="11" s="1"/>
  <c r="AN72" i="11" s="1"/>
  <c r="AO72" i="11" s="1"/>
  <c r="AP72" i="11" s="1"/>
  <c r="AQ72" i="11" s="1"/>
  <c r="AR72" i="11" s="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AR67" i="11"/>
  <c r="AQ67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51" i="11"/>
  <c r="D50" i="11"/>
  <c r="D72" i="11" s="1"/>
  <c r="D49" i="11"/>
  <c r="D48" i="11"/>
  <c r="D47" i="11"/>
  <c r="D46" i="11"/>
  <c r="D42" i="11"/>
  <c r="D41" i="11"/>
  <c r="D38" i="11"/>
  <c r="D71" i="11" s="1"/>
  <c r="D37" i="11"/>
  <c r="D36" i="11"/>
  <c r="D69" i="11" s="1"/>
  <c r="D35" i="11"/>
  <c r="D68" i="11" s="1"/>
  <c r="D34" i="11"/>
  <c r="D67" i="11" s="1"/>
  <c r="D33" i="11"/>
  <c r="D66" i="11" s="1"/>
  <c r="D32" i="11"/>
  <c r="D65" i="11" s="1"/>
  <c r="D31" i="11"/>
  <c r="D64" i="11" s="1"/>
  <c r="D30" i="11"/>
  <c r="D63" i="11" s="1"/>
  <c r="D29" i="11"/>
  <c r="D62" i="11" s="1"/>
  <c r="D28" i="11"/>
  <c r="D61" i="11" s="1"/>
  <c r="D27" i="11"/>
  <c r="D60" i="11" s="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1" i="11"/>
  <c r="D20" i="11"/>
  <c r="D19" i="11"/>
  <c r="D18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5" i="11"/>
  <c r="D14" i="11"/>
  <c r="D13" i="11"/>
  <c r="D12" i="11"/>
  <c r="D11" i="11"/>
  <c r="D10" i="11"/>
  <c r="D9" i="11"/>
  <c r="D27" i="10"/>
  <c r="D60" i="10" s="1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E72" i="10"/>
  <c r="F72" i="10" s="1"/>
  <c r="G72" i="10" s="1"/>
  <c r="H72" i="10" s="1"/>
  <c r="I72" i="10" s="1"/>
  <c r="J72" i="10" s="1"/>
  <c r="K72" i="10" s="1"/>
  <c r="L72" i="10" s="1"/>
  <c r="M72" i="10" s="1"/>
  <c r="N72" i="10" s="1"/>
  <c r="O72" i="10" s="1"/>
  <c r="P72" i="10" s="1"/>
  <c r="Q72" i="10" s="1"/>
  <c r="R72" i="10" s="1"/>
  <c r="S72" i="10" s="1"/>
  <c r="T72" i="10" s="1"/>
  <c r="U72" i="10" s="1"/>
  <c r="V72" i="10" s="1"/>
  <c r="W72" i="10" s="1"/>
  <c r="X72" i="10" s="1"/>
  <c r="Y72" i="10" s="1"/>
  <c r="Z72" i="10" s="1"/>
  <c r="AA72" i="10" s="1"/>
  <c r="AB72" i="10" s="1"/>
  <c r="AC72" i="10" s="1"/>
  <c r="AD72" i="10" s="1"/>
  <c r="AG72" i="10" s="1"/>
  <c r="AH72" i="10" s="1"/>
  <c r="AI72" i="10" s="1"/>
  <c r="AJ72" i="10" s="1"/>
  <c r="AK72" i="10" s="1"/>
  <c r="AL72" i="10" s="1"/>
  <c r="AM72" i="10" s="1"/>
  <c r="AN72" i="10" s="1"/>
  <c r="AO72" i="10" s="1"/>
  <c r="AP72" i="10" s="1"/>
  <c r="AQ72" i="10" s="1"/>
  <c r="AR72" i="10" s="1"/>
  <c r="AS72" i="10" s="1"/>
  <c r="AT72" i="10" s="1"/>
  <c r="AU72" i="10" s="1"/>
  <c r="AV72" i="10" s="1"/>
  <c r="AW72" i="10" s="1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51" i="10"/>
  <c r="D49" i="10"/>
  <c r="D48" i="10"/>
  <c r="D47" i="10"/>
  <c r="D46" i="10"/>
  <c r="D43" i="10"/>
  <c r="D42" i="10"/>
  <c r="D38" i="10"/>
  <c r="D71" i="10" s="1"/>
  <c r="D37" i="10"/>
  <c r="D36" i="10"/>
  <c r="D69" i="10" s="1"/>
  <c r="D35" i="10"/>
  <c r="D68" i="10" s="1"/>
  <c r="D34" i="10"/>
  <c r="D67" i="10" s="1"/>
  <c r="D33" i="10"/>
  <c r="D66" i="10" s="1"/>
  <c r="D32" i="10"/>
  <c r="D65" i="10" s="1"/>
  <c r="D31" i="10"/>
  <c r="D64" i="10" s="1"/>
  <c r="D30" i="10"/>
  <c r="D63" i="10" s="1"/>
  <c r="D29" i="10"/>
  <c r="D62" i="10" s="1"/>
  <c r="D28" i="10"/>
  <c r="D61" i="10" s="1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1" i="10"/>
  <c r="D18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5" i="10"/>
  <c r="D14" i="10"/>
  <c r="D13" i="10"/>
  <c r="D12" i="10"/>
  <c r="D11" i="10"/>
  <c r="D10" i="10"/>
  <c r="D9" i="10"/>
  <c r="D27" i="9"/>
  <c r="D60" i="9" s="1"/>
  <c r="D28" i="9"/>
  <c r="D61" i="9" s="1"/>
  <c r="D29" i="9"/>
  <c r="D62" i="9" s="1"/>
  <c r="D30" i="9"/>
  <c r="D63" i="9" s="1"/>
  <c r="D31" i="9"/>
  <c r="D64" i="9" s="1"/>
  <c r="D32" i="9"/>
  <c r="D65" i="9" s="1"/>
  <c r="D33" i="9"/>
  <c r="D66" i="9" s="1"/>
  <c r="D34" i="9"/>
  <c r="D67" i="9" s="1"/>
  <c r="D35" i="9"/>
  <c r="D68" i="9" s="1"/>
  <c r="D36" i="9"/>
  <c r="D69" i="9" s="1"/>
  <c r="D37" i="9"/>
  <c r="D38" i="9"/>
  <c r="D71" i="9" s="1"/>
  <c r="E72" i="9"/>
  <c r="D51" i="9"/>
  <c r="D46" i="9"/>
  <c r="D48" i="9"/>
  <c r="D49" i="9"/>
  <c r="D47" i="9"/>
  <c r="D42" i="9"/>
  <c r="D41" i="9"/>
  <c r="AK16" i="9"/>
  <c r="AL16" i="9"/>
  <c r="AM16" i="9"/>
  <c r="AN16" i="9"/>
  <c r="AO16" i="9"/>
  <c r="AP16" i="9"/>
  <c r="AQ16" i="9"/>
  <c r="AR16" i="9"/>
  <c r="AK26" i="9"/>
  <c r="AK39" i="9" s="1"/>
  <c r="AL26" i="9"/>
  <c r="AL44" i="9" s="1"/>
  <c r="AM26" i="9"/>
  <c r="AM39" i="9" s="1"/>
  <c r="AN26" i="9"/>
  <c r="AN39" i="9" s="1"/>
  <c r="AO26" i="9"/>
  <c r="AO39" i="9" s="1"/>
  <c r="AP26" i="9"/>
  <c r="AP44" i="9" s="1"/>
  <c r="AQ26" i="9"/>
  <c r="AQ44" i="9" s="1"/>
  <c r="AR26" i="9"/>
  <c r="AR39" i="9" s="1"/>
  <c r="AK60" i="9"/>
  <c r="AL60" i="9"/>
  <c r="AM60" i="9"/>
  <c r="AN60" i="9"/>
  <c r="AO60" i="9"/>
  <c r="AP60" i="9"/>
  <c r="AQ60" i="9"/>
  <c r="AR60" i="9"/>
  <c r="AK61" i="9"/>
  <c r="AL61" i="9"/>
  <c r="AM61" i="9"/>
  <c r="AN61" i="9"/>
  <c r="AO61" i="9"/>
  <c r="AP61" i="9"/>
  <c r="AQ61" i="9"/>
  <c r="AR61" i="9"/>
  <c r="AK62" i="9"/>
  <c r="AL62" i="9"/>
  <c r="AM62" i="9"/>
  <c r="AN62" i="9"/>
  <c r="AO62" i="9"/>
  <c r="AP62" i="9"/>
  <c r="AQ62" i="9"/>
  <c r="AR62" i="9"/>
  <c r="AK63" i="9"/>
  <c r="AL63" i="9"/>
  <c r="AM63" i="9"/>
  <c r="AN63" i="9"/>
  <c r="AO63" i="9"/>
  <c r="AP63" i="9"/>
  <c r="AQ63" i="9"/>
  <c r="AR63" i="9"/>
  <c r="AK64" i="9"/>
  <c r="AL64" i="9"/>
  <c r="AM64" i="9"/>
  <c r="AN64" i="9"/>
  <c r="AO64" i="9"/>
  <c r="AP64" i="9"/>
  <c r="AQ64" i="9"/>
  <c r="AR64" i="9"/>
  <c r="AK65" i="9"/>
  <c r="AL65" i="9"/>
  <c r="AM65" i="9"/>
  <c r="AN65" i="9"/>
  <c r="AO65" i="9"/>
  <c r="AP65" i="9"/>
  <c r="AQ65" i="9"/>
  <c r="AR65" i="9"/>
  <c r="AK66" i="9"/>
  <c r="AL66" i="9"/>
  <c r="AM66" i="9"/>
  <c r="AN66" i="9"/>
  <c r="AO66" i="9"/>
  <c r="AP66" i="9"/>
  <c r="AQ66" i="9"/>
  <c r="AR66" i="9"/>
  <c r="AK67" i="9"/>
  <c r="AL67" i="9"/>
  <c r="AM67" i="9"/>
  <c r="AN67" i="9"/>
  <c r="AO67" i="9"/>
  <c r="AP67" i="9"/>
  <c r="AQ67" i="9"/>
  <c r="AR67" i="9"/>
  <c r="AK68" i="9"/>
  <c r="AL68" i="9"/>
  <c r="AM68" i="9"/>
  <c r="AN68" i="9"/>
  <c r="AO68" i="9"/>
  <c r="AP68" i="9"/>
  <c r="AQ68" i="9"/>
  <c r="AR68" i="9"/>
  <c r="AK69" i="9"/>
  <c r="AL69" i="9"/>
  <c r="AM69" i="9"/>
  <c r="AN69" i="9"/>
  <c r="AO69" i="9"/>
  <c r="AP69" i="9"/>
  <c r="AQ69" i="9"/>
  <c r="AR69" i="9"/>
  <c r="AK70" i="9"/>
  <c r="AL70" i="9"/>
  <c r="AM70" i="9"/>
  <c r="AN70" i="9"/>
  <c r="AO70" i="9"/>
  <c r="AP70" i="9"/>
  <c r="AQ70" i="9"/>
  <c r="AR70" i="9"/>
  <c r="AK71" i="9"/>
  <c r="AL71" i="9"/>
  <c r="AM71" i="9"/>
  <c r="AN71" i="9"/>
  <c r="AO71" i="9"/>
  <c r="AP71" i="9"/>
  <c r="AQ71" i="9"/>
  <c r="AR71" i="9"/>
  <c r="AK79" i="9"/>
  <c r="AL79" i="9"/>
  <c r="AM79" i="9"/>
  <c r="AN79" i="9"/>
  <c r="AO79" i="9"/>
  <c r="AP79" i="9"/>
  <c r="AQ79" i="9"/>
  <c r="AR79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V26" i="9"/>
  <c r="V39" i="9" s="1"/>
  <c r="W26" i="9"/>
  <c r="W39" i="9" s="1"/>
  <c r="X26" i="9"/>
  <c r="X39" i="9" s="1"/>
  <c r="Y26" i="9"/>
  <c r="Y44" i="9" s="1"/>
  <c r="Z26" i="9"/>
  <c r="Z44" i="9" s="1"/>
  <c r="AA26" i="9"/>
  <c r="AA44" i="9" s="1"/>
  <c r="AB26" i="9"/>
  <c r="AB39" i="9" s="1"/>
  <c r="AC26" i="9"/>
  <c r="AC39" i="9" s="1"/>
  <c r="AD26" i="9"/>
  <c r="AD39" i="9" s="1"/>
  <c r="AE26" i="9"/>
  <c r="AE39" i="9" s="1"/>
  <c r="AF26" i="9"/>
  <c r="AF39" i="9" s="1"/>
  <c r="AG26" i="9"/>
  <c r="AG39" i="9" s="1"/>
  <c r="AH26" i="9"/>
  <c r="AH44" i="9" s="1"/>
  <c r="AI26" i="9"/>
  <c r="AI44" i="9" s="1"/>
  <c r="AJ26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U16" i="9"/>
  <c r="U26" i="9"/>
  <c r="U39" i="9" s="1"/>
  <c r="U60" i="9"/>
  <c r="U61" i="9"/>
  <c r="U62" i="9"/>
  <c r="U63" i="9"/>
  <c r="U64" i="9"/>
  <c r="U65" i="9"/>
  <c r="U66" i="9"/>
  <c r="U67" i="9"/>
  <c r="U68" i="9"/>
  <c r="U69" i="9"/>
  <c r="U70" i="9"/>
  <c r="U71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C78" i="9"/>
  <c r="Q78" i="9" s="1"/>
  <c r="C77" i="9"/>
  <c r="S77" i="9" s="1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72" i="9"/>
  <c r="T26" i="9"/>
  <c r="T39" i="9" s="1"/>
  <c r="S26" i="9"/>
  <c r="S39" i="9" s="1"/>
  <c r="R26" i="9"/>
  <c r="R39" i="9" s="1"/>
  <c r="Q26" i="9"/>
  <c r="Q39" i="9" s="1"/>
  <c r="P26" i="9"/>
  <c r="P39" i="9" s="1"/>
  <c r="O26" i="9"/>
  <c r="O39" i="9" s="1"/>
  <c r="N26" i="9"/>
  <c r="N39" i="9" s="1"/>
  <c r="M26" i="9"/>
  <c r="M39" i="9" s="1"/>
  <c r="L26" i="9"/>
  <c r="L39" i="9" s="1"/>
  <c r="K26" i="9"/>
  <c r="K39" i="9" s="1"/>
  <c r="J26" i="9"/>
  <c r="J39" i="9" s="1"/>
  <c r="I26" i="9"/>
  <c r="I39" i="9" s="1"/>
  <c r="H26" i="9"/>
  <c r="H39" i="9" s="1"/>
  <c r="G26" i="9"/>
  <c r="G39" i="9" s="1"/>
  <c r="F26" i="9"/>
  <c r="F39" i="9" s="1"/>
  <c r="E26" i="9"/>
  <c r="E39" i="9" s="1"/>
  <c r="D21" i="9"/>
  <c r="D20" i="9"/>
  <c r="D19" i="9"/>
  <c r="D18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5" i="9"/>
  <c r="D14" i="9"/>
  <c r="D13" i="9"/>
  <c r="D12" i="9"/>
  <c r="D11" i="9"/>
  <c r="D10" i="9"/>
  <c r="D9" i="9"/>
  <c r="AR15" i="7"/>
  <c r="AR25" i="7"/>
  <c r="AR38" i="7" s="1"/>
  <c r="AR57" i="7"/>
  <c r="AR58" i="7"/>
  <c r="AR59" i="7"/>
  <c r="AR60" i="7"/>
  <c r="AR61" i="7"/>
  <c r="AR62" i="7"/>
  <c r="AR63" i="7"/>
  <c r="AR64" i="7"/>
  <c r="AR65" i="7"/>
  <c r="AR66" i="7"/>
  <c r="AR67" i="7"/>
  <c r="AR68" i="7"/>
  <c r="AR76" i="7"/>
  <c r="AQ15" i="7"/>
  <c r="AQ25" i="7"/>
  <c r="AQ38" i="7" s="1"/>
  <c r="AQ57" i="7"/>
  <c r="AQ58" i="7"/>
  <c r="AQ59" i="7"/>
  <c r="AQ60" i="7"/>
  <c r="AQ61" i="7"/>
  <c r="AQ62" i="7"/>
  <c r="AQ63" i="7"/>
  <c r="AQ64" i="7"/>
  <c r="AQ65" i="7"/>
  <c r="AQ66" i="7"/>
  <c r="AQ67" i="7"/>
  <c r="AQ68" i="7"/>
  <c r="AQ76" i="7"/>
  <c r="AP15" i="7"/>
  <c r="AP25" i="7"/>
  <c r="AP38" i="7" s="1"/>
  <c r="AP57" i="7"/>
  <c r="AP58" i="7"/>
  <c r="AP59" i="7"/>
  <c r="AP60" i="7"/>
  <c r="AP61" i="7"/>
  <c r="AP62" i="7"/>
  <c r="AP63" i="7"/>
  <c r="AP64" i="7"/>
  <c r="AP65" i="7"/>
  <c r="AP66" i="7"/>
  <c r="AP67" i="7"/>
  <c r="AP68" i="7"/>
  <c r="AP76" i="7"/>
  <c r="AO15" i="7"/>
  <c r="AO25" i="7"/>
  <c r="AO38" i="7" s="1"/>
  <c r="AO57" i="7"/>
  <c r="AO58" i="7"/>
  <c r="AO59" i="7"/>
  <c r="AO60" i="7"/>
  <c r="AO61" i="7"/>
  <c r="AO62" i="7"/>
  <c r="AO63" i="7"/>
  <c r="AO64" i="7"/>
  <c r="AO65" i="7"/>
  <c r="AO66" i="7"/>
  <c r="AO67" i="7"/>
  <c r="AO68" i="7"/>
  <c r="AO76" i="7"/>
  <c r="AN15" i="7"/>
  <c r="AN25" i="7"/>
  <c r="AN38" i="7" s="1"/>
  <c r="AN57" i="7"/>
  <c r="AN58" i="7"/>
  <c r="AN59" i="7"/>
  <c r="AN60" i="7"/>
  <c r="AN61" i="7"/>
  <c r="AN62" i="7"/>
  <c r="AN63" i="7"/>
  <c r="AN64" i="7"/>
  <c r="AN65" i="7"/>
  <c r="AN66" i="7"/>
  <c r="AN67" i="7"/>
  <c r="AN68" i="7"/>
  <c r="AN76" i="7"/>
  <c r="AM15" i="7"/>
  <c r="AM25" i="7"/>
  <c r="AM38" i="7" s="1"/>
  <c r="AM57" i="7"/>
  <c r="AM58" i="7"/>
  <c r="AM59" i="7"/>
  <c r="AM60" i="7"/>
  <c r="AM61" i="7"/>
  <c r="AM62" i="7"/>
  <c r="AM63" i="7"/>
  <c r="AM64" i="7"/>
  <c r="AM65" i="7"/>
  <c r="AM66" i="7"/>
  <c r="AM67" i="7"/>
  <c r="AM68" i="7"/>
  <c r="AM76" i="7"/>
  <c r="H78" i="3"/>
  <c r="AL78" i="3"/>
  <c r="AM78" i="3"/>
  <c r="AK77" i="4"/>
  <c r="C76" i="4"/>
  <c r="AK76" i="4" s="1"/>
  <c r="C76" i="3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C75" i="7"/>
  <c r="AM75" i="7" s="1"/>
  <c r="C74" i="7"/>
  <c r="AM74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48" i="7"/>
  <c r="D47" i="7"/>
  <c r="D69" i="7" s="1"/>
  <c r="E69" i="7" s="1"/>
  <c r="D46" i="7"/>
  <c r="D45" i="7"/>
  <c r="D44" i="7"/>
  <c r="D43" i="7"/>
  <c r="D41" i="7"/>
  <c r="D40" i="7"/>
  <c r="D37" i="7"/>
  <c r="D68" i="7" s="1"/>
  <c r="D36" i="7"/>
  <c r="D35" i="7"/>
  <c r="D66" i="7" s="1"/>
  <c r="D34" i="7"/>
  <c r="D65" i="7" s="1"/>
  <c r="D33" i="7"/>
  <c r="D64" i="7" s="1"/>
  <c r="D32" i="7"/>
  <c r="D63" i="7" s="1"/>
  <c r="D31" i="7"/>
  <c r="D62" i="7" s="1"/>
  <c r="D30" i="7"/>
  <c r="D61" i="7" s="1"/>
  <c r="D29" i="7"/>
  <c r="D60" i="7" s="1"/>
  <c r="D28" i="7"/>
  <c r="D59" i="7" s="1"/>
  <c r="D27" i="7"/>
  <c r="D58" i="7" s="1"/>
  <c r="D26" i="7"/>
  <c r="D57" i="7" s="1"/>
  <c r="AL25" i="7"/>
  <c r="AL38" i="7" s="1"/>
  <c r="AK25" i="7"/>
  <c r="AK38" i="7" s="1"/>
  <c r="AJ25" i="7"/>
  <c r="AJ38" i="7" s="1"/>
  <c r="AI25" i="7"/>
  <c r="AI38" i="7" s="1"/>
  <c r="AH25" i="7"/>
  <c r="AH38" i="7" s="1"/>
  <c r="AG25" i="7"/>
  <c r="AG38" i="7" s="1"/>
  <c r="AF25" i="7"/>
  <c r="AF38" i="7" s="1"/>
  <c r="AE25" i="7"/>
  <c r="AE38" i="7" s="1"/>
  <c r="AD25" i="7"/>
  <c r="AD38" i="7" s="1"/>
  <c r="AC25" i="7"/>
  <c r="AC38" i="7" s="1"/>
  <c r="AB25" i="7"/>
  <c r="AB38" i="7" s="1"/>
  <c r="AA25" i="7"/>
  <c r="AA38" i="7" s="1"/>
  <c r="Z25" i="7"/>
  <c r="Z38" i="7" s="1"/>
  <c r="Y25" i="7"/>
  <c r="Y38" i="7" s="1"/>
  <c r="X25" i="7"/>
  <c r="X38" i="7" s="1"/>
  <c r="W25" i="7"/>
  <c r="W38" i="7" s="1"/>
  <c r="V25" i="7"/>
  <c r="V38" i="7" s="1"/>
  <c r="U25" i="7"/>
  <c r="U38" i="7" s="1"/>
  <c r="T25" i="7"/>
  <c r="T38" i="7" s="1"/>
  <c r="S25" i="7"/>
  <c r="S38" i="7" s="1"/>
  <c r="R25" i="7"/>
  <c r="R38" i="7" s="1"/>
  <c r="Q25" i="7"/>
  <c r="Q38" i="7" s="1"/>
  <c r="P25" i="7"/>
  <c r="P38" i="7" s="1"/>
  <c r="O25" i="7"/>
  <c r="O38" i="7" s="1"/>
  <c r="N25" i="7"/>
  <c r="N38" i="7" s="1"/>
  <c r="M25" i="7"/>
  <c r="M38" i="7" s="1"/>
  <c r="L25" i="7"/>
  <c r="L38" i="7" s="1"/>
  <c r="K25" i="7"/>
  <c r="J25" i="7"/>
  <c r="J38" i="7" s="1"/>
  <c r="I25" i="7"/>
  <c r="I38" i="7" s="1"/>
  <c r="H25" i="7"/>
  <c r="H38" i="7" s="1"/>
  <c r="G25" i="7"/>
  <c r="G38" i="7" s="1"/>
  <c r="F25" i="7"/>
  <c r="F38" i="7" s="1"/>
  <c r="E25" i="7"/>
  <c r="E38" i="7" s="1"/>
  <c r="D20" i="7"/>
  <c r="D19" i="7"/>
  <c r="D18" i="7"/>
  <c r="D17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4" i="7"/>
  <c r="D13" i="7"/>
  <c r="D12" i="7"/>
  <c r="D11" i="7"/>
  <c r="D10" i="7"/>
  <c r="D9" i="7"/>
  <c r="D8" i="7"/>
  <c r="D8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I15" i="6"/>
  <c r="AJ15" i="6"/>
  <c r="AK15" i="6"/>
  <c r="AL15" i="6"/>
  <c r="AI25" i="6"/>
  <c r="AI38" i="6" s="1"/>
  <c r="AJ25" i="6"/>
  <c r="AJ38" i="6" s="1"/>
  <c r="AK25" i="6"/>
  <c r="AK38" i="6" s="1"/>
  <c r="AL25" i="6"/>
  <c r="AL38" i="6" s="1"/>
  <c r="AI58" i="6"/>
  <c r="AJ58" i="6"/>
  <c r="AK58" i="6"/>
  <c r="AL58" i="6"/>
  <c r="AI59" i="6"/>
  <c r="AJ59" i="6"/>
  <c r="AK59" i="6"/>
  <c r="AL59" i="6"/>
  <c r="AI60" i="6"/>
  <c r="AJ60" i="6"/>
  <c r="AK60" i="6"/>
  <c r="AL60" i="6"/>
  <c r="AI61" i="6"/>
  <c r="AJ61" i="6"/>
  <c r="AK61" i="6"/>
  <c r="AL61" i="6"/>
  <c r="AI62" i="6"/>
  <c r="AJ62" i="6"/>
  <c r="AK62" i="6"/>
  <c r="AL62" i="6"/>
  <c r="AI63" i="6"/>
  <c r="AJ63" i="6"/>
  <c r="AK63" i="6"/>
  <c r="AL63" i="6"/>
  <c r="AI64" i="6"/>
  <c r="AJ64" i="6"/>
  <c r="AK64" i="6"/>
  <c r="AL64" i="6"/>
  <c r="AI65" i="6"/>
  <c r="AJ65" i="6"/>
  <c r="AK65" i="6"/>
  <c r="AL65" i="6"/>
  <c r="AI66" i="6"/>
  <c r="AJ66" i="6"/>
  <c r="AK66" i="6"/>
  <c r="AL66" i="6"/>
  <c r="AI67" i="6"/>
  <c r="AJ67" i="6"/>
  <c r="AK67" i="6"/>
  <c r="AL67" i="6"/>
  <c r="AI68" i="6"/>
  <c r="AJ68" i="6"/>
  <c r="AK68" i="6"/>
  <c r="AL68" i="6"/>
  <c r="AI69" i="6"/>
  <c r="AJ69" i="6"/>
  <c r="AK69" i="6"/>
  <c r="AL69" i="6"/>
  <c r="AI77" i="6"/>
  <c r="AJ77" i="6"/>
  <c r="AK77" i="6"/>
  <c r="AL77" i="6"/>
  <c r="Y15" i="6"/>
  <c r="Z15" i="6"/>
  <c r="AA15" i="6"/>
  <c r="AB15" i="6"/>
  <c r="AC15" i="6"/>
  <c r="AD15" i="6"/>
  <c r="AE15" i="6"/>
  <c r="AF15" i="6"/>
  <c r="AG15" i="6"/>
  <c r="AH15" i="6"/>
  <c r="Y25" i="6"/>
  <c r="Y38" i="6" s="1"/>
  <c r="Z25" i="6"/>
  <c r="Z38" i="6" s="1"/>
  <c r="AA25" i="6"/>
  <c r="AA38" i="6" s="1"/>
  <c r="AB25" i="6"/>
  <c r="AB38" i="6" s="1"/>
  <c r="AC25" i="6"/>
  <c r="AC38" i="6" s="1"/>
  <c r="AD25" i="6"/>
  <c r="AD38" i="6" s="1"/>
  <c r="AE25" i="6"/>
  <c r="AE38" i="6" s="1"/>
  <c r="AF25" i="6"/>
  <c r="AF38" i="6" s="1"/>
  <c r="AG25" i="6"/>
  <c r="AG38" i="6" s="1"/>
  <c r="AH25" i="6"/>
  <c r="AH38" i="6" s="1"/>
  <c r="Y58" i="6"/>
  <c r="Z58" i="6"/>
  <c r="AA58" i="6"/>
  <c r="AB58" i="6"/>
  <c r="AC58" i="6"/>
  <c r="AD58" i="6"/>
  <c r="AE58" i="6"/>
  <c r="AF58" i="6"/>
  <c r="AG58" i="6"/>
  <c r="AH58" i="6"/>
  <c r="Y59" i="6"/>
  <c r="Z59" i="6"/>
  <c r="AA59" i="6"/>
  <c r="AB59" i="6"/>
  <c r="AC59" i="6"/>
  <c r="AD59" i="6"/>
  <c r="AE59" i="6"/>
  <c r="AF59" i="6"/>
  <c r="AG59" i="6"/>
  <c r="AH59" i="6"/>
  <c r="Y60" i="6"/>
  <c r="Z60" i="6"/>
  <c r="AA60" i="6"/>
  <c r="AB60" i="6"/>
  <c r="AC60" i="6"/>
  <c r="AD60" i="6"/>
  <c r="AE60" i="6"/>
  <c r="AF60" i="6"/>
  <c r="AG60" i="6"/>
  <c r="AH60" i="6"/>
  <c r="Y61" i="6"/>
  <c r="Z61" i="6"/>
  <c r="AA61" i="6"/>
  <c r="AB61" i="6"/>
  <c r="AC61" i="6"/>
  <c r="AD61" i="6"/>
  <c r="AE61" i="6"/>
  <c r="AF61" i="6"/>
  <c r="AG61" i="6"/>
  <c r="AH61" i="6"/>
  <c r="Y62" i="6"/>
  <c r="Z62" i="6"/>
  <c r="AA62" i="6"/>
  <c r="AB62" i="6"/>
  <c r="AC62" i="6"/>
  <c r="AD62" i="6"/>
  <c r="AE62" i="6"/>
  <c r="AF62" i="6"/>
  <c r="AG62" i="6"/>
  <c r="AH62" i="6"/>
  <c r="Y63" i="6"/>
  <c r="Z63" i="6"/>
  <c r="AA63" i="6"/>
  <c r="AB63" i="6"/>
  <c r="AC63" i="6"/>
  <c r="AD63" i="6"/>
  <c r="AE63" i="6"/>
  <c r="AF63" i="6"/>
  <c r="AG63" i="6"/>
  <c r="AH63" i="6"/>
  <c r="Y64" i="6"/>
  <c r="Z64" i="6"/>
  <c r="AA64" i="6"/>
  <c r="AB64" i="6"/>
  <c r="AC64" i="6"/>
  <c r="AD64" i="6"/>
  <c r="AE64" i="6"/>
  <c r="AF64" i="6"/>
  <c r="AG64" i="6"/>
  <c r="AH64" i="6"/>
  <c r="Y65" i="6"/>
  <c r="Z65" i="6"/>
  <c r="AA65" i="6"/>
  <c r="AB65" i="6"/>
  <c r="AC65" i="6"/>
  <c r="AD65" i="6"/>
  <c r="AE65" i="6"/>
  <c r="AF65" i="6"/>
  <c r="AG65" i="6"/>
  <c r="AH65" i="6"/>
  <c r="Y66" i="6"/>
  <c r="Z66" i="6"/>
  <c r="AA66" i="6"/>
  <c r="AB66" i="6"/>
  <c r="AC66" i="6"/>
  <c r="AD66" i="6"/>
  <c r="AE66" i="6"/>
  <c r="AF66" i="6"/>
  <c r="AG66" i="6"/>
  <c r="AH66" i="6"/>
  <c r="Y67" i="6"/>
  <c r="Z67" i="6"/>
  <c r="AA67" i="6"/>
  <c r="AB67" i="6"/>
  <c r="AC67" i="6"/>
  <c r="AD67" i="6"/>
  <c r="AE67" i="6"/>
  <c r="AF67" i="6"/>
  <c r="AG67" i="6"/>
  <c r="AH67" i="6"/>
  <c r="Y68" i="6"/>
  <c r="Z68" i="6"/>
  <c r="AA68" i="6"/>
  <c r="AB68" i="6"/>
  <c r="AC68" i="6"/>
  <c r="AD68" i="6"/>
  <c r="AE68" i="6"/>
  <c r="AF68" i="6"/>
  <c r="AG68" i="6"/>
  <c r="AH68" i="6"/>
  <c r="Y69" i="6"/>
  <c r="Z69" i="6"/>
  <c r="AA69" i="6"/>
  <c r="AB69" i="6"/>
  <c r="AC69" i="6"/>
  <c r="AD69" i="6"/>
  <c r="AE69" i="6"/>
  <c r="AF69" i="6"/>
  <c r="AG69" i="6"/>
  <c r="AH69" i="6"/>
  <c r="AH77" i="6"/>
  <c r="M15" i="6"/>
  <c r="N15" i="6"/>
  <c r="O15" i="6"/>
  <c r="P15" i="6"/>
  <c r="Q15" i="6"/>
  <c r="R15" i="6"/>
  <c r="S15" i="6"/>
  <c r="T15" i="6"/>
  <c r="U15" i="6"/>
  <c r="V15" i="6"/>
  <c r="W15" i="6"/>
  <c r="X15" i="6"/>
  <c r="M25" i="6"/>
  <c r="M38" i="6" s="1"/>
  <c r="N25" i="6"/>
  <c r="N38" i="6" s="1"/>
  <c r="O25" i="6"/>
  <c r="O38" i="6" s="1"/>
  <c r="P25" i="6"/>
  <c r="P38" i="6" s="1"/>
  <c r="Q25" i="6"/>
  <c r="Q38" i="6" s="1"/>
  <c r="R25" i="6"/>
  <c r="R38" i="6" s="1"/>
  <c r="S25" i="6"/>
  <c r="S38" i="6" s="1"/>
  <c r="T25" i="6"/>
  <c r="T38" i="6" s="1"/>
  <c r="U25" i="6"/>
  <c r="U38" i="6" s="1"/>
  <c r="V25" i="6"/>
  <c r="V38" i="6" s="1"/>
  <c r="W25" i="6"/>
  <c r="W38" i="6" s="1"/>
  <c r="X25" i="6"/>
  <c r="X38" i="6" s="1"/>
  <c r="M58" i="6"/>
  <c r="N58" i="6"/>
  <c r="O58" i="6"/>
  <c r="P58" i="6"/>
  <c r="Q58" i="6"/>
  <c r="R58" i="6"/>
  <c r="S58" i="6"/>
  <c r="T58" i="6"/>
  <c r="U58" i="6"/>
  <c r="V58" i="6"/>
  <c r="W58" i="6"/>
  <c r="X58" i="6"/>
  <c r="M59" i="6"/>
  <c r="N59" i="6"/>
  <c r="O59" i="6"/>
  <c r="P59" i="6"/>
  <c r="Q59" i="6"/>
  <c r="R59" i="6"/>
  <c r="S59" i="6"/>
  <c r="T59" i="6"/>
  <c r="U59" i="6"/>
  <c r="V59" i="6"/>
  <c r="W59" i="6"/>
  <c r="X59" i="6"/>
  <c r="M60" i="6"/>
  <c r="N60" i="6"/>
  <c r="O60" i="6"/>
  <c r="P60" i="6"/>
  <c r="Q60" i="6"/>
  <c r="R60" i="6"/>
  <c r="S60" i="6"/>
  <c r="T60" i="6"/>
  <c r="U60" i="6"/>
  <c r="V60" i="6"/>
  <c r="W60" i="6"/>
  <c r="X60" i="6"/>
  <c r="M61" i="6"/>
  <c r="N61" i="6"/>
  <c r="O61" i="6"/>
  <c r="P61" i="6"/>
  <c r="Q61" i="6"/>
  <c r="R61" i="6"/>
  <c r="S61" i="6"/>
  <c r="T61" i="6"/>
  <c r="U61" i="6"/>
  <c r="V61" i="6"/>
  <c r="W61" i="6"/>
  <c r="X61" i="6"/>
  <c r="M62" i="6"/>
  <c r="N62" i="6"/>
  <c r="O62" i="6"/>
  <c r="P62" i="6"/>
  <c r="Q62" i="6"/>
  <c r="R62" i="6"/>
  <c r="S62" i="6"/>
  <c r="T62" i="6"/>
  <c r="U62" i="6"/>
  <c r="V62" i="6"/>
  <c r="W62" i="6"/>
  <c r="X62" i="6"/>
  <c r="M63" i="6"/>
  <c r="N63" i="6"/>
  <c r="O63" i="6"/>
  <c r="P63" i="6"/>
  <c r="Q63" i="6"/>
  <c r="R63" i="6"/>
  <c r="S63" i="6"/>
  <c r="T63" i="6"/>
  <c r="U63" i="6"/>
  <c r="V63" i="6"/>
  <c r="W63" i="6"/>
  <c r="X63" i="6"/>
  <c r="M64" i="6"/>
  <c r="N64" i="6"/>
  <c r="O64" i="6"/>
  <c r="P64" i="6"/>
  <c r="Q64" i="6"/>
  <c r="R64" i="6"/>
  <c r="S64" i="6"/>
  <c r="T64" i="6"/>
  <c r="U64" i="6"/>
  <c r="V64" i="6"/>
  <c r="W64" i="6"/>
  <c r="X64" i="6"/>
  <c r="M65" i="6"/>
  <c r="N65" i="6"/>
  <c r="O65" i="6"/>
  <c r="P65" i="6"/>
  <c r="Q65" i="6"/>
  <c r="R65" i="6"/>
  <c r="S65" i="6"/>
  <c r="T65" i="6"/>
  <c r="U65" i="6"/>
  <c r="V65" i="6"/>
  <c r="W65" i="6"/>
  <c r="X65" i="6"/>
  <c r="M66" i="6"/>
  <c r="N66" i="6"/>
  <c r="O66" i="6"/>
  <c r="P66" i="6"/>
  <c r="Q66" i="6"/>
  <c r="R66" i="6"/>
  <c r="S66" i="6"/>
  <c r="T66" i="6"/>
  <c r="U66" i="6"/>
  <c r="V66" i="6"/>
  <c r="W66" i="6"/>
  <c r="X66" i="6"/>
  <c r="M67" i="6"/>
  <c r="N67" i="6"/>
  <c r="O67" i="6"/>
  <c r="P67" i="6"/>
  <c r="Q67" i="6"/>
  <c r="R67" i="6"/>
  <c r="S67" i="6"/>
  <c r="T67" i="6"/>
  <c r="U67" i="6"/>
  <c r="V67" i="6"/>
  <c r="W67" i="6"/>
  <c r="X67" i="6"/>
  <c r="M68" i="6"/>
  <c r="N68" i="6"/>
  <c r="O68" i="6"/>
  <c r="P68" i="6"/>
  <c r="Q68" i="6"/>
  <c r="R68" i="6"/>
  <c r="S68" i="6"/>
  <c r="T68" i="6"/>
  <c r="U68" i="6"/>
  <c r="V68" i="6"/>
  <c r="W68" i="6"/>
  <c r="X68" i="6"/>
  <c r="M69" i="6"/>
  <c r="N69" i="6"/>
  <c r="O69" i="6"/>
  <c r="P69" i="6"/>
  <c r="Q69" i="6"/>
  <c r="R69" i="6"/>
  <c r="S69" i="6"/>
  <c r="T69" i="6"/>
  <c r="U69" i="6"/>
  <c r="V69" i="6"/>
  <c r="W69" i="6"/>
  <c r="X69" i="6"/>
  <c r="J15" i="6"/>
  <c r="K15" i="6"/>
  <c r="L15" i="6"/>
  <c r="J25" i="6"/>
  <c r="J38" i="6" s="1"/>
  <c r="K25" i="6"/>
  <c r="L25" i="6"/>
  <c r="L38" i="6" s="1"/>
  <c r="J58" i="6"/>
  <c r="K58" i="6"/>
  <c r="L58" i="6"/>
  <c r="J59" i="6"/>
  <c r="K59" i="6"/>
  <c r="L59" i="6"/>
  <c r="J60" i="6"/>
  <c r="K60" i="6"/>
  <c r="L60" i="6"/>
  <c r="J61" i="6"/>
  <c r="K61" i="6"/>
  <c r="L61" i="6"/>
  <c r="J62" i="6"/>
  <c r="K62" i="6"/>
  <c r="L62" i="6"/>
  <c r="J63" i="6"/>
  <c r="K63" i="6"/>
  <c r="L63" i="6"/>
  <c r="J64" i="6"/>
  <c r="K64" i="6"/>
  <c r="L64" i="6"/>
  <c r="J65" i="6"/>
  <c r="K65" i="6"/>
  <c r="L65" i="6"/>
  <c r="J66" i="6"/>
  <c r="K66" i="6"/>
  <c r="L66" i="6"/>
  <c r="J67" i="6"/>
  <c r="K67" i="6"/>
  <c r="L67" i="6"/>
  <c r="J68" i="6"/>
  <c r="K68" i="6"/>
  <c r="L68" i="6"/>
  <c r="J69" i="6"/>
  <c r="K69" i="6"/>
  <c r="L69" i="6"/>
  <c r="G15" i="6"/>
  <c r="H15" i="6"/>
  <c r="I15" i="6"/>
  <c r="G25" i="6"/>
  <c r="G38" i="6" s="1"/>
  <c r="H25" i="6"/>
  <c r="H38" i="6" s="1"/>
  <c r="I25" i="6"/>
  <c r="I38" i="6" s="1"/>
  <c r="G58" i="6"/>
  <c r="H58" i="6"/>
  <c r="I58" i="6"/>
  <c r="G59" i="6"/>
  <c r="H59" i="6"/>
  <c r="I59" i="6"/>
  <c r="G60" i="6"/>
  <c r="H60" i="6"/>
  <c r="I60" i="6"/>
  <c r="G61" i="6"/>
  <c r="H61" i="6"/>
  <c r="I61" i="6"/>
  <c r="G62" i="6"/>
  <c r="H62" i="6"/>
  <c r="I62" i="6"/>
  <c r="G63" i="6"/>
  <c r="H63" i="6"/>
  <c r="I63" i="6"/>
  <c r="G64" i="6"/>
  <c r="H64" i="6"/>
  <c r="I64" i="6"/>
  <c r="G65" i="6"/>
  <c r="H65" i="6"/>
  <c r="I65" i="6"/>
  <c r="G66" i="6"/>
  <c r="H66" i="6"/>
  <c r="I66" i="6"/>
  <c r="G67" i="6"/>
  <c r="H67" i="6"/>
  <c r="I67" i="6"/>
  <c r="G68" i="6"/>
  <c r="H68" i="6"/>
  <c r="I68" i="6"/>
  <c r="G69" i="6"/>
  <c r="H69" i="6"/>
  <c r="I69" i="6"/>
  <c r="F15" i="6"/>
  <c r="F25" i="6"/>
  <c r="F38" i="6" s="1"/>
  <c r="F58" i="6"/>
  <c r="F59" i="6"/>
  <c r="F60" i="6"/>
  <c r="F61" i="6"/>
  <c r="F62" i="6"/>
  <c r="F63" i="6"/>
  <c r="F64" i="6"/>
  <c r="F65" i="6"/>
  <c r="F66" i="6"/>
  <c r="F67" i="6"/>
  <c r="F68" i="6"/>
  <c r="F69" i="6"/>
  <c r="F77" i="6"/>
  <c r="E15" i="6"/>
  <c r="E25" i="6"/>
  <c r="E38" i="6" s="1"/>
  <c r="E58" i="6"/>
  <c r="E59" i="6"/>
  <c r="E60" i="6"/>
  <c r="E61" i="6"/>
  <c r="E62" i="6"/>
  <c r="E63" i="6"/>
  <c r="E64" i="6"/>
  <c r="E65" i="6"/>
  <c r="E66" i="6"/>
  <c r="E67" i="6"/>
  <c r="E68" i="6"/>
  <c r="E69" i="6"/>
  <c r="E77" i="6"/>
  <c r="C76" i="6"/>
  <c r="C75" i="6"/>
  <c r="D49" i="6"/>
  <c r="D48" i="6"/>
  <c r="D70" i="6" s="1"/>
  <c r="E70" i="6" s="1"/>
  <c r="F70" i="6" s="1"/>
  <c r="G70" i="6" s="1"/>
  <c r="D47" i="6"/>
  <c r="D46" i="6"/>
  <c r="D45" i="6"/>
  <c r="D44" i="6"/>
  <c r="D41" i="6"/>
  <c r="D40" i="6"/>
  <c r="D37" i="6"/>
  <c r="D69" i="6" s="1"/>
  <c r="D36" i="6"/>
  <c r="D35" i="6"/>
  <c r="D67" i="6" s="1"/>
  <c r="D34" i="6"/>
  <c r="D66" i="6" s="1"/>
  <c r="D33" i="6"/>
  <c r="D65" i="6" s="1"/>
  <c r="D32" i="6"/>
  <c r="D64" i="6" s="1"/>
  <c r="D31" i="6"/>
  <c r="D63" i="6" s="1"/>
  <c r="D30" i="6"/>
  <c r="D62" i="6" s="1"/>
  <c r="D29" i="6"/>
  <c r="D61" i="6" s="1"/>
  <c r="D28" i="6"/>
  <c r="D60" i="6" s="1"/>
  <c r="D27" i="6"/>
  <c r="D59" i="6" s="1"/>
  <c r="D26" i="6"/>
  <c r="D58" i="6" s="1"/>
  <c r="D20" i="6"/>
  <c r="D19" i="6"/>
  <c r="D18" i="6"/>
  <c r="D17" i="6"/>
  <c r="D14" i="6"/>
  <c r="D13" i="6"/>
  <c r="D12" i="6"/>
  <c r="D11" i="6"/>
  <c r="D10" i="6"/>
  <c r="D9" i="6"/>
  <c r="D26" i="5"/>
  <c r="D59" i="5" s="1"/>
  <c r="D27" i="5"/>
  <c r="D60" i="5" s="1"/>
  <c r="D28" i="5"/>
  <c r="D61" i="5" s="1"/>
  <c r="D29" i="5"/>
  <c r="D62" i="5" s="1"/>
  <c r="D30" i="5"/>
  <c r="D63" i="5" s="1"/>
  <c r="D32" i="5"/>
  <c r="D65" i="5" s="1"/>
  <c r="D33" i="5"/>
  <c r="D66" i="5" s="1"/>
  <c r="D34" i="5"/>
  <c r="D67" i="5" s="1"/>
  <c r="D35" i="5"/>
  <c r="D68" i="5" s="1"/>
  <c r="D36" i="5"/>
  <c r="D37" i="5"/>
  <c r="D31" i="5"/>
  <c r="D64" i="5" s="1"/>
  <c r="AN78" i="5"/>
  <c r="AO78" i="5"/>
  <c r="AP78" i="5"/>
  <c r="AN63" i="5"/>
  <c r="AO63" i="5"/>
  <c r="AP63" i="5"/>
  <c r="AN64" i="5"/>
  <c r="AO64" i="5"/>
  <c r="AP64" i="5"/>
  <c r="AN65" i="5"/>
  <c r="AO65" i="5"/>
  <c r="AP65" i="5"/>
  <c r="AN66" i="5"/>
  <c r="AO66" i="5"/>
  <c r="AP66" i="5"/>
  <c r="AN67" i="5"/>
  <c r="AO67" i="5"/>
  <c r="AP67" i="5"/>
  <c r="AN68" i="5"/>
  <c r="AO68" i="5"/>
  <c r="AP68" i="5"/>
  <c r="AN69" i="5"/>
  <c r="AO69" i="5"/>
  <c r="AP69" i="5"/>
  <c r="AN70" i="5"/>
  <c r="AO70" i="5"/>
  <c r="AP70" i="5"/>
  <c r="AN61" i="5"/>
  <c r="AO61" i="5"/>
  <c r="AP61" i="5"/>
  <c r="AN62" i="5"/>
  <c r="AO62" i="5"/>
  <c r="AP62" i="5"/>
  <c r="AP60" i="5"/>
  <c r="AN60" i="5"/>
  <c r="AO60" i="5"/>
  <c r="AN59" i="5"/>
  <c r="AO59" i="5"/>
  <c r="AP59" i="5"/>
  <c r="AN25" i="5"/>
  <c r="AN38" i="5" s="1"/>
  <c r="AO25" i="5"/>
  <c r="AO38" i="5" s="1"/>
  <c r="AP25" i="5"/>
  <c r="AP38" i="5" s="1"/>
  <c r="AN15" i="5"/>
  <c r="AO15" i="5"/>
  <c r="AP15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C77" i="5"/>
  <c r="AN77" i="5" s="1"/>
  <c r="C76" i="5"/>
  <c r="AN76" i="5" s="1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0" i="5"/>
  <c r="D49" i="5"/>
  <c r="D71" i="5" s="1"/>
  <c r="E71" i="5" s="1"/>
  <c r="D48" i="5"/>
  <c r="D47" i="5"/>
  <c r="D46" i="5"/>
  <c r="D45" i="5"/>
  <c r="D41" i="5"/>
  <c r="D40" i="5"/>
  <c r="D70" i="5"/>
  <c r="AM25" i="5"/>
  <c r="AL25" i="5"/>
  <c r="AL38" i="5" s="1"/>
  <c r="AK25" i="5"/>
  <c r="AK38" i="5" s="1"/>
  <c r="AJ25" i="5"/>
  <c r="AJ38" i="5" s="1"/>
  <c r="AI25" i="5"/>
  <c r="AI38" i="5" s="1"/>
  <c r="AH25" i="5"/>
  <c r="AH38" i="5" s="1"/>
  <c r="AG25" i="5"/>
  <c r="AG38" i="5" s="1"/>
  <c r="AF25" i="5"/>
  <c r="AF38" i="5" s="1"/>
  <c r="AE25" i="5"/>
  <c r="AE38" i="5" s="1"/>
  <c r="AD25" i="5"/>
  <c r="AD38" i="5" s="1"/>
  <c r="AC25" i="5"/>
  <c r="AC38" i="5" s="1"/>
  <c r="AB25" i="5"/>
  <c r="AB38" i="5" s="1"/>
  <c r="AA25" i="5"/>
  <c r="AA38" i="5" s="1"/>
  <c r="Z25" i="5"/>
  <c r="Z38" i="5" s="1"/>
  <c r="Y25" i="5"/>
  <c r="Y38" i="5" s="1"/>
  <c r="X25" i="5"/>
  <c r="X38" i="5" s="1"/>
  <c r="W25" i="5"/>
  <c r="W38" i="5" s="1"/>
  <c r="V25" i="5"/>
  <c r="V38" i="5" s="1"/>
  <c r="U25" i="5"/>
  <c r="U38" i="5" s="1"/>
  <c r="T25" i="5"/>
  <c r="T38" i="5" s="1"/>
  <c r="S25" i="5"/>
  <c r="S38" i="5" s="1"/>
  <c r="R25" i="5"/>
  <c r="R38" i="5" s="1"/>
  <c r="Q25" i="5"/>
  <c r="Q38" i="5" s="1"/>
  <c r="P25" i="5"/>
  <c r="P38" i="5" s="1"/>
  <c r="O25" i="5"/>
  <c r="O38" i="5" s="1"/>
  <c r="N25" i="5"/>
  <c r="N38" i="5" s="1"/>
  <c r="M25" i="5"/>
  <c r="M38" i="5" s="1"/>
  <c r="L25" i="5"/>
  <c r="L38" i="5" s="1"/>
  <c r="K25" i="5"/>
  <c r="K38" i="5" s="1"/>
  <c r="J25" i="5"/>
  <c r="J38" i="5" s="1"/>
  <c r="I25" i="5"/>
  <c r="I38" i="5" s="1"/>
  <c r="H25" i="5"/>
  <c r="H38" i="5" s="1"/>
  <c r="G25" i="5"/>
  <c r="G38" i="5" s="1"/>
  <c r="F25" i="5"/>
  <c r="F38" i="5" s="1"/>
  <c r="E25" i="5"/>
  <c r="E38" i="5" s="1"/>
  <c r="D20" i="5"/>
  <c r="D19" i="5"/>
  <c r="D18" i="5"/>
  <c r="D17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4" i="5"/>
  <c r="D13" i="5"/>
  <c r="D12" i="5"/>
  <c r="D11" i="5"/>
  <c r="D10" i="5"/>
  <c r="D9" i="5"/>
  <c r="D8" i="5"/>
  <c r="F7" i="5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AJ77" i="4"/>
  <c r="AG77" i="4"/>
  <c r="AF77" i="4"/>
  <c r="AD77" i="4"/>
  <c r="AC77" i="4"/>
  <c r="AB77" i="4"/>
  <c r="Y77" i="4"/>
  <c r="X77" i="4"/>
  <c r="V77" i="4"/>
  <c r="U77" i="4"/>
  <c r="T77" i="4"/>
  <c r="Q77" i="4"/>
  <c r="P77" i="4"/>
  <c r="O77" i="4"/>
  <c r="N77" i="4"/>
  <c r="M77" i="4"/>
  <c r="L77" i="4"/>
  <c r="I77" i="4"/>
  <c r="H77" i="4"/>
  <c r="G77" i="4"/>
  <c r="F77" i="4"/>
  <c r="E77" i="4"/>
  <c r="AI77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J69" i="4"/>
  <c r="I69" i="4"/>
  <c r="H69" i="4"/>
  <c r="G69" i="4"/>
  <c r="F69" i="4"/>
  <c r="E69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0" i="4"/>
  <c r="D49" i="4"/>
  <c r="D71" i="4" s="1"/>
  <c r="E71" i="4" s="1"/>
  <c r="F71" i="4" s="1"/>
  <c r="D48" i="4"/>
  <c r="D47" i="4"/>
  <c r="D46" i="4"/>
  <c r="D45" i="4"/>
  <c r="D41" i="4"/>
  <c r="D40" i="4"/>
  <c r="D37" i="4"/>
  <c r="D70" i="4" s="1"/>
  <c r="K69" i="4"/>
  <c r="D35" i="4"/>
  <c r="D68" i="4" s="1"/>
  <c r="D34" i="4"/>
  <c r="D67" i="4" s="1"/>
  <c r="D33" i="4"/>
  <c r="D66" i="4" s="1"/>
  <c r="D32" i="4"/>
  <c r="D65" i="4" s="1"/>
  <c r="D31" i="4"/>
  <c r="D30" i="4"/>
  <c r="D63" i="4" s="1"/>
  <c r="D29" i="4"/>
  <c r="D62" i="4" s="1"/>
  <c r="D28" i="4"/>
  <c r="D61" i="4" s="1"/>
  <c r="D27" i="4"/>
  <c r="D60" i="4" s="1"/>
  <c r="D26" i="4"/>
  <c r="D59" i="4" s="1"/>
  <c r="AM25" i="4"/>
  <c r="AM38" i="4" s="1"/>
  <c r="AL25" i="4"/>
  <c r="AL38" i="4" s="1"/>
  <c r="AK25" i="4"/>
  <c r="AK38" i="4" s="1"/>
  <c r="AJ25" i="4"/>
  <c r="AJ38" i="4" s="1"/>
  <c r="AI25" i="4"/>
  <c r="AI38" i="4" s="1"/>
  <c r="AH25" i="4"/>
  <c r="AH38" i="4" s="1"/>
  <c r="AG25" i="4"/>
  <c r="AG38" i="4" s="1"/>
  <c r="AF25" i="4"/>
  <c r="AF38" i="4" s="1"/>
  <c r="AE25" i="4"/>
  <c r="AE38" i="4" s="1"/>
  <c r="AD25" i="4"/>
  <c r="AD38" i="4" s="1"/>
  <c r="AC25" i="4"/>
  <c r="AC38" i="4" s="1"/>
  <c r="AB25" i="4"/>
  <c r="AB38" i="4" s="1"/>
  <c r="AA25" i="4"/>
  <c r="AA38" i="4" s="1"/>
  <c r="Z25" i="4"/>
  <c r="Z38" i="4" s="1"/>
  <c r="Y25" i="4"/>
  <c r="Y38" i="4" s="1"/>
  <c r="X25" i="4"/>
  <c r="X38" i="4" s="1"/>
  <c r="W25" i="4"/>
  <c r="W38" i="4" s="1"/>
  <c r="V25" i="4"/>
  <c r="V38" i="4" s="1"/>
  <c r="U25" i="4"/>
  <c r="U38" i="4" s="1"/>
  <c r="T25" i="4"/>
  <c r="T38" i="4" s="1"/>
  <c r="S25" i="4"/>
  <c r="S38" i="4" s="1"/>
  <c r="R25" i="4"/>
  <c r="R38" i="4" s="1"/>
  <c r="Q25" i="4"/>
  <c r="Q38" i="4" s="1"/>
  <c r="P25" i="4"/>
  <c r="P38" i="4" s="1"/>
  <c r="O25" i="4"/>
  <c r="O38" i="4" s="1"/>
  <c r="N25" i="4"/>
  <c r="N38" i="4" s="1"/>
  <c r="M25" i="4"/>
  <c r="M38" i="4" s="1"/>
  <c r="L25" i="4"/>
  <c r="L38" i="4" s="1"/>
  <c r="K25" i="4"/>
  <c r="K38" i="4" s="1"/>
  <c r="J25" i="4"/>
  <c r="J38" i="4" s="1"/>
  <c r="I25" i="4"/>
  <c r="I38" i="4" s="1"/>
  <c r="H25" i="4"/>
  <c r="H38" i="4" s="1"/>
  <c r="G25" i="4"/>
  <c r="G38" i="4" s="1"/>
  <c r="F25" i="4"/>
  <c r="F38" i="4" s="1"/>
  <c r="E25" i="4"/>
  <c r="E38" i="4" s="1"/>
  <c r="D20" i="4"/>
  <c r="D19" i="4"/>
  <c r="D18" i="4"/>
  <c r="D17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4" i="4"/>
  <c r="D13" i="4"/>
  <c r="D12" i="4"/>
  <c r="D11" i="4"/>
  <c r="D10" i="4"/>
  <c r="D9" i="4"/>
  <c r="D8" i="4"/>
  <c r="F7" i="4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X59" i="10" l="1"/>
  <c r="X76" i="10" s="1"/>
  <c r="L59" i="11"/>
  <c r="AR59" i="11"/>
  <c r="AR76" i="11" s="1"/>
  <c r="AL59" i="10"/>
  <c r="E44" i="12"/>
  <c r="H59" i="10"/>
  <c r="H76" i="10" s="1"/>
  <c r="R59" i="11"/>
  <c r="AH59" i="11"/>
  <c r="AH76" i="11" s="1"/>
  <c r="AH76" i="4"/>
  <c r="H59" i="11"/>
  <c r="H76" i="11" s="1"/>
  <c r="X59" i="11"/>
  <c r="X76" i="11" s="1"/>
  <c r="AN59" i="11"/>
  <c r="AN76" i="11" s="1"/>
  <c r="E59" i="10"/>
  <c r="E76" i="10" s="1"/>
  <c r="N59" i="10"/>
  <c r="N76" i="10" s="1"/>
  <c r="AD59" i="10"/>
  <c r="AD76" i="10" s="1"/>
  <c r="V59" i="10"/>
  <c r="V76" i="10" s="1"/>
  <c r="I59" i="11"/>
  <c r="I76" i="11" s="1"/>
  <c r="Y59" i="11"/>
  <c r="Y76" i="11" s="1"/>
  <c r="J59" i="10"/>
  <c r="J76" i="10" s="1"/>
  <c r="AP59" i="10"/>
  <c r="AP76" i="10" s="1"/>
  <c r="K59" i="10"/>
  <c r="K76" i="10" s="1"/>
  <c r="AA59" i="10"/>
  <c r="AA76" i="10" s="1"/>
  <c r="T59" i="10"/>
  <c r="T76" i="10" s="1"/>
  <c r="S59" i="11"/>
  <c r="S76" i="11" s="1"/>
  <c r="AI59" i="11"/>
  <c r="AI76" i="11" s="1"/>
  <c r="T59" i="11"/>
  <c r="T76" i="11" s="1"/>
  <c r="AJ59" i="11"/>
  <c r="AJ76" i="11" s="1"/>
  <c r="U59" i="10"/>
  <c r="U76" i="10" s="1"/>
  <c r="AK59" i="10"/>
  <c r="AK76" i="10" s="1"/>
  <c r="AO59" i="11"/>
  <c r="AO76" i="11" s="1"/>
  <c r="J59" i="11"/>
  <c r="J76" i="11" s="1"/>
  <c r="Z59" i="11"/>
  <c r="Z76" i="11" s="1"/>
  <c r="AP59" i="11"/>
  <c r="AP76" i="11" s="1"/>
  <c r="AN59" i="10"/>
  <c r="AN76" i="10" s="1"/>
  <c r="L59" i="10"/>
  <c r="L76" i="10" s="1"/>
  <c r="AB59" i="10"/>
  <c r="AB76" i="10" s="1"/>
  <c r="Q59" i="10"/>
  <c r="Q76" i="10" s="1"/>
  <c r="AK59" i="11"/>
  <c r="F59" i="11"/>
  <c r="F76" i="11" s="1"/>
  <c r="V59" i="11"/>
  <c r="V76" i="11" s="1"/>
  <c r="AL59" i="11"/>
  <c r="AL76" i="11" s="1"/>
  <c r="G59" i="11"/>
  <c r="G76" i="11" s="1"/>
  <c r="W59" i="11"/>
  <c r="W76" i="11" s="1"/>
  <c r="O59" i="11"/>
  <c r="O76" i="11" s="1"/>
  <c r="AH59" i="10"/>
  <c r="AH76" i="10" s="1"/>
  <c r="AJ59" i="10"/>
  <c r="AJ76" i="10" s="1"/>
  <c r="Q59" i="11"/>
  <c r="Q76" i="11" s="1"/>
  <c r="AG59" i="11"/>
  <c r="AG76" i="11" s="1"/>
  <c r="AG76" i="4"/>
  <c r="AU44" i="10"/>
  <c r="J76" i="4"/>
  <c r="AB59" i="11"/>
  <c r="R76" i="4"/>
  <c r="Z76" i="4"/>
  <c r="AI39" i="9"/>
  <c r="M59" i="10"/>
  <c r="M76" i="10" s="1"/>
  <c r="AE59" i="11"/>
  <c r="AE76" i="11" s="1"/>
  <c r="Z39" i="9"/>
  <c r="P59" i="11"/>
  <c r="P76" i="11" s="1"/>
  <c r="AF59" i="11"/>
  <c r="AF76" i="11" s="1"/>
  <c r="D79" i="11"/>
  <c r="M59" i="11"/>
  <c r="M76" i="11" s="1"/>
  <c r="AC59" i="11"/>
  <c r="AC76" i="11" s="1"/>
  <c r="E59" i="11"/>
  <c r="E76" i="11" s="1"/>
  <c r="U59" i="11"/>
  <c r="U76" i="11" s="1"/>
  <c r="T59" i="15"/>
  <c r="T76" i="15" s="1"/>
  <c r="P59" i="15"/>
  <c r="P76" i="15" s="1"/>
  <c r="AP39" i="9"/>
  <c r="O39" i="16"/>
  <c r="AW77" i="10"/>
  <c r="N59" i="15"/>
  <c r="N76" i="15" s="1"/>
  <c r="E59" i="12"/>
  <c r="E76" i="12" s="1"/>
  <c r="R59" i="15"/>
  <c r="R76" i="15" s="1"/>
  <c r="AG59" i="10"/>
  <c r="AG76" i="10" s="1"/>
  <c r="I59" i="10"/>
  <c r="I76" i="10" s="1"/>
  <c r="Y59" i="10"/>
  <c r="Y76" i="10" s="1"/>
  <c r="AO59" i="10"/>
  <c r="AO76" i="10" s="1"/>
  <c r="R59" i="10"/>
  <c r="R76" i="10" s="1"/>
  <c r="AV77" i="10"/>
  <c r="AA39" i="9"/>
  <c r="AU77" i="10"/>
  <c r="E59" i="15"/>
  <c r="E76" i="15" s="1"/>
  <c r="D26" i="11"/>
  <c r="D39" i="11" s="1"/>
  <c r="P77" i="12"/>
  <c r="L59" i="15"/>
  <c r="L76" i="15" s="1"/>
  <c r="U59" i="15"/>
  <c r="AC59" i="10"/>
  <c r="AC76" i="10" s="1"/>
  <c r="AP59" i="12"/>
  <c r="AP76" i="12" s="1"/>
  <c r="AE77" i="12"/>
  <c r="M59" i="15"/>
  <c r="M76" i="15" s="1"/>
  <c r="J59" i="15"/>
  <c r="J76" i="15" s="1"/>
  <c r="W59" i="15"/>
  <c r="W76" i="15" s="1"/>
  <c r="D15" i="5"/>
  <c r="F59" i="10"/>
  <c r="F76" i="10" s="1"/>
  <c r="AJ44" i="12"/>
  <c r="AV77" i="12"/>
  <c r="K59" i="15"/>
  <c r="K76" i="15" s="1"/>
  <c r="O59" i="10"/>
  <c r="O76" i="10" s="1"/>
  <c r="W59" i="10"/>
  <c r="W76" i="10" s="1"/>
  <c r="K59" i="11"/>
  <c r="K76" i="11" s="1"/>
  <c r="AA59" i="11"/>
  <c r="AA76" i="11" s="1"/>
  <c r="AQ59" i="11"/>
  <c r="AQ76" i="11" s="1"/>
  <c r="AV39" i="10"/>
  <c r="AK44" i="12"/>
  <c r="P59" i="13"/>
  <c r="P76" i="13" s="1"/>
  <c r="O59" i="15"/>
  <c r="O76" i="15" s="1"/>
  <c r="I59" i="15"/>
  <c r="I76" i="15" s="1"/>
  <c r="V59" i="15"/>
  <c r="V76" i="15" s="1"/>
  <c r="AM59" i="11"/>
  <c r="AM76" i="11" s="1"/>
  <c r="H59" i="15"/>
  <c r="H76" i="15" s="1"/>
  <c r="D78" i="5"/>
  <c r="P59" i="10"/>
  <c r="P76" i="10" s="1"/>
  <c r="AF59" i="10"/>
  <c r="AF76" i="10" s="1"/>
  <c r="AN39" i="12"/>
  <c r="AH78" i="12"/>
  <c r="AO39" i="12"/>
  <c r="Q59" i="15"/>
  <c r="Q76" i="15" s="1"/>
  <c r="N59" i="11"/>
  <c r="AD59" i="11"/>
  <c r="AD76" i="11" s="1"/>
  <c r="AP44" i="12"/>
  <c r="S59" i="10"/>
  <c r="S76" i="10" s="1"/>
  <c r="AI59" i="10"/>
  <c r="AI76" i="10" s="1"/>
  <c r="D16" i="15"/>
  <c r="S59" i="15"/>
  <c r="S76" i="15" s="1"/>
  <c r="E59" i="9"/>
  <c r="AR59" i="10"/>
  <c r="AR76" i="10" s="1"/>
  <c r="D16" i="11"/>
  <c r="F59" i="15"/>
  <c r="F76" i="15" s="1"/>
  <c r="AR77" i="9"/>
  <c r="AR44" i="9"/>
  <c r="I44" i="9"/>
  <c r="G59" i="10"/>
  <c r="G76" i="10" s="1"/>
  <c r="E94" i="13"/>
  <c r="F94" i="13" s="1"/>
  <c r="I94" i="13" s="1"/>
  <c r="O74" i="16"/>
  <c r="AQ39" i="9"/>
  <c r="H44" i="9"/>
  <c r="AW77" i="12"/>
  <c r="D79" i="13"/>
  <c r="E93" i="13"/>
  <c r="F93" i="13" s="1"/>
  <c r="K93" i="13" s="1"/>
  <c r="G44" i="9"/>
  <c r="E92" i="13"/>
  <c r="F92" i="13" s="1"/>
  <c r="I92" i="13" s="1"/>
  <c r="AO44" i="9"/>
  <c r="Z59" i="10"/>
  <c r="Z76" i="10" s="1"/>
  <c r="P78" i="12"/>
  <c r="E91" i="13"/>
  <c r="F91" i="13" s="1"/>
  <c r="K91" i="13" s="1"/>
  <c r="F58" i="4"/>
  <c r="AN75" i="7"/>
  <c r="U44" i="9"/>
  <c r="AW78" i="10"/>
  <c r="Q78" i="12"/>
  <c r="E90" i="13"/>
  <c r="F90" i="13" s="1"/>
  <c r="K90" i="13" s="1"/>
  <c r="AP76" i="5"/>
  <c r="AN74" i="7"/>
  <c r="AH39" i="9"/>
  <c r="T44" i="9"/>
  <c r="AV78" i="10"/>
  <c r="AL39" i="12"/>
  <c r="R78" i="12"/>
  <c r="P39" i="16"/>
  <c r="AO76" i="5"/>
  <c r="AO75" i="7"/>
  <c r="S44" i="9"/>
  <c r="AU78" i="10"/>
  <c r="AM39" i="12"/>
  <c r="AF78" i="12"/>
  <c r="AO74" i="7"/>
  <c r="R44" i="9"/>
  <c r="D16" i="10"/>
  <c r="AT78" i="10"/>
  <c r="O77" i="12"/>
  <c r="AG78" i="12"/>
  <c r="AP77" i="5"/>
  <c r="AP75" i="7"/>
  <c r="Y39" i="9"/>
  <c r="Q44" i="9"/>
  <c r="AO77" i="5"/>
  <c r="AP74" i="7"/>
  <c r="P44" i="9"/>
  <c r="AQ59" i="12"/>
  <c r="AQ76" i="12" s="1"/>
  <c r="Q77" i="12"/>
  <c r="AV78" i="12"/>
  <c r="E58" i="4"/>
  <c r="AQ75" i="7"/>
  <c r="O44" i="9"/>
  <c r="AQ39" i="12"/>
  <c r="R77" i="12"/>
  <c r="AW78" i="12"/>
  <c r="D59" i="14"/>
  <c r="AQ74" i="7"/>
  <c r="AA78" i="9"/>
  <c r="N44" i="9"/>
  <c r="AE72" i="10"/>
  <c r="AE59" i="10" s="1"/>
  <c r="AE76" i="10" s="1"/>
  <c r="AT77" i="10"/>
  <c r="AR75" i="7"/>
  <c r="Y78" i="9"/>
  <c r="M44" i="9"/>
  <c r="AF77" i="12"/>
  <c r="G59" i="15"/>
  <c r="G76" i="15" s="1"/>
  <c r="AR74" i="7"/>
  <c r="AJ77" i="9"/>
  <c r="L44" i="9"/>
  <c r="AG77" i="12"/>
  <c r="E97" i="13"/>
  <c r="F97" i="13" s="1"/>
  <c r="K97" i="13" s="1"/>
  <c r="AH77" i="9"/>
  <c r="F44" i="9"/>
  <c r="K44" i="9"/>
  <c r="AH77" i="12"/>
  <c r="E96" i="13"/>
  <c r="F96" i="13" s="1"/>
  <c r="I96" i="13" s="1"/>
  <c r="D79" i="15"/>
  <c r="K60" i="17"/>
  <c r="K40" i="17" s="1"/>
  <c r="AA60" i="17"/>
  <c r="AA40" i="17" s="1"/>
  <c r="AB77" i="9"/>
  <c r="AR78" i="9"/>
  <c r="E44" i="9"/>
  <c r="J44" i="9"/>
  <c r="D79" i="10"/>
  <c r="AU77" i="12"/>
  <c r="E95" i="13"/>
  <c r="F95" i="13" s="1"/>
  <c r="I95" i="13" s="1"/>
  <c r="D79" i="14"/>
  <c r="P74" i="16"/>
  <c r="H74" i="16"/>
  <c r="J74" i="16"/>
  <c r="K74" i="16"/>
  <c r="E82" i="18"/>
  <c r="E84" i="18" s="1"/>
  <c r="D78" i="18"/>
  <c r="D82" i="18" s="1"/>
  <c r="D84" i="18" s="1"/>
  <c r="I60" i="17"/>
  <c r="I40" i="17" s="1"/>
  <c r="Y83" i="15"/>
  <c r="Z83" i="15" s="1"/>
  <c r="AA83" i="15" s="1"/>
  <c r="AB83" i="15" s="1"/>
  <c r="AC83" i="15" s="1"/>
  <c r="AD83" i="15" s="1"/>
  <c r="AE83" i="15" s="1"/>
  <c r="AF83" i="15" s="1"/>
  <c r="AG83" i="15" s="1"/>
  <c r="AH83" i="15" s="1"/>
  <c r="E74" i="16"/>
  <c r="F74" i="16"/>
  <c r="I74" i="16"/>
  <c r="L74" i="16"/>
  <c r="M74" i="16"/>
  <c r="N74" i="16"/>
  <c r="E39" i="14"/>
  <c r="E44" i="14"/>
  <c r="E83" i="19"/>
  <c r="E84" i="19" s="1"/>
  <c r="D79" i="19"/>
  <c r="D83" i="19" s="1"/>
  <c r="C87" i="19" s="1"/>
  <c r="E60" i="17"/>
  <c r="E40" i="17" s="1"/>
  <c r="AK60" i="17"/>
  <c r="AK40" i="17" s="1"/>
  <c r="Y60" i="17"/>
  <c r="Y40" i="17" s="1"/>
  <c r="U60" i="17"/>
  <c r="U40" i="17" s="1"/>
  <c r="D81" i="16"/>
  <c r="D26" i="17"/>
  <c r="D45" i="17" s="1"/>
  <c r="O60" i="17"/>
  <c r="O40" i="17" s="1"/>
  <c r="AE60" i="17"/>
  <c r="AE40" i="17" s="1"/>
  <c r="L60" i="17"/>
  <c r="L40" i="17" s="1"/>
  <c r="AB60" i="17"/>
  <c r="AB40" i="17" s="1"/>
  <c r="P60" i="17"/>
  <c r="P40" i="17" s="1"/>
  <c r="AF60" i="17"/>
  <c r="AF40" i="17" s="1"/>
  <c r="S60" i="17"/>
  <c r="S40" i="17" s="1"/>
  <c r="AI60" i="17"/>
  <c r="AI40" i="17" s="1"/>
  <c r="M60" i="17"/>
  <c r="M40" i="17" s="1"/>
  <c r="AC60" i="17"/>
  <c r="AC40" i="17" s="1"/>
  <c r="D16" i="17"/>
  <c r="F60" i="17"/>
  <c r="F40" i="17" s="1"/>
  <c r="V60" i="17"/>
  <c r="V40" i="17" s="1"/>
  <c r="AL60" i="17"/>
  <c r="AL40" i="17" s="1"/>
  <c r="J60" i="17"/>
  <c r="J40" i="17" s="1"/>
  <c r="Z60" i="17"/>
  <c r="Z40" i="17" s="1"/>
  <c r="G60" i="17"/>
  <c r="G40" i="17" s="1"/>
  <c r="W60" i="17"/>
  <c r="W40" i="17" s="1"/>
  <c r="T60" i="17"/>
  <c r="T40" i="17" s="1"/>
  <c r="AJ60" i="17"/>
  <c r="AJ40" i="17" s="1"/>
  <c r="Q60" i="17"/>
  <c r="Q40" i="17" s="1"/>
  <c r="AG60" i="17"/>
  <c r="AG40" i="17" s="1"/>
  <c r="N60" i="17"/>
  <c r="N40" i="17" s="1"/>
  <c r="AD60" i="17"/>
  <c r="AD40" i="17" s="1"/>
  <c r="R60" i="17"/>
  <c r="R40" i="17" s="1"/>
  <c r="AH60" i="17"/>
  <c r="AH40" i="17" s="1"/>
  <c r="H60" i="17"/>
  <c r="H40" i="17" s="1"/>
  <c r="X60" i="17"/>
  <c r="X40" i="17" s="1"/>
  <c r="X81" i="17"/>
  <c r="E81" i="17"/>
  <c r="Y81" i="17"/>
  <c r="R81" i="17"/>
  <c r="AH81" i="17"/>
  <c r="G81" i="17"/>
  <c r="W81" i="17"/>
  <c r="O81" i="17"/>
  <c r="E45" i="17"/>
  <c r="E39" i="17"/>
  <c r="F45" i="17"/>
  <c r="F39" i="17"/>
  <c r="G45" i="17"/>
  <c r="G39" i="17"/>
  <c r="H45" i="17"/>
  <c r="H39" i="17"/>
  <c r="I45" i="17"/>
  <c r="I39" i="17"/>
  <c r="J45" i="17"/>
  <c r="J39" i="17"/>
  <c r="K45" i="17"/>
  <c r="K39" i="17"/>
  <c r="L45" i="17"/>
  <c r="L39" i="17"/>
  <c r="M45" i="17"/>
  <c r="M39" i="17"/>
  <c r="N45" i="17"/>
  <c r="N39" i="17"/>
  <c r="O45" i="17"/>
  <c r="O39" i="17"/>
  <c r="P45" i="17"/>
  <c r="P39" i="17"/>
  <c r="Q45" i="17"/>
  <c r="Q39" i="17"/>
  <c r="R45" i="17"/>
  <c r="R39" i="17"/>
  <c r="S45" i="17"/>
  <c r="S39" i="17"/>
  <c r="T45" i="17"/>
  <c r="T39" i="17"/>
  <c r="U45" i="17"/>
  <c r="U39" i="17"/>
  <c r="V45" i="17"/>
  <c r="V39" i="17"/>
  <c r="W45" i="17"/>
  <c r="W39" i="17"/>
  <c r="X45" i="17"/>
  <c r="X39" i="17"/>
  <c r="Y45" i="17"/>
  <c r="Y39" i="17"/>
  <c r="Z45" i="17"/>
  <c r="Z39" i="17"/>
  <c r="AA45" i="17"/>
  <c r="AA39" i="17"/>
  <c r="AB45" i="17"/>
  <c r="AB39" i="17"/>
  <c r="AC45" i="17"/>
  <c r="AC39" i="17"/>
  <c r="AD45" i="17"/>
  <c r="AD39" i="17"/>
  <c r="AE45" i="17"/>
  <c r="AE39" i="17"/>
  <c r="AF45" i="17"/>
  <c r="AF39" i="17"/>
  <c r="AG45" i="17"/>
  <c r="AG39" i="17"/>
  <c r="AH45" i="17"/>
  <c r="AH39" i="17"/>
  <c r="AI45" i="17"/>
  <c r="AI39" i="17"/>
  <c r="AJ45" i="17"/>
  <c r="AJ39" i="17"/>
  <c r="AK45" i="17"/>
  <c r="AK39" i="17"/>
  <c r="AL45" i="17"/>
  <c r="AL39" i="17"/>
  <c r="D71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39" i="16"/>
  <c r="G74" i="16"/>
  <c r="D16" i="16"/>
  <c r="D26" i="16"/>
  <c r="C86" i="16" s="1"/>
  <c r="K44" i="16"/>
  <c r="K39" i="16"/>
  <c r="L44" i="16"/>
  <c r="L39" i="16"/>
  <c r="E79" i="16"/>
  <c r="G79" i="16"/>
  <c r="H80" i="16"/>
  <c r="H79" i="16"/>
  <c r="I80" i="16"/>
  <c r="I79" i="16"/>
  <c r="J80" i="16"/>
  <c r="L79" i="16"/>
  <c r="M79" i="16"/>
  <c r="G39" i="16"/>
  <c r="N79" i="16"/>
  <c r="I39" i="16"/>
  <c r="J39" i="16"/>
  <c r="M39" i="16"/>
  <c r="J79" i="16"/>
  <c r="N44" i="16"/>
  <c r="K79" i="16"/>
  <c r="E44" i="16"/>
  <c r="F44" i="16"/>
  <c r="E80" i="16"/>
  <c r="H44" i="16"/>
  <c r="D70" i="16"/>
  <c r="D73" i="16" s="1"/>
  <c r="D26" i="15"/>
  <c r="C24" i="15" s="1"/>
  <c r="E44" i="15"/>
  <c r="E39" i="15"/>
  <c r="F44" i="15"/>
  <c r="F39" i="15"/>
  <c r="G44" i="15"/>
  <c r="G39" i="15"/>
  <c r="H44" i="15"/>
  <c r="H39" i="15"/>
  <c r="I44" i="15"/>
  <c r="I39" i="15"/>
  <c r="J44" i="15"/>
  <c r="J39" i="15"/>
  <c r="K44" i="15"/>
  <c r="K39" i="15"/>
  <c r="L44" i="15"/>
  <c r="L39" i="15"/>
  <c r="M44" i="15"/>
  <c r="M39" i="15"/>
  <c r="N44" i="15"/>
  <c r="N39" i="15"/>
  <c r="O44" i="15"/>
  <c r="O39" i="15"/>
  <c r="P44" i="15"/>
  <c r="P39" i="15"/>
  <c r="Q44" i="15"/>
  <c r="Q39" i="15"/>
  <c r="R44" i="15"/>
  <c r="R39" i="15"/>
  <c r="S44" i="15"/>
  <c r="S39" i="15"/>
  <c r="T44" i="15"/>
  <c r="T39" i="15"/>
  <c r="U44" i="15"/>
  <c r="U39" i="15"/>
  <c r="V44" i="15"/>
  <c r="V39" i="15"/>
  <c r="W44" i="15"/>
  <c r="W39" i="15"/>
  <c r="D70" i="15"/>
  <c r="D59" i="15" s="1"/>
  <c r="U76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Q39" i="14"/>
  <c r="F44" i="14"/>
  <c r="K39" i="14"/>
  <c r="AE44" i="14"/>
  <c r="G39" i="14"/>
  <c r="I39" i="14"/>
  <c r="V39" i="14"/>
  <c r="W39" i="14"/>
  <c r="H39" i="14"/>
  <c r="X39" i="14"/>
  <c r="Y39" i="14"/>
  <c r="Z39" i="14"/>
  <c r="J39" i="14"/>
  <c r="AA39" i="14"/>
  <c r="AG39" i="14"/>
  <c r="D16" i="14"/>
  <c r="N72" i="14"/>
  <c r="O72" i="14" s="1"/>
  <c r="P72" i="14" s="1"/>
  <c r="Q72" i="14" s="1"/>
  <c r="R72" i="14" s="1"/>
  <c r="S72" i="14" s="1"/>
  <c r="T72" i="14" s="1"/>
  <c r="U72" i="14" s="1"/>
  <c r="V72" i="14" s="1"/>
  <c r="W72" i="14" s="1"/>
  <c r="X72" i="14" s="1"/>
  <c r="Y72" i="14" s="1"/>
  <c r="Z72" i="14" s="1"/>
  <c r="AA72" i="14" s="1"/>
  <c r="AB72" i="14" s="1"/>
  <c r="AC72" i="14" s="1"/>
  <c r="AD72" i="14" s="1"/>
  <c r="AE72" i="14" s="1"/>
  <c r="AF72" i="14" s="1"/>
  <c r="AG72" i="14" s="1"/>
  <c r="AH72" i="14" s="1"/>
  <c r="AH59" i="14" s="1"/>
  <c r="M59" i="14"/>
  <c r="L59" i="14"/>
  <c r="AB44" i="14"/>
  <c r="E59" i="14"/>
  <c r="N44" i="14"/>
  <c r="AC44" i="14"/>
  <c r="F59" i="14"/>
  <c r="AD44" i="14"/>
  <c r="G59" i="14"/>
  <c r="H59" i="14"/>
  <c r="J59" i="14"/>
  <c r="K59" i="14"/>
  <c r="L44" i="14"/>
  <c r="I59" i="14"/>
  <c r="M44" i="14"/>
  <c r="I77" i="14"/>
  <c r="Y77" i="14"/>
  <c r="O78" i="14"/>
  <c r="AE78" i="14"/>
  <c r="R44" i="14"/>
  <c r="AH44" i="14"/>
  <c r="J77" i="14"/>
  <c r="Z77" i="14"/>
  <c r="P78" i="14"/>
  <c r="AF78" i="14"/>
  <c r="S44" i="14"/>
  <c r="K77" i="14"/>
  <c r="AA77" i="14"/>
  <c r="Q78" i="14"/>
  <c r="AG78" i="14"/>
  <c r="D26" i="14"/>
  <c r="D44" i="14" s="1"/>
  <c r="O39" i="14"/>
  <c r="T44" i="14"/>
  <c r="L77" i="14"/>
  <c r="AB77" i="14"/>
  <c r="P39" i="14"/>
  <c r="AF39" i="14"/>
  <c r="U44" i="14"/>
  <c r="M77" i="14"/>
  <c r="AC77" i="14"/>
  <c r="S78" i="14"/>
  <c r="N77" i="14"/>
  <c r="AD77" i="14"/>
  <c r="T78" i="14"/>
  <c r="O77" i="14"/>
  <c r="AE77" i="14"/>
  <c r="E78" i="14"/>
  <c r="U78" i="14"/>
  <c r="P77" i="14"/>
  <c r="AF77" i="14"/>
  <c r="F78" i="14"/>
  <c r="V78" i="14"/>
  <c r="Q77" i="14"/>
  <c r="AG77" i="14"/>
  <c r="G78" i="14"/>
  <c r="W78" i="14"/>
  <c r="R77" i="14"/>
  <c r="AH77" i="14"/>
  <c r="H78" i="14"/>
  <c r="X78" i="14"/>
  <c r="S77" i="14"/>
  <c r="E59" i="13"/>
  <c r="E76" i="13" s="1"/>
  <c r="F84" i="13"/>
  <c r="E89" i="13"/>
  <c r="F89" i="13" s="1"/>
  <c r="E99" i="13"/>
  <c r="F99" i="13" s="1"/>
  <c r="H99" i="13" s="1"/>
  <c r="J99" i="13" s="1"/>
  <c r="M59" i="13"/>
  <c r="M76" i="13" s="1"/>
  <c r="O59" i="13"/>
  <c r="O76" i="13" s="1"/>
  <c r="H59" i="13"/>
  <c r="H76" i="13" s="1"/>
  <c r="AC59" i="13"/>
  <c r="AC76" i="13" s="1"/>
  <c r="AD59" i="13"/>
  <c r="AD76" i="13" s="1"/>
  <c r="AE59" i="13"/>
  <c r="AE76" i="13" s="1"/>
  <c r="AF59" i="13"/>
  <c r="AF76" i="13" s="1"/>
  <c r="D16" i="13"/>
  <c r="N59" i="13"/>
  <c r="N76" i="13" s="1"/>
  <c r="X59" i="13"/>
  <c r="X76" i="13" s="1"/>
  <c r="I59" i="13"/>
  <c r="I76" i="13" s="1"/>
  <c r="Y59" i="13"/>
  <c r="Y76" i="13" s="1"/>
  <c r="J59" i="13"/>
  <c r="J76" i="13" s="1"/>
  <c r="Z59" i="13"/>
  <c r="Z76" i="13" s="1"/>
  <c r="D26" i="13"/>
  <c r="D44" i="13" s="1"/>
  <c r="K59" i="13"/>
  <c r="K76" i="13" s="1"/>
  <c r="AA59" i="13"/>
  <c r="AA76" i="13" s="1"/>
  <c r="L59" i="13"/>
  <c r="L76" i="13" s="1"/>
  <c r="AB59" i="13"/>
  <c r="AB76" i="13" s="1"/>
  <c r="Q59" i="13"/>
  <c r="Q76" i="13" s="1"/>
  <c r="R59" i="13"/>
  <c r="R76" i="13" s="1"/>
  <c r="S59" i="13"/>
  <c r="S76" i="13" s="1"/>
  <c r="T59" i="13"/>
  <c r="T76" i="13" s="1"/>
  <c r="U59" i="13"/>
  <c r="U76" i="13" s="1"/>
  <c r="F59" i="13"/>
  <c r="F76" i="13" s="1"/>
  <c r="V59" i="13"/>
  <c r="V76" i="13" s="1"/>
  <c r="G59" i="13"/>
  <c r="W59" i="13"/>
  <c r="W76" i="13" s="1"/>
  <c r="K94" i="13"/>
  <c r="H98" i="13"/>
  <c r="J98" i="13" s="1"/>
  <c r="K98" i="13"/>
  <c r="I98" i="13"/>
  <c r="E44" i="13"/>
  <c r="E39" i="13"/>
  <c r="F44" i="13"/>
  <c r="F39" i="13"/>
  <c r="G44" i="13"/>
  <c r="G39" i="13"/>
  <c r="H44" i="13"/>
  <c r="H39" i="13"/>
  <c r="I44" i="13"/>
  <c r="I39" i="13"/>
  <c r="J44" i="13"/>
  <c r="J39" i="13"/>
  <c r="K44" i="13"/>
  <c r="K39" i="13"/>
  <c r="L44" i="13"/>
  <c r="L39" i="13"/>
  <c r="M44" i="13"/>
  <c r="M39" i="13"/>
  <c r="N44" i="13"/>
  <c r="N39" i="13"/>
  <c r="O44" i="13"/>
  <c r="O39" i="13"/>
  <c r="P44" i="13"/>
  <c r="P39" i="13"/>
  <c r="Q44" i="13"/>
  <c r="Q39" i="13"/>
  <c r="R44" i="13"/>
  <c r="R39" i="13"/>
  <c r="S44" i="13"/>
  <c r="S39" i="13"/>
  <c r="T44" i="13"/>
  <c r="T39" i="13"/>
  <c r="U44" i="13"/>
  <c r="U39" i="13"/>
  <c r="V44" i="13"/>
  <c r="V39" i="13"/>
  <c r="W44" i="13"/>
  <c r="W39" i="13"/>
  <c r="X44" i="13"/>
  <c r="X39" i="13"/>
  <c r="Y44" i="13"/>
  <c r="Y39" i="13"/>
  <c r="Z44" i="13"/>
  <c r="Z39" i="13"/>
  <c r="AA44" i="13"/>
  <c r="AA39" i="13"/>
  <c r="AB44" i="13"/>
  <c r="AB39" i="13"/>
  <c r="AC44" i="13"/>
  <c r="AC39" i="13"/>
  <c r="AD44" i="13"/>
  <c r="AD39" i="13"/>
  <c r="AE44" i="13"/>
  <c r="AE39" i="13"/>
  <c r="AF44" i="13"/>
  <c r="AF39" i="13"/>
  <c r="D70" i="13"/>
  <c r="D59" i="13" s="1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X44" i="12"/>
  <c r="V39" i="12"/>
  <c r="U39" i="12"/>
  <c r="T44" i="12"/>
  <c r="T39" i="12"/>
  <c r="S39" i="12"/>
  <c r="D40" i="12"/>
  <c r="K44" i="12"/>
  <c r="J59" i="12"/>
  <c r="J76" i="12" s="1"/>
  <c r="J44" i="12"/>
  <c r="D79" i="12"/>
  <c r="F44" i="12"/>
  <c r="AF59" i="12"/>
  <c r="AF76" i="12" s="1"/>
  <c r="W39" i="12"/>
  <c r="Y39" i="12"/>
  <c r="Z39" i="12"/>
  <c r="D60" i="12"/>
  <c r="D59" i="12" s="1"/>
  <c r="AJ59" i="12"/>
  <c r="AJ76" i="12" s="1"/>
  <c r="AA39" i="12"/>
  <c r="AK59" i="12"/>
  <c r="AK76" i="12" s="1"/>
  <c r="AI39" i="12"/>
  <c r="AG59" i="12"/>
  <c r="AG76" i="12" s="1"/>
  <c r="AR59" i="12"/>
  <c r="AR76" i="12" s="1"/>
  <c r="I44" i="12"/>
  <c r="G44" i="12"/>
  <c r="D16" i="12"/>
  <c r="S72" i="12"/>
  <c r="R59" i="12"/>
  <c r="F59" i="12"/>
  <c r="AL59" i="12"/>
  <c r="Q59" i="12"/>
  <c r="AW59" i="12"/>
  <c r="G59" i="12"/>
  <c r="AM59" i="12"/>
  <c r="M59" i="12"/>
  <c r="AS59" i="12"/>
  <c r="H59" i="12"/>
  <c r="AN59" i="12"/>
  <c r="K59" i="12"/>
  <c r="AC39" i="12"/>
  <c r="AC44" i="12"/>
  <c r="N39" i="12"/>
  <c r="N44" i="12"/>
  <c r="AT39" i="12"/>
  <c r="AT44" i="12"/>
  <c r="M39" i="12"/>
  <c r="M44" i="12"/>
  <c r="AD39" i="12"/>
  <c r="AD44" i="12"/>
  <c r="AS39" i="12"/>
  <c r="AS44" i="12"/>
  <c r="P59" i="12"/>
  <c r="AV59" i="12"/>
  <c r="N59" i="12"/>
  <c r="AT59" i="12"/>
  <c r="O59" i="12"/>
  <c r="AU59" i="12"/>
  <c r="AH59" i="12"/>
  <c r="I59" i="12"/>
  <c r="AO59" i="12"/>
  <c r="L59" i="12"/>
  <c r="D26" i="12"/>
  <c r="C84" i="12" s="1"/>
  <c r="AI59" i="12"/>
  <c r="S78" i="12"/>
  <c r="AI78" i="12"/>
  <c r="T77" i="12"/>
  <c r="AJ77" i="12"/>
  <c r="E78" i="12"/>
  <c r="U78" i="12"/>
  <c r="AK78" i="12"/>
  <c r="AR44" i="12"/>
  <c r="E77" i="12"/>
  <c r="U77" i="12"/>
  <c r="AK77" i="12"/>
  <c r="F78" i="12"/>
  <c r="V78" i="12"/>
  <c r="AL78" i="12"/>
  <c r="L44" i="12"/>
  <c r="AB44" i="12"/>
  <c r="F77" i="12"/>
  <c r="V77" i="12"/>
  <c r="AL77" i="12"/>
  <c r="G78" i="12"/>
  <c r="W78" i="12"/>
  <c r="AM78" i="12"/>
  <c r="G77" i="12"/>
  <c r="W77" i="12"/>
  <c r="AM77" i="12"/>
  <c r="H78" i="12"/>
  <c r="X78" i="12"/>
  <c r="AN78" i="12"/>
  <c r="AU44" i="12"/>
  <c r="H77" i="12"/>
  <c r="X77" i="12"/>
  <c r="AN77" i="12"/>
  <c r="I78" i="12"/>
  <c r="Y78" i="12"/>
  <c r="AO78" i="12"/>
  <c r="O44" i="12"/>
  <c r="AE44" i="12"/>
  <c r="AV44" i="12"/>
  <c r="I77" i="12"/>
  <c r="Y77" i="12"/>
  <c r="AO77" i="12"/>
  <c r="J78" i="12"/>
  <c r="Z78" i="12"/>
  <c r="AP78" i="12"/>
  <c r="P44" i="12"/>
  <c r="AF44" i="12"/>
  <c r="AW44" i="12"/>
  <c r="J77" i="12"/>
  <c r="Z77" i="12"/>
  <c r="AP77" i="12"/>
  <c r="K78" i="12"/>
  <c r="AA78" i="12"/>
  <c r="AQ78" i="12"/>
  <c r="Q44" i="12"/>
  <c r="AG44" i="12"/>
  <c r="K77" i="12"/>
  <c r="AA77" i="12"/>
  <c r="AQ77" i="12"/>
  <c r="L78" i="12"/>
  <c r="AB78" i="12"/>
  <c r="AR78" i="12"/>
  <c r="R44" i="12"/>
  <c r="AH44" i="12"/>
  <c r="L77" i="12"/>
  <c r="AB77" i="12"/>
  <c r="AR77" i="12"/>
  <c r="M78" i="12"/>
  <c r="AC78" i="12"/>
  <c r="AS78" i="12"/>
  <c r="M77" i="12"/>
  <c r="AC77" i="12"/>
  <c r="AS77" i="12"/>
  <c r="N78" i="12"/>
  <c r="AD78" i="12"/>
  <c r="AT78" i="12"/>
  <c r="S77" i="12"/>
  <c r="AI77" i="12"/>
  <c r="T78" i="12"/>
  <c r="AJ78" i="12"/>
  <c r="N77" i="12"/>
  <c r="AD77" i="12"/>
  <c r="O78" i="12"/>
  <c r="AE78" i="12"/>
  <c r="AT59" i="10"/>
  <c r="AT76" i="10" s="1"/>
  <c r="AT44" i="10"/>
  <c r="AU59" i="10"/>
  <c r="AU76" i="10" s="1"/>
  <c r="AW39" i="10"/>
  <c r="AV59" i="10"/>
  <c r="AW59" i="10"/>
  <c r="AS59" i="10"/>
  <c r="AS76" i="10" s="1"/>
  <c r="AS44" i="10"/>
  <c r="AQ59" i="10"/>
  <c r="AQ76" i="10" s="1"/>
  <c r="D26" i="10"/>
  <c r="C84" i="10" s="1"/>
  <c r="AM59" i="10"/>
  <c r="AM76" i="10" s="1"/>
  <c r="D40" i="10"/>
  <c r="E44" i="11"/>
  <c r="E39" i="11"/>
  <c r="F44" i="11"/>
  <c r="F39" i="11"/>
  <c r="G44" i="11"/>
  <c r="G39" i="11"/>
  <c r="H44" i="11"/>
  <c r="H39" i="11"/>
  <c r="I44" i="11"/>
  <c r="I39" i="11"/>
  <c r="J44" i="11"/>
  <c r="J39" i="11"/>
  <c r="K44" i="11"/>
  <c r="K39" i="11"/>
  <c r="L44" i="11"/>
  <c r="L39" i="11"/>
  <c r="M44" i="11"/>
  <c r="M39" i="11"/>
  <c r="N44" i="11"/>
  <c r="N39" i="11"/>
  <c r="O44" i="11"/>
  <c r="O39" i="11"/>
  <c r="P44" i="11"/>
  <c r="P39" i="11"/>
  <c r="Q44" i="11"/>
  <c r="Q39" i="11"/>
  <c r="R44" i="11"/>
  <c r="R39" i="11"/>
  <c r="S44" i="11"/>
  <c r="S39" i="11"/>
  <c r="T44" i="11"/>
  <c r="T39" i="11"/>
  <c r="U44" i="11"/>
  <c r="U39" i="11"/>
  <c r="V44" i="11"/>
  <c r="V39" i="11"/>
  <c r="W44" i="11"/>
  <c r="W39" i="11"/>
  <c r="X44" i="11"/>
  <c r="X39" i="11"/>
  <c r="Y44" i="11"/>
  <c r="Y39" i="11"/>
  <c r="Z44" i="11"/>
  <c r="Z39" i="11"/>
  <c r="AA44" i="11"/>
  <c r="AA39" i="11"/>
  <c r="AB44" i="11"/>
  <c r="AB39" i="11"/>
  <c r="AC44" i="11"/>
  <c r="AC39" i="11"/>
  <c r="AD44" i="11"/>
  <c r="AD39" i="11"/>
  <c r="AE44" i="11"/>
  <c r="AE39" i="11"/>
  <c r="AF44" i="11"/>
  <c r="AF39" i="11"/>
  <c r="AG44" i="11"/>
  <c r="AG39" i="11"/>
  <c r="AH44" i="11"/>
  <c r="AH39" i="11"/>
  <c r="AI44" i="11"/>
  <c r="AI39" i="11"/>
  <c r="AJ44" i="11"/>
  <c r="AJ39" i="11"/>
  <c r="AK44" i="11"/>
  <c r="AK39" i="11"/>
  <c r="AL44" i="11"/>
  <c r="AL39" i="11"/>
  <c r="AM44" i="11"/>
  <c r="AM39" i="11"/>
  <c r="AN44" i="11"/>
  <c r="AN39" i="11"/>
  <c r="AO44" i="11"/>
  <c r="AO39" i="11"/>
  <c r="AP44" i="11"/>
  <c r="AP39" i="11"/>
  <c r="AQ44" i="11"/>
  <c r="AQ39" i="11"/>
  <c r="AR44" i="11"/>
  <c r="AR39" i="11"/>
  <c r="D70" i="11"/>
  <c r="D59" i="11" s="1"/>
  <c r="L76" i="11"/>
  <c r="N76" i="11"/>
  <c r="R76" i="11"/>
  <c r="AB76" i="11"/>
  <c r="AK76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E44" i="10"/>
  <c r="E39" i="10"/>
  <c r="F44" i="10"/>
  <c r="F39" i="10"/>
  <c r="G44" i="10"/>
  <c r="G39" i="10"/>
  <c r="H44" i="10"/>
  <c r="H39" i="10"/>
  <c r="I44" i="10"/>
  <c r="I39" i="10"/>
  <c r="J44" i="10"/>
  <c r="J39" i="10"/>
  <c r="K44" i="10"/>
  <c r="K39" i="10"/>
  <c r="L44" i="10"/>
  <c r="L39" i="10"/>
  <c r="M44" i="10"/>
  <c r="M39" i="10"/>
  <c r="N44" i="10"/>
  <c r="N39" i="10"/>
  <c r="O44" i="10"/>
  <c r="O39" i="10"/>
  <c r="P44" i="10"/>
  <c r="P39" i="10"/>
  <c r="Q44" i="10"/>
  <c r="Q39" i="10"/>
  <c r="R44" i="10"/>
  <c r="R39" i="10"/>
  <c r="S44" i="10"/>
  <c r="S39" i="10"/>
  <c r="T44" i="10"/>
  <c r="T39" i="10"/>
  <c r="U44" i="10"/>
  <c r="U39" i="10"/>
  <c r="V44" i="10"/>
  <c r="V39" i="10"/>
  <c r="W44" i="10"/>
  <c r="W39" i="10"/>
  <c r="X44" i="10"/>
  <c r="X39" i="10"/>
  <c r="Y44" i="10"/>
  <c r="Y39" i="10"/>
  <c r="Z44" i="10"/>
  <c r="Z39" i="10"/>
  <c r="AA44" i="10"/>
  <c r="AA39" i="10"/>
  <c r="AB44" i="10"/>
  <c r="AB39" i="10"/>
  <c r="AC44" i="10"/>
  <c r="AC39" i="10"/>
  <c r="AD44" i="10"/>
  <c r="AD39" i="10"/>
  <c r="AE44" i="10"/>
  <c r="AE39" i="10"/>
  <c r="AF44" i="10"/>
  <c r="AF39" i="10"/>
  <c r="AG44" i="10"/>
  <c r="AG39" i="10"/>
  <c r="AH44" i="10"/>
  <c r="AH39" i="10"/>
  <c r="AI44" i="10"/>
  <c r="AI39" i="10"/>
  <c r="AJ44" i="10"/>
  <c r="AJ39" i="10"/>
  <c r="AK44" i="10"/>
  <c r="AK39" i="10"/>
  <c r="AL44" i="10"/>
  <c r="AL39" i="10"/>
  <c r="AM39" i="10"/>
  <c r="AN44" i="10"/>
  <c r="AN39" i="10"/>
  <c r="AO44" i="10"/>
  <c r="AO39" i="10"/>
  <c r="AP44" i="10"/>
  <c r="AP39" i="10"/>
  <c r="AQ44" i="10"/>
  <c r="AQ39" i="10"/>
  <c r="AR44" i="10"/>
  <c r="AR39" i="10"/>
  <c r="D70" i="10"/>
  <c r="D59" i="10" s="1"/>
  <c r="AL76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AN44" i="9"/>
  <c r="AM44" i="9"/>
  <c r="AL39" i="9"/>
  <c r="AK44" i="9"/>
  <c r="AJ39" i="9"/>
  <c r="AJ44" i="9"/>
  <c r="AG44" i="9"/>
  <c r="AF44" i="9"/>
  <c r="AE44" i="9"/>
  <c r="AD44" i="9"/>
  <c r="AC44" i="9"/>
  <c r="AB44" i="9"/>
  <c r="X44" i="9"/>
  <c r="W44" i="9"/>
  <c r="V44" i="9"/>
  <c r="AF77" i="9"/>
  <c r="AL78" i="9"/>
  <c r="AI78" i="9"/>
  <c r="AG78" i="9"/>
  <c r="Z77" i="9"/>
  <c r="AL77" i="9"/>
  <c r="U77" i="9"/>
  <c r="AC78" i="9"/>
  <c r="X77" i="9"/>
  <c r="AH78" i="9"/>
  <c r="Z78" i="9"/>
  <c r="AG77" i="9"/>
  <c r="Y77" i="9"/>
  <c r="AK78" i="9"/>
  <c r="AK77" i="9"/>
  <c r="AF78" i="9"/>
  <c r="X78" i="9"/>
  <c r="AE77" i="9"/>
  <c r="W77" i="9"/>
  <c r="AQ78" i="9"/>
  <c r="AQ77" i="9"/>
  <c r="AE78" i="9"/>
  <c r="W78" i="9"/>
  <c r="AD77" i="9"/>
  <c r="V77" i="9"/>
  <c r="AP78" i="9"/>
  <c r="AP77" i="9"/>
  <c r="AD78" i="9"/>
  <c r="V78" i="9"/>
  <c r="AC77" i="9"/>
  <c r="AO78" i="9"/>
  <c r="AO77" i="9"/>
  <c r="D26" i="9"/>
  <c r="AN78" i="9"/>
  <c r="AN77" i="9"/>
  <c r="U78" i="9"/>
  <c r="AJ78" i="9"/>
  <c r="AB78" i="9"/>
  <c r="AI77" i="9"/>
  <c r="AA77" i="9"/>
  <c r="AM78" i="9"/>
  <c r="AM77" i="9"/>
  <c r="E77" i="9"/>
  <c r="M77" i="9"/>
  <c r="G77" i="9"/>
  <c r="D79" i="9"/>
  <c r="O77" i="9"/>
  <c r="D16" i="9"/>
  <c r="L77" i="9"/>
  <c r="T77" i="9"/>
  <c r="J78" i="9"/>
  <c r="R78" i="9"/>
  <c r="K78" i="9"/>
  <c r="S78" i="9"/>
  <c r="D70" i="9"/>
  <c r="D59" i="9" s="1"/>
  <c r="F77" i="9"/>
  <c r="N77" i="9"/>
  <c r="L78" i="9"/>
  <c r="T78" i="9"/>
  <c r="E78" i="9"/>
  <c r="M78" i="9"/>
  <c r="H77" i="9"/>
  <c r="P77" i="9"/>
  <c r="F78" i="9"/>
  <c r="N78" i="9"/>
  <c r="I77" i="9"/>
  <c r="Q77" i="9"/>
  <c r="G78" i="9"/>
  <c r="O78" i="9"/>
  <c r="J77" i="9"/>
  <c r="R77" i="9"/>
  <c r="H78" i="9"/>
  <c r="P78" i="9"/>
  <c r="K77" i="9"/>
  <c r="I78" i="9"/>
  <c r="D76" i="7"/>
  <c r="D15" i="7"/>
  <c r="D25" i="7"/>
  <c r="C23" i="7" s="1"/>
  <c r="D67" i="7"/>
  <c r="D56" i="7" s="1"/>
  <c r="F69" i="7"/>
  <c r="E56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I75" i="6"/>
  <c r="AJ75" i="6"/>
  <c r="AK75" i="6"/>
  <c r="AL75" i="6"/>
  <c r="AH75" i="6"/>
  <c r="F75" i="6"/>
  <c r="E75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I76" i="6"/>
  <c r="AJ76" i="6"/>
  <c r="AK76" i="6"/>
  <c r="AL76" i="6"/>
  <c r="AH76" i="6"/>
  <c r="F76" i="6"/>
  <c r="E76" i="6"/>
  <c r="D77" i="6"/>
  <c r="H70" i="6"/>
  <c r="I70" i="6" s="1"/>
  <c r="J70" i="6" s="1"/>
  <c r="K70" i="6" s="1"/>
  <c r="G57" i="6"/>
  <c r="G74" i="6" s="1"/>
  <c r="D25" i="6"/>
  <c r="C23" i="6" s="1"/>
  <c r="D15" i="6"/>
  <c r="F57" i="6"/>
  <c r="E57" i="6"/>
  <c r="D68" i="6"/>
  <c r="D57" i="6" s="1"/>
  <c r="AM38" i="5"/>
  <c r="D25" i="5"/>
  <c r="C23" i="5" s="1"/>
  <c r="D69" i="5"/>
  <c r="D58" i="5" s="1"/>
  <c r="F71" i="5"/>
  <c r="E58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8" i="4"/>
  <c r="D25" i="4"/>
  <c r="C23" i="4" s="1"/>
  <c r="D15" i="4"/>
  <c r="E75" i="4"/>
  <c r="G71" i="4"/>
  <c r="S76" i="4"/>
  <c r="AI76" i="4"/>
  <c r="L76" i="4"/>
  <c r="T76" i="4"/>
  <c r="AB76" i="4"/>
  <c r="AJ76" i="4"/>
  <c r="W77" i="4"/>
  <c r="AE77" i="4"/>
  <c r="K76" i="4"/>
  <c r="AA76" i="4"/>
  <c r="E76" i="4"/>
  <c r="M76" i="4"/>
  <c r="U76" i="4"/>
  <c r="AC76" i="4"/>
  <c r="F76" i="4"/>
  <c r="N76" i="4"/>
  <c r="V76" i="4"/>
  <c r="AD76" i="4"/>
  <c r="G76" i="4"/>
  <c r="O76" i="4"/>
  <c r="W76" i="4"/>
  <c r="AE76" i="4"/>
  <c r="J77" i="4"/>
  <c r="R77" i="4"/>
  <c r="Z77" i="4"/>
  <c r="AH77" i="4"/>
  <c r="D36" i="4"/>
  <c r="H76" i="4"/>
  <c r="P76" i="4"/>
  <c r="X76" i="4"/>
  <c r="AF76" i="4"/>
  <c r="K77" i="4"/>
  <c r="S77" i="4"/>
  <c r="AA77" i="4"/>
  <c r="I76" i="4"/>
  <c r="Q76" i="4"/>
  <c r="Y76" i="4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O77" i="3"/>
  <c r="P77" i="3"/>
  <c r="R77" i="3"/>
  <c r="W77" i="3"/>
  <c r="X77" i="3"/>
  <c r="Z77" i="3"/>
  <c r="AE77" i="3"/>
  <c r="AF77" i="3"/>
  <c r="AH77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H76" i="3"/>
  <c r="I76" i="3"/>
  <c r="J76" i="3"/>
  <c r="K76" i="3"/>
  <c r="H77" i="3"/>
  <c r="K77" i="3"/>
  <c r="I78" i="3"/>
  <c r="J78" i="3"/>
  <c r="K78" i="3"/>
  <c r="S77" i="3"/>
  <c r="K36" i="3"/>
  <c r="C24" i="11" l="1"/>
  <c r="I90" i="13"/>
  <c r="AT80" i="10"/>
  <c r="D44" i="11"/>
  <c r="C84" i="11"/>
  <c r="H90" i="13"/>
  <c r="J90" i="13" s="1"/>
  <c r="I91" i="13"/>
  <c r="H91" i="13"/>
  <c r="J91" i="13" s="1"/>
  <c r="E78" i="17"/>
  <c r="E82" i="17" s="1"/>
  <c r="K92" i="13"/>
  <c r="AU80" i="10"/>
  <c r="H96" i="13"/>
  <c r="J96" i="13" s="1"/>
  <c r="K96" i="13"/>
  <c r="P59" i="14"/>
  <c r="P76" i="14" s="1"/>
  <c r="P80" i="14" s="1"/>
  <c r="H94" i="13"/>
  <c r="J94" i="13" s="1"/>
  <c r="D74" i="11"/>
  <c r="AA78" i="17"/>
  <c r="AA82" i="17" s="1"/>
  <c r="N59" i="14"/>
  <c r="D74" i="14" s="1"/>
  <c r="K78" i="17"/>
  <c r="K82" i="17" s="1"/>
  <c r="H93" i="13"/>
  <c r="J93" i="13" s="1"/>
  <c r="K95" i="13"/>
  <c r="AB78" i="17"/>
  <c r="AB82" i="17" s="1"/>
  <c r="Y78" i="17"/>
  <c r="Y82" i="17" s="1"/>
  <c r="AA59" i="14"/>
  <c r="AA76" i="14" s="1"/>
  <c r="AA80" i="14" s="1"/>
  <c r="AG80" i="12"/>
  <c r="I93" i="13"/>
  <c r="O59" i="14"/>
  <c r="O76" i="14" s="1"/>
  <c r="O80" i="14" s="1"/>
  <c r="AC59" i="14"/>
  <c r="AC76" i="14" s="1"/>
  <c r="AC80" i="14" s="1"/>
  <c r="Z59" i="14"/>
  <c r="Z76" i="14" s="1"/>
  <c r="Z80" i="14" s="1"/>
  <c r="U78" i="17"/>
  <c r="U82" i="17" s="1"/>
  <c r="W59" i="14"/>
  <c r="W76" i="14" s="1"/>
  <c r="W80" i="14" s="1"/>
  <c r="E83" i="18"/>
  <c r="F83" i="18" s="1"/>
  <c r="G83" i="18" s="1"/>
  <c r="H83" i="18" s="1"/>
  <c r="I83" i="18" s="1"/>
  <c r="J83" i="18" s="1"/>
  <c r="K83" i="18" s="1"/>
  <c r="L83" i="18" s="1"/>
  <c r="M83" i="18" s="1"/>
  <c r="N83" i="18" s="1"/>
  <c r="O83" i="18" s="1"/>
  <c r="P83" i="18" s="1"/>
  <c r="Q83" i="18" s="1"/>
  <c r="R83" i="18" s="1"/>
  <c r="S83" i="18" s="1"/>
  <c r="T83" i="18" s="1"/>
  <c r="U83" i="18" s="1"/>
  <c r="V83" i="18" s="1"/>
  <c r="W83" i="18" s="1"/>
  <c r="X83" i="18" s="1"/>
  <c r="Y83" i="18" s="1"/>
  <c r="Z83" i="18" s="1"/>
  <c r="AA83" i="18" s="1"/>
  <c r="AB83" i="18" s="1"/>
  <c r="AC83" i="18" s="1"/>
  <c r="AD83" i="18" s="1"/>
  <c r="AE83" i="18" s="1"/>
  <c r="AF83" i="18" s="1"/>
  <c r="AG83" i="18" s="1"/>
  <c r="AH83" i="18" s="1"/>
  <c r="AI83" i="18" s="1"/>
  <c r="AJ83" i="18" s="1"/>
  <c r="AK83" i="18" s="1"/>
  <c r="AL83" i="18" s="1"/>
  <c r="AM83" i="18" s="1"/>
  <c r="AN83" i="18" s="1"/>
  <c r="H95" i="13"/>
  <c r="J95" i="13" s="1"/>
  <c r="I57" i="6"/>
  <c r="I74" i="6" s="1"/>
  <c r="I78" i="6" s="1"/>
  <c r="T78" i="17"/>
  <c r="T82" i="17" s="1"/>
  <c r="Y59" i="14"/>
  <c r="Y76" i="14" s="1"/>
  <c r="Y80" i="14" s="1"/>
  <c r="U59" i="14"/>
  <c r="U76" i="14" s="1"/>
  <c r="U80" i="14" s="1"/>
  <c r="C82" i="18"/>
  <c r="H92" i="13"/>
  <c r="J92" i="13" s="1"/>
  <c r="AP80" i="12"/>
  <c r="D74" i="15"/>
  <c r="Z78" i="17"/>
  <c r="Z82" i="17" s="1"/>
  <c r="D76" i="5"/>
  <c r="D74" i="10"/>
  <c r="W78" i="17"/>
  <c r="W82" i="17" s="1"/>
  <c r="C83" i="5"/>
  <c r="G78" i="17"/>
  <c r="G82" i="17" s="1"/>
  <c r="D38" i="5"/>
  <c r="AS80" i="10"/>
  <c r="AF80" i="12"/>
  <c r="D39" i="17"/>
  <c r="J80" i="12"/>
  <c r="H97" i="13"/>
  <c r="J97" i="13" s="1"/>
  <c r="D77" i="11"/>
  <c r="AK78" i="17"/>
  <c r="AK82" i="17" s="1"/>
  <c r="AQ80" i="12"/>
  <c r="K99" i="13"/>
  <c r="AE78" i="17"/>
  <c r="AE82" i="17" s="1"/>
  <c r="AJ80" i="12"/>
  <c r="AF59" i="14"/>
  <c r="AF76" i="14" s="1"/>
  <c r="AF80" i="14" s="1"/>
  <c r="D78" i="11"/>
  <c r="AR80" i="12"/>
  <c r="D77" i="15"/>
  <c r="D78" i="13"/>
  <c r="H89" i="13"/>
  <c r="J89" i="13" s="1"/>
  <c r="I89" i="13"/>
  <c r="D77" i="5"/>
  <c r="I99" i="13"/>
  <c r="H57" i="6"/>
  <c r="H74" i="6" s="1"/>
  <c r="AC78" i="17"/>
  <c r="AC82" i="17" s="1"/>
  <c r="J57" i="6"/>
  <c r="J74" i="6" s="1"/>
  <c r="J78" i="6" s="1"/>
  <c r="C88" i="17"/>
  <c r="D78" i="12"/>
  <c r="D76" i="6"/>
  <c r="D75" i="6"/>
  <c r="K89" i="13"/>
  <c r="Q78" i="17"/>
  <c r="Q82" i="17" s="1"/>
  <c r="P78" i="17"/>
  <c r="P82" i="17" s="1"/>
  <c r="D77" i="13"/>
  <c r="C84" i="13"/>
  <c r="I97" i="13"/>
  <c r="D78" i="15"/>
  <c r="O78" i="17"/>
  <c r="O82" i="17" s="1"/>
  <c r="D78" i="14"/>
  <c r="I78" i="17"/>
  <c r="I82" i="17" s="1"/>
  <c r="C82" i="6"/>
  <c r="D60" i="17"/>
  <c r="C74" i="17" s="1"/>
  <c r="D76" i="15"/>
  <c r="D77" i="14"/>
  <c r="F84" i="19"/>
  <c r="E86" i="19"/>
  <c r="C83" i="19"/>
  <c r="E85" i="19"/>
  <c r="D81" i="17"/>
  <c r="AJ78" i="17"/>
  <c r="AJ82" i="17" s="1"/>
  <c r="L78" i="17"/>
  <c r="L82" i="17" s="1"/>
  <c r="AG78" i="17"/>
  <c r="AG82" i="17" s="1"/>
  <c r="AF78" i="17"/>
  <c r="AF82" i="17" s="1"/>
  <c r="AD78" i="17"/>
  <c r="AD82" i="17" s="1"/>
  <c r="D80" i="17"/>
  <c r="D79" i="17"/>
  <c r="N78" i="17"/>
  <c r="N82" i="17" s="1"/>
  <c r="M78" i="17"/>
  <c r="M82" i="17" s="1"/>
  <c r="C24" i="17"/>
  <c r="X78" i="17"/>
  <c r="X82" i="17" s="1"/>
  <c r="H78" i="17"/>
  <c r="H82" i="17" s="1"/>
  <c r="AL78" i="17"/>
  <c r="AL82" i="17" s="1"/>
  <c r="V78" i="17"/>
  <c r="V82" i="17" s="1"/>
  <c r="F78" i="17"/>
  <c r="F82" i="17" s="1"/>
  <c r="D76" i="17"/>
  <c r="J78" i="17"/>
  <c r="J82" i="17" s="1"/>
  <c r="AI78" i="17"/>
  <c r="AI82" i="17" s="1"/>
  <c r="S78" i="17"/>
  <c r="S82" i="17" s="1"/>
  <c r="AH78" i="17"/>
  <c r="AH82" i="17" s="1"/>
  <c r="R78" i="17"/>
  <c r="C24" i="16"/>
  <c r="D44" i="16"/>
  <c r="D59" i="16"/>
  <c r="C74" i="16"/>
  <c r="D79" i="16"/>
  <c r="D80" i="16"/>
  <c r="D44" i="15"/>
  <c r="C84" i="15"/>
  <c r="D39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AG59" i="14"/>
  <c r="AG76" i="14" s="1"/>
  <c r="V59" i="14"/>
  <c r="V76" i="14" s="1"/>
  <c r="V80" i="14" s="1"/>
  <c r="R59" i="14"/>
  <c r="R76" i="14" s="1"/>
  <c r="C24" i="14"/>
  <c r="H76" i="14"/>
  <c r="H80" i="14" s="1"/>
  <c r="J76" i="14"/>
  <c r="J80" i="14" s="1"/>
  <c r="T59" i="14"/>
  <c r="I76" i="14"/>
  <c r="I80" i="14" s="1"/>
  <c r="L76" i="14"/>
  <c r="L80" i="14" s="1"/>
  <c r="AE59" i="14"/>
  <c r="D39" i="14"/>
  <c r="AH76" i="14"/>
  <c r="AH80" i="14" s="1"/>
  <c r="C84" i="14"/>
  <c r="F76" i="14"/>
  <c r="AD59" i="14"/>
  <c r="Q59" i="14"/>
  <c r="M76" i="14"/>
  <c r="M80" i="14" s="1"/>
  <c r="E76" i="14"/>
  <c r="G76" i="14"/>
  <c r="G80" i="14" s="1"/>
  <c r="S59" i="14"/>
  <c r="AB59" i="14"/>
  <c r="K76" i="14"/>
  <c r="K80" i="14" s="1"/>
  <c r="X59" i="14"/>
  <c r="D39" i="13"/>
  <c r="C24" i="13"/>
  <c r="D74" i="13"/>
  <c r="G76" i="13"/>
  <c r="G80" i="13" s="1"/>
  <c r="G82" i="13" s="1"/>
  <c r="L98" i="13"/>
  <c r="AF80" i="13"/>
  <c r="AE80" i="13"/>
  <c r="AD80" i="13"/>
  <c r="AC80" i="13"/>
  <c r="AB80" i="13"/>
  <c r="AA80" i="13"/>
  <c r="Z80" i="13"/>
  <c r="Z82" i="13" s="1"/>
  <c r="Y80" i="13"/>
  <c r="Y82" i="13" s="1"/>
  <c r="X80" i="13"/>
  <c r="X82" i="13" s="1"/>
  <c r="W80" i="13"/>
  <c r="W82" i="13" s="1"/>
  <c r="V80" i="13"/>
  <c r="V82" i="13" s="1"/>
  <c r="U80" i="13"/>
  <c r="U82" i="13" s="1"/>
  <c r="T80" i="13"/>
  <c r="T82" i="13" s="1"/>
  <c r="S80" i="13"/>
  <c r="S82" i="13" s="1"/>
  <c r="R80" i="13"/>
  <c r="R82" i="13" s="1"/>
  <c r="Q80" i="13"/>
  <c r="Q82" i="13" s="1"/>
  <c r="P80" i="13"/>
  <c r="P82" i="13" s="1"/>
  <c r="O80" i="13"/>
  <c r="O82" i="13" s="1"/>
  <c r="N80" i="13"/>
  <c r="N82" i="13" s="1"/>
  <c r="M80" i="13"/>
  <c r="M82" i="13" s="1"/>
  <c r="L80" i="13"/>
  <c r="L82" i="13" s="1"/>
  <c r="K80" i="13"/>
  <c r="K82" i="13" s="1"/>
  <c r="J80" i="13"/>
  <c r="J82" i="13" s="1"/>
  <c r="I80" i="13"/>
  <c r="I82" i="13" s="1"/>
  <c r="H80" i="13"/>
  <c r="H82" i="13" s="1"/>
  <c r="F80" i="13"/>
  <c r="F82" i="13" s="1"/>
  <c r="E80" i="13"/>
  <c r="AK80" i="12"/>
  <c r="AW76" i="12"/>
  <c r="AW80" i="12" s="1"/>
  <c r="L76" i="12"/>
  <c r="L80" i="12" s="1"/>
  <c r="P76" i="12"/>
  <c r="P80" i="12" s="1"/>
  <c r="AO76" i="12"/>
  <c r="AO80" i="12" s="1"/>
  <c r="Q76" i="12"/>
  <c r="Q80" i="12" s="1"/>
  <c r="D77" i="12"/>
  <c r="AL76" i="12"/>
  <c r="AL80" i="12" s="1"/>
  <c r="I76" i="12"/>
  <c r="I80" i="12" s="1"/>
  <c r="AH76" i="12"/>
  <c r="AH80" i="12" s="1"/>
  <c r="F76" i="12"/>
  <c r="F80" i="12" s="1"/>
  <c r="K76" i="12"/>
  <c r="K80" i="12" s="1"/>
  <c r="H76" i="12"/>
  <c r="H80" i="12" s="1"/>
  <c r="AS76" i="12"/>
  <c r="AS80" i="12" s="1"/>
  <c r="E80" i="12"/>
  <c r="O76" i="12"/>
  <c r="O80" i="12" s="1"/>
  <c r="AN76" i="12"/>
  <c r="AN80" i="12" s="1"/>
  <c r="AU76" i="12"/>
  <c r="AU80" i="12" s="1"/>
  <c r="D74" i="12"/>
  <c r="AT76" i="12"/>
  <c r="AT80" i="12" s="1"/>
  <c r="M76" i="12"/>
  <c r="M80" i="12" s="1"/>
  <c r="AI76" i="12"/>
  <c r="AI80" i="12" s="1"/>
  <c r="AM76" i="12"/>
  <c r="AM80" i="12" s="1"/>
  <c r="R76" i="12"/>
  <c r="R80" i="12" s="1"/>
  <c r="D44" i="12"/>
  <c r="C24" i="12"/>
  <c r="D39" i="12"/>
  <c r="N76" i="12"/>
  <c r="N80" i="12" s="1"/>
  <c r="T72" i="12"/>
  <c r="S59" i="12"/>
  <c r="AV76" i="12"/>
  <c r="AV80" i="12" s="1"/>
  <c r="G76" i="12"/>
  <c r="G80" i="12" s="1"/>
  <c r="AV76" i="10"/>
  <c r="AV80" i="10" s="1"/>
  <c r="AW76" i="10"/>
  <c r="AW80" i="10" s="1"/>
  <c r="D39" i="10"/>
  <c r="D44" i="10"/>
  <c r="C24" i="10"/>
  <c r="D78" i="10"/>
  <c r="D77" i="10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D76" i="11"/>
  <c r="E80" i="11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D76" i="10"/>
  <c r="E80" i="10"/>
  <c r="E81" i="10" s="1"/>
  <c r="D44" i="9"/>
  <c r="C24" i="9"/>
  <c r="D39" i="9"/>
  <c r="C84" i="9"/>
  <c r="D77" i="9"/>
  <c r="D78" i="9"/>
  <c r="D74" i="7"/>
  <c r="D75" i="7"/>
  <c r="C81" i="7"/>
  <c r="D38" i="7"/>
  <c r="E73" i="7"/>
  <c r="G69" i="7"/>
  <c r="F56" i="7"/>
  <c r="L70" i="6"/>
  <c r="K57" i="6"/>
  <c r="K74" i="6" s="1"/>
  <c r="D38" i="6"/>
  <c r="G78" i="6"/>
  <c r="F74" i="6"/>
  <c r="F78" i="6" s="1"/>
  <c r="E74" i="6"/>
  <c r="E78" i="6" s="1"/>
  <c r="E75" i="5"/>
  <c r="G71" i="5"/>
  <c r="F58" i="5"/>
  <c r="D77" i="4"/>
  <c r="C83" i="4"/>
  <c r="D76" i="4"/>
  <c r="H71" i="4"/>
  <c r="G58" i="4"/>
  <c r="F75" i="4"/>
  <c r="E79" i="4"/>
  <c r="D69" i="4"/>
  <c r="D58" i="4" s="1"/>
  <c r="D38" i="4"/>
  <c r="AG77" i="3"/>
  <c r="Y77" i="3"/>
  <c r="Q77" i="3"/>
  <c r="AD77" i="3"/>
  <c r="V77" i="3"/>
  <c r="N77" i="3"/>
  <c r="AC77" i="3"/>
  <c r="U77" i="3"/>
  <c r="M77" i="3"/>
  <c r="J77" i="3"/>
  <c r="AJ77" i="3"/>
  <c r="AB77" i="3"/>
  <c r="T77" i="3"/>
  <c r="L77" i="3"/>
  <c r="I77" i="3"/>
  <c r="AI77" i="3"/>
  <c r="AA77" i="3"/>
  <c r="L90" i="13" l="1"/>
  <c r="O90" i="13" s="1"/>
  <c r="R90" i="13" s="1"/>
  <c r="L96" i="13"/>
  <c r="O96" i="13" s="1"/>
  <c r="R96" i="13" s="1"/>
  <c r="L91" i="13"/>
  <c r="L92" i="13"/>
  <c r="M92" i="13" s="1"/>
  <c r="N76" i="14"/>
  <c r="N80" i="14" s="1"/>
  <c r="N82" i="14" s="1"/>
  <c r="L93" i="13"/>
  <c r="O93" i="13" s="1"/>
  <c r="R93" i="13" s="1"/>
  <c r="D80" i="11"/>
  <c r="D82" i="11" s="1"/>
  <c r="H78" i="6"/>
  <c r="L94" i="13"/>
  <c r="O94" i="13" s="1"/>
  <c r="R94" i="13" s="1"/>
  <c r="L95" i="13"/>
  <c r="O95" i="13" s="1"/>
  <c r="R95" i="13" s="1"/>
  <c r="L97" i="13"/>
  <c r="M97" i="13" s="1"/>
  <c r="D80" i="10"/>
  <c r="D82" i="10" s="1"/>
  <c r="L99" i="13"/>
  <c r="O99" i="13" s="1"/>
  <c r="R99" i="13" s="1"/>
  <c r="C80" i="15"/>
  <c r="C80" i="13"/>
  <c r="K78" i="6"/>
  <c r="D80" i="15"/>
  <c r="D82" i="15" s="1"/>
  <c r="F80" i="14"/>
  <c r="F82" i="14" s="1"/>
  <c r="L89" i="13"/>
  <c r="O89" i="13" s="1"/>
  <c r="R89" i="13" s="1"/>
  <c r="D76" i="13"/>
  <c r="E81" i="15"/>
  <c r="F81" i="15" s="1"/>
  <c r="G81" i="15" s="1"/>
  <c r="H81" i="15" s="1"/>
  <c r="I81" i="15" s="1"/>
  <c r="J81" i="15" s="1"/>
  <c r="K81" i="15" s="1"/>
  <c r="L81" i="15" s="1"/>
  <c r="M81" i="15" s="1"/>
  <c r="N81" i="15" s="1"/>
  <c r="O81" i="15" s="1"/>
  <c r="P81" i="15" s="1"/>
  <c r="Q81" i="15" s="1"/>
  <c r="R81" i="15" s="1"/>
  <c r="S81" i="15" s="1"/>
  <c r="T81" i="15" s="1"/>
  <c r="U81" i="15" s="1"/>
  <c r="V81" i="15" s="1"/>
  <c r="W81" i="15" s="1"/>
  <c r="G84" i="19"/>
  <c r="F86" i="19"/>
  <c r="R82" i="17"/>
  <c r="C82" i="17" s="1"/>
  <c r="D78" i="17"/>
  <c r="D82" i="17" s="1"/>
  <c r="C86" i="17" s="1"/>
  <c r="E83" i="17"/>
  <c r="F83" i="17" s="1"/>
  <c r="G83" i="17" s="1"/>
  <c r="H83" i="17" s="1"/>
  <c r="I83" i="17" s="1"/>
  <c r="J83" i="17" s="1"/>
  <c r="K83" i="17" s="1"/>
  <c r="L83" i="17" s="1"/>
  <c r="M83" i="17" s="1"/>
  <c r="N83" i="17" s="1"/>
  <c r="O83" i="17" s="1"/>
  <c r="P83" i="17" s="1"/>
  <c r="Q83" i="17" s="1"/>
  <c r="R80" i="14"/>
  <c r="R82" i="14" s="1"/>
  <c r="AG80" i="14"/>
  <c r="J82" i="14"/>
  <c r="U82" i="14"/>
  <c r="I82" i="14"/>
  <c r="Z82" i="14"/>
  <c r="O82" i="14"/>
  <c r="Y82" i="14"/>
  <c r="K82" i="14"/>
  <c r="V82" i="14"/>
  <c r="S76" i="14"/>
  <c r="S80" i="14" s="1"/>
  <c r="L82" i="14"/>
  <c r="G82" i="14"/>
  <c r="X76" i="14"/>
  <c r="X80" i="14" s="1"/>
  <c r="M82" i="14"/>
  <c r="Q76" i="14"/>
  <c r="W82" i="14"/>
  <c r="H82" i="14"/>
  <c r="T76" i="14"/>
  <c r="T80" i="14" s="1"/>
  <c r="E80" i="14"/>
  <c r="AB76" i="14"/>
  <c r="AB80" i="14" s="1"/>
  <c r="P82" i="14"/>
  <c r="AD76" i="14"/>
  <c r="AD80" i="14" s="1"/>
  <c r="AE76" i="14"/>
  <c r="AE80" i="14" s="1"/>
  <c r="O98" i="13"/>
  <c r="R98" i="13" s="1"/>
  <c r="M98" i="13"/>
  <c r="M91" i="13"/>
  <c r="O91" i="13"/>
  <c r="R91" i="13" s="1"/>
  <c r="E81" i="13"/>
  <c r="F81" i="13" s="1"/>
  <c r="G81" i="13" s="1"/>
  <c r="H81" i="13" s="1"/>
  <c r="I81" i="13" s="1"/>
  <c r="J81" i="13" s="1"/>
  <c r="K81" i="13" s="1"/>
  <c r="L81" i="13" s="1"/>
  <c r="M81" i="13" s="1"/>
  <c r="N81" i="13" s="1"/>
  <c r="O81" i="13" s="1"/>
  <c r="P81" i="13" s="1"/>
  <c r="Q81" i="13" s="1"/>
  <c r="R81" i="13" s="1"/>
  <c r="S81" i="13" s="1"/>
  <c r="T81" i="13" s="1"/>
  <c r="U81" i="13" s="1"/>
  <c r="V81" i="13" s="1"/>
  <c r="W81" i="13" s="1"/>
  <c r="X81" i="13" s="1"/>
  <c r="Y81" i="13" s="1"/>
  <c r="Z81" i="13" s="1"/>
  <c r="AA81" i="13" s="1"/>
  <c r="AB81" i="13" s="1"/>
  <c r="AC81" i="13" s="1"/>
  <c r="AD81" i="13" s="1"/>
  <c r="AE81" i="13" s="1"/>
  <c r="AF81" i="13" s="1"/>
  <c r="E82" i="13"/>
  <c r="E81" i="12"/>
  <c r="F81" i="12" s="1"/>
  <c r="G81" i="12" s="1"/>
  <c r="H81" i="12" s="1"/>
  <c r="I81" i="12" s="1"/>
  <c r="J81" i="12" s="1"/>
  <c r="K81" i="12" s="1"/>
  <c r="L81" i="12" s="1"/>
  <c r="M81" i="12" s="1"/>
  <c r="N81" i="12" s="1"/>
  <c r="O81" i="12" s="1"/>
  <c r="P81" i="12" s="1"/>
  <c r="Q81" i="12" s="1"/>
  <c r="R81" i="12" s="1"/>
  <c r="D76" i="12"/>
  <c r="D80" i="12" s="1"/>
  <c r="S76" i="12"/>
  <c r="S80" i="12" s="1"/>
  <c r="U72" i="12"/>
  <c r="T59" i="12"/>
  <c r="E81" i="11"/>
  <c r="F81" i="11" s="1"/>
  <c r="G81" i="11" s="1"/>
  <c r="H81" i="11" s="1"/>
  <c r="I81" i="11" s="1"/>
  <c r="J81" i="11" s="1"/>
  <c r="K81" i="11" s="1"/>
  <c r="L81" i="11" s="1"/>
  <c r="M81" i="11" s="1"/>
  <c r="N81" i="11" s="1"/>
  <c r="O81" i="11" s="1"/>
  <c r="P81" i="11" s="1"/>
  <c r="Q81" i="11" s="1"/>
  <c r="R81" i="11" s="1"/>
  <c r="S81" i="11" s="1"/>
  <c r="T81" i="11" s="1"/>
  <c r="U81" i="11" s="1"/>
  <c r="V81" i="11" s="1"/>
  <c r="W81" i="11" s="1"/>
  <c r="X81" i="11" s="1"/>
  <c r="Y81" i="11" s="1"/>
  <c r="Z81" i="11" s="1"/>
  <c r="AA81" i="11" s="1"/>
  <c r="AB81" i="11" s="1"/>
  <c r="AC81" i="11" s="1"/>
  <c r="AD81" i="11" s="1"/>
  <c r="AE81" i="11" s="1"/>
  <c r="AF81" i="11" s="1"/>
  <c r="AG81" i="11" s="1"/>
  <c r="AH81" i="11" s="1"/>
  <c r="AI81" i="11" s="1"/>
  <c r="AJ81" i="11" s="1"/>
  <c r="AK81" i="11" s="1"/>
  <c r="AL81" i="11" s="1"/>
  <c r="AM81" i="11" s="1"/>
  <c r="AN81" i="11" s="1"/>
  <c r="AO81" i="11" s="1"/>
  <c r="AP81" i="11" s="1"/>
  <c r="AQ81" i="11" s="1"/>
  <c r="AR81" i="11" s="1"/>
  <c r="C80" i="11"/>
  <c r="C80" i="10"/>
  <c r="F81" i="10"/>
  <c r="G81" i="10" s="1"/>
  <c r="H81" i="10" s="1"/>
  <c r="I81" i="10" s="1"/>
  <c r="J81" i="10" s="1"/>
  <c r="K81" i="10" s="1"/>
  <c r="L81" i="10" s="1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X81" i="10" s="1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AJ81" i="10" s="1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AV81" i="10" s="1"/>
  <c r="AW81" i="10" s="1"/>
  <c r="F73" i="7"/>
  <c r="F77" i="7" s="1"/>
  <c r="H69" i="7"/>
  <c r="G56" i="7"/>
  <c r="E77" i="7"/>
  <c r="M70" i="6"/>
  <c r="L57" i="6"/>
  <c r="E79" i="6"/>
  <c r="F79" i="6" s="1"/>
  <c r="G79" i="6" s="1"/>
  <c r="F75" i="5"/>
  <c r="F79" i="5" s="1"/>
  <c r="H71" i="5"/>
  <c r="G58" i="5"/>
  <c r="E79" i="5"/>
  <c r="E80" i="4"/>
  <c r="F79" i="4"/>
  <c r="G75" i="4"/>
  <c r="G79" i="4" s="1"/>
  <c r="I71" i="4"/>
  <c r="H58" i="4"/>
  <c r="AJ70" i="3"/>
  <c r="AK70" i="3"/>
  <c r="AL70" i="3"/>
  <c r="AM70" i="3"/>
  <c r="AJ68" i="3"/>
  <c r="AK68" i="3"/>
  <c r="AL68" i="3"/>
  <c r="AM68" i="3"/>
  <c r="AJ67" i="3"/>
  <c r="AK67" i="3"/>
  <c r="AL67" i="3"/>
  <c r="AM67" i="3"/>
  <c r="AJ66" i="3"/>
  <c r="AK66" i="3"/>
  <c r="AL66" i="3"/>
  <c r="AM66" i="3"/>
  <c r="AJ65" i="3"/>
  <c r="AK65" i="3"/>
  <c r="AL65" i="3"/>
  <c r="AM65" i="3"/>
  <c r="AJ63" i="3"/>
  <c r="AK63" i="3"/>
  <c r="AL63" i="3"/>
  <c r="AM63" i="3"/>
  <c r="AJ64" i="3"/>
  <c r="AK64" i="3"/>
  <c r="AL64" i="3"/>
  <c r="AM64" i="3"/>
  <c r="AJ62" i="3"/>
  <c r="AK62" i="3"/>
  <c r="AL62" i="3"/>
  <c r="AM62" i="3"/>
  <c r="AJ61" i="3"/>
  <c r="AK61" i="3"/>
  <c r="AL61" i="3"/>
  <c r="AM61" i="3"/>
  <c r="AJ60" i="3"/>
  <c r="AK60" i="3"/>
  <c r="AL60" i="3"/>
  <c r="AM60" i="3"/>
  <c r="AJ59" i="3"/>
  <c r="AK59" i="3"/>
  <c r="AL59" i="3"/>
  <c r="AM59" i="3"/>
  <c r="AJ69" i="3"/>
  <c r="AK69" i="3"/>
  <c r="AL69" i="3"/>
  <c r="AM69" i="3"/>
  <c r="AJ25" i="3"/>
  <c r="AJ38" i="3" s="1"/>
  <c r="AK25" i="3"/>
  <c r="AK38" i="3" s="1"/>
  <c r="AL25" i="3"/>
  <c r="AL38" i="3" s="1"/>
  <c r="AM25" i="3"/>
  <c r="AM38" i="3" s="1"/>
  <c r="AJ15" i="3"/>
  <c r="AK15" i="3"/>
  <c r="AL15" i="3"/>
  <c r="AM15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D45" i="3"/>
  <c r="D46" i="3"/>
  <c r="D47" i="3"/>
  <c r="D48" i="3"/>
  <c r="D49" i="3"/>
  <c r="D71" i="3" s="1"/>
  <c r="E71" i="3" s="1"/>
  <c r="F71" i="3" s="1"/>
  <c r="G71" i="3" s="1"/>
  <c r="H71" i="3" s="1"/>
  <c r="I71" i="3" s="1"/>
  <c r="J71" i="3" s="1"/>
  <c r="K71" i="3" s="1"/>
  <c r="L71" i="3" s="1"/>
  <c r="M71" i="3" s="1"/>
  <c r="D50" i="3"/>
  <c r="D40" i="3"/>
  <c r="D41" i="3"/>
  <c r="E25" i="3"/>
  <c r="E38" i="3" s="1"/>
  <c r="F25" i="3"/>
  <c r="F38" i="3" s="1"/>
  <c r="G25" i="3"/>
  <c r="G38" i="3" s="1"/>
  <c r="H25" i="3"/>
  <c r="H38" i="3" s="1"/>
  <c r="I25" i="3"/>
  <c r="I38" i="3" s="1"/>
  <c r="J25" i="3"/>
  <c r="J38" i="3" s="1"/>
  <c r="K25" i="3"/>
  <c r="K38" i="3" s="1"/>
  <c r="L25" i="3"/>
  <c r="L38" i="3" s="1"/>
  <c r="M25" i="3"/>
  <c r="M38" i="3" s="1"/>
  <c r="N25" i="3"/>
  <c r="N38" i="3" s="1"/>
  <c r="O25" i="3"/>
  <c r="O38" i="3" s="1"/>
  <c r="P25" i="3"/>
  <c r="P38" i="3" s="1"/>
  <c r="Q25" i="3"/>
  <c r="Q38" i="3" s="1"/>
  <c r="R25" i="3"/>
  <c r="R38" i="3" s="1"/>
  <c r="S25" i="3"/>
  <c r="S38" i="3" s="1"/>
  <c r="T25" i="3"/>
  <c r="T38" i="3" s="1"/>
  <c r="U25" i="3"/>
  <c r="U38" i="3" s="1"/>
  <c r="V25" i="3"/>
  <c r="V38" i="3" s="1"/>
  <c r="W25" i="3"/>
  <c r="W38" i="3" s="1"/>
  <c r="X25" i="3"/>
  <c r="X38" i="3" s="1"/>
  <c r="Y25" i="3"/>
  <c r="Y38" i="3" s="1"/>
  <c r="Z25" i="3"/>
  <c r="Z38" i="3" s="1"/>
  <c r="AA25" i="3"/>
  <c r="AA38" i="3" s="1"/>
  <c r="AB25" i="3"/>
  <c r="AB38" i="3" s="1"/>
  <c r="AC25" i="3"/>
  <c r="AC38" i="3" s="1"/>
  <c r="AD25" i="3"/>
  <c r="AD38" i="3" s="1"/>
  <c r="AE25" i="3"/>
  <c r="AE38" i="3" s="1"/>
  <c r="AF25" i="3"/>
  <c r="AF38" i="3" s="1"/>
  <c r="AG25" i="3"/>
  <c r="AG38" i="3" s="1"/>
  <c r="AH25" i="3"/>
  <c r="AH38" i="3" s="1"/>
  <c r="AI25" i="3"/>
  <c r="AI38" i="3" s="1"/>
  <c r="D26" i="3"/>
  <c r="D59" i="3" s="1"/>
  <c r="D27" i="3"/>
  <c r="D60" i="3" s="1"/>
  <c r="D28" i="3"/>
  <c r="D61" i="3" s="1"/>
  <c r="D29" i="3"/>
  <c r="D62" i="3" s="1"/>
  <c r="D30" i="3"/>
  <c r="D63" i="3" s="1"/>
  <c r="D31" i="3"/>
  <c r="D32" i="3"/>
  <c r="D65" i="3" s="1"/>
  <c r="D33" i="3"/>
  <c r="D66" i="3" s="1"/>
  <c r="D34" i="3"/>
  <c r="D67" i="3" s="1"/>
  <c r="D35" i="3"/>
  <c r="D68" i="3" s="1"/>
  <c r="D36" i="3"/>
  <c r="D37" i="3"/>
  <c r="D70" i="3" s="1"/>
  <c r="D17" i="3"/>
  <c r="D18" i="3"/>
  <c r="D19" i="3"/>
  <c r="D20" i="3"/>
  <c r="F7" i="3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D8" i="3"/>
  <c r="D9" i="3"/>
  <c r="D10" i="3"/>
  <c r="D11" i="3"/>
  <c r="D12" i="3"/>
  <c r="D13" i="3"/>
  <c r="D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D39" i="2"/>
  <c r="D47" i="2"/>
  <c r="D48" i="2"/>
  <c r="M90" i="13" l="1"/>
  <c r="M95" i="13"/>
  <c r="M93" i="13"/>
  <c r="M96" i="13"/>
  <c r="O97" i="13"/>
  <c r="R97" i="13" s="1"/>
  <c r="O92" i="13"/>
  <c r="R92" i="13" s="1"/>
  <c r="H79" i="6"/>
  <c r="I79" i="6" s="1"/>
  <c r="J79" i="6" s="1"/>
  <c r="K79" i="6" s="1"/>
  <c r="M94" i="13"/>
  <c r="M89" i="13"/>
  <c r="M99" i="13"/>
  <c r="D76" i="14"/>
  <c r="D80" i="14" s="1"/>
  <c r="D82" i="14" s="1"/>
  <c r="N71" i="3"/>
  <c r="O71" i="3" s="1"/>
  <c r="D80" i="13"/>
  <c r="D82" i="13" s="1"/>
  <c r="E81" i="14"/>
  <c r="F81" i="14" s="1"/>
  <c r="G81" i="14" s="1"/>
  <c r="H81" i="14" s="1"/>
  <c r="I81" i="14" s="1"/>
  <c r="J81" i="14" s="1"/>
  <c r="K81" i="14" s="1"/>
  <c r="L81" i="14" s="1"/>
  <c r="M81" i="14" s="1"/>
  <c r="N81" i="14" s="1"/>
  <c r="O81" i="14" s="1"/>
  <c r="P81" i="14" s="1"/>
  <c r="H84" i="19"/>
  <c r="G86" i="19"/>
  <c r="R83" i="17"/>
  <c r="S83" i="17" s="1"/>
  <c r="T83" i="17" s="1"/>
  <c r="U83" i="17" s="1"/>
  <c r="V83" i="17" s="1"/>
  <c r="W83" i="17" s="1"/>
  <c r="X83" i="17" s="1"/>
  <c r="Y83" i="17" s="1"/>
  <c r="Z83" i="17" s="1"/>
  <c r="AA83" i="17" s="1"/>
  <c r="AB83" i="17" s="1"/>
  <c r="AC83" i="17" s="1"/>
  <c r="AD83" i="17" s="1"/>
  <c r="AE83" i="17" s="1"/>
  <c r="AF83" i="17" s="1"/>
  <c r="AG83" i="17" s="1"/>
  <c r="AH83" i="17" s="1"/>
  <c r="AI83" i="17" s="1"/>
  <c r="AJ83" i="17" s="1"/>
  <c r="AK83" i="17" s="1"/>
  <c r="AL83" i="17" s="1"/>
  <c r="Q80" i="14"/>
  <c r="C80" i="14" s="1"/>
  <c r="S82" i="14"/>
  <c r="E82" i="14"/>
  <c r="T82" i="14"/>
  <c r="X82" i="14"/>
  <c r="S81" i="12"/>
  <c r="T76" i="12"/>
  <c r="T80" i="12" s="1"/>
  <c r="V72" i="12"/>
  <c r="U59" i="12"/>
  <c r="E78" i="7"/>
  <c r="F78" i="7" s="1"/>
  <c r="G73" i="7"/>
  <c r="I69" i="7"/>
  <c r="H56" i="7"/>
  <c r="L74" i="6"/>
  <c r="N70" i="6"/>
  <c r="M57" i="6"/>
  <c r="E80" i="5"/>
  <c r="F80" i="5" s="1"/>
  <c r="G75" i="5"/>
  <c r="I71" i="5"/>
  <c r="H58" i="5"/>
  <c r="F80" i="4"/>
  <c r="G80" i="4" s="1"/>
  <c r="H75" i="4"/>
  <c r="H79" i="4" s="1"/>
  <c r="J71" i="4"/>
  <c r="I58" i="4"/>
  <c r="D69" i="3"/>
  <c r="D58" i="3" s="1"/>
  <c r="F58" i="3"/>
  <c r="F75" i="3" s="1"/>
  <c r="M58" i="3"/>
  <c r="M75" i="3" s="1"/>
  <c r="E58" i="3"/>
  <c r="E75" i="3" s="1"/>
  <c r="K58" i="3"/>
  <c r="K75" i="3" s="1"/>
  <c r="D25" i="3"/>
  <c r="C23" i="3" s="1"/>
  <c r="D15" i="3"/>
  <c r="D78" i="3"/>
  <c r="L58" i="3"/>
  <c r="L75" i="3" s="1"/>
  <c r="J58" i="3"/>
  <c r="I58" i="3"/>
  <c r="I75" i="3" s="1"/>
  <c r="H58" i="3"/>
  <c r="H75" i="3" s="1"/>
  <c r="G58" i="3"/>
  <c r="G75" i="3" s="1"/>
  <c r="N58" i="3" l="1"/>
  <c r="N75" i="3" s="1"/>
  <c r="Q81" i="14"/>
  <c r="R81" i="14" s="1"/>
  <c r="S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F81" i="14" s="1"/>
  <c r="AG81" i="14" s="1"/>
  <c r="AH81" i="14" s="1"/>
  <c r="Q82" i="14"/>
  <c r="P71" i="3"/>
  <c r="O58" i="3"/>
  <c r="O75" i="3" s="1"/>
  <c r="I84" i="19"/>
  <c r="H86" i="19"/>
  <c r="T81" i="12"/>
  <c r="U76" i="12"/>
  <c r="U80" i="12" s="1"/>
  <c r="W72" i="12"/>
  <c r="V59" i="12"/>
  <c r="H73" i="7"/>
  <c r="H77" i="7" s="1"/>
  <c r="J69" i="7"/>
  <c r="I56" i="7"/>
  <c r="G77" i="7"/>
  <c r="M74" i="6"/>
  <c r="M78" i="6" s="1"/>
  <c r="O70" i="6"/>
  <c r="N57" i="6"/>
  <c r="L78" i="6"/>
  <c r="H75" i="5"/>
  <c r="H79" i="5" s="1"/>
  <c r="J71" i="5"/>
  <c r="I58" i="5"/>
  <c r="G79" i="5"/>
  <c r="H80" i="4"/>
  <c r="I75" i="4"/>
  <c r="I79" i="4" s="1"/>
  <c r="K71" i="4"/>
  <c r="J58" i="4"/>
  <c r="D38" i="3"/>
  <c r="F79" i="3"/>
  <c r="C83" i="3"/>
  <c r="J75" i="3"/>
  <c r="J79" i="3" s="1"/>
  <c r="K79" i="3"/>
  <c r="M79" i="3"/>
  <c r="L79" i="3"/>
  <c r="D76" i="3"/>
  <c r="D77" i="3"/>
  <c r="I79" i="3"/>
  <c r="E79" i="3"/>
  <c r="H79" i="3"/>
  <c r="G79" i="3"/>
  <c r="N79" i="3" l="1"/>
  <c r="O79" i="3"/>
  <c r="Q71" i="3"/>
  <c r="P58" i="3"/>
  <c r="J84" i="19"/>
  <c r="I86" i="19"/>
  <c r="U81" i="12"/>
  <c r="V76" i="12"/>
  <c r="V80" i="12" s="1"/>
  <c r="X72" i="12"/>
  <c r="W59" i="12"/>
  <c r="G78" i="7"/>
  <c r="H78" i="7" s="1"/>
  <c r="I73" i="7"/>
  <c r="K69" i="7"/>
  <c r="J56" i="7"/>
  <c r="L79" i="6"/>
  <c r="M79" i="6" s="1"/>
  <c r="N74" i="6"/>
  <c r="P70" i="6"/>
  <c r="O57" i="6"/>
  <c r="G80" i="5"/>
  <c r="H80" i="5" s="1"/>
  <c r="I75" i="5"/>
  <c r="K71" i="5"/>
  <c r="J58" i="5"/>
  <c r="I80" i="4"/>
  <c r="L71" i="4"/>
  <c r="K58" i="4"/>
  <c r="J75" i="4"/>
  <c r="J79" i="4" s="1"/>
  <c r="E80" i="3"/>
  <c r="F80" i="3" s="1"/>
  <c r="G80" i="3" s="1"/>
  <c r="H80" i="3" s="1"/>
  <c r="I80" i="3" s="1"/>
  <c r="J80" i="3" s="1"/>
  <c r="K80" i="3" s="1"/>
  <c r="L80" i="3" s="1"/>
  <c r="M80" i="3" s="1"/>
  <c r="N80" i="3" l="1"/>
  <c r="O80" i="3" s="1"/>
  <c r="P75" i="3"/>
  <c r="P79" i="3" s="1"/>
  <c r="R71" i="3"/>
  <c r="Q58" i="3"/>
  <c r="K84" i="19"/>
  <c r="J86" i="19"/>
  <c r="V81" i="12"/>
  <c r="W76" i="12"/>
  <c r="W80" i="12" s="1"/>
  <c r="Y72" i="12"/>
  <c r="X59" i="12"/>
  <c r="J73" i="7"/>
  <c r="J77" i="7" s="1"/>
  <c r="L69" i="7"/>
  <c r="K56" i="7"/>
  <c r="I77" i="7"/>
  <c r="O74" i="6"/>
  <c r="O78" i="6" s="1"/>
  <c r="Q70" i="6"/>
  <c r="P57" i="6"/>
  <c r="N78" i="6"/>
  <c r="N79" i="6" s="1"/>
  <c r="J75" i="5"/>
  <c r="J79" i="5" s="1"/>
  <c r="L71" i="5"/>
  <c r="K58" i="5"/>
  <c r="I79" i="5"/>
  <c r="J80" i="4"/>
  <c r="K75" i="4"/>
  <c r="K79" i="4" s="1"/>
  <c r="M71" i="4"/>
  <c r="L58" i="4"/>
  <c r="D26" i="1"/>
  <c r="D58" i="1" s="1"/>
  <c r="O79" i="6" l="1"/>
  <c r="Q75" i="3"/>
  <c r="Q79" i="3" s="1"/>
  <c r="S71" i="3"/>
  <c r="R58" i="3"/>
  <c r="P80" i="3"/>
  <c r="L84" i="19"/>
  <c r="K86" i="19"/>
  <c r="E59" i="16"/>
  <c r="E73" i="16" s="1"/>
  <c r="W81" i="12"/>
  <c r="Z72" i="12"/>
  <c r="Y59" i="12"/>
  <c r="X76" i="12"/>
  <c r="X80" i="12" s="1"/>
  <c r="I78" i="7"/>
  <c r="J78" i="7" s="1"/>
  <c r="K73" i="7"/>
  <c r="M69" i="7"/>
  <c r="L56" i="7"/>
  <c r="P74" i="6"/>
  <c r="R70" i="6"/>
  <c r="Q57" i="6"/>
  <c r="I80" i="5"/>
  <c r="J80" i="5" s="1"/>
  <c r="K75" i="5"/>
  <c r="M71" i="5"/>
  <c r="L58" i="5"/>
  <c r="K80" i="4"/>
  <c r="L75" i="4"/>
  <c r="L79" i="4" s="1"/>
  <c r="N71" i="4"/>
  <c r="M58" i="4"/>
  <c r="C74" i="2"/>
  <c r="F74" i="2" s="1"/>
  <c r="C75" i="2"/>
  <c r="J75" i="2" s="1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D43" i="2"/>
  <c r="D44" i="2"/>
  <c r="D45" i="2"/>
  <c r="D46" i="2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D40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D26" i="2"/>
  <c r="D57" i="2" s="1"/>
  <c r="D27" i="2"/>
  <c r="D58" i="2" s="1"/>
  <c r="D28" i="2"/>
  <c r="D59" i="2" s="1"/>
  <c r="D29" i="2"/>
  <c r="D60" i="2" s="1"/>
  <c r="D30" i="2"/>
  <c r="D61" i="2" s="1"/>
  <c r="D31" i="2"/>
  <c r="D32" i="2"/>
  <c r="D63" i="2" s="1"/>
  <c r="D33" i="2"/>
  <c r="D64" i="2" s="1"/>
  <c r="D34" i="2"/>
  <c r="D65" i="2" s="1"/>
  <c r="D35" i="2"/>
  <c r="D66" i="2" s="1"/>
  <c r="D36" i="2"/>
  <c r="D67" i="2" s="1"/>
  <c r="D37" i="2"/>
  <c r="D68" i="2" s="1"/>
  <c r="D17" i="2"/>
  <c r="D18" i="2"/>
  <c r="D19" i="2"/>
  <c r="D20" i="2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D8" i="2"/>
  <c r="D9" i="2"/>
  <c r="D10" i="2"/>
  <c r="D11" i="2"/>
  <c r="D12" i="2"/>
  <c r="D13" i="2"/>
  <c r="D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Q80" i="3" l="1"/>
  <c r="I75" i="2"/>
  <c r="Q75" i="2"/>
  <c r="P75" i="2"/>
  <c r="L75" i="2"/>
  <c r="AI74" i="2"/>
  <c r="AG74" i="2"/>
  <c r="AC74" i="2"/>
  <c r="Z74" i="2"/>
  <c r="Y74" i="2"/>
  <c r="U74" i="2"/>
  <c r="AI75" i="2"/>
  <c r="S74" i="2"/>
  <c r="AD75" i="2"/>
  <c r="O74" i="2"/>
  <c r="R75" i="3"/>
  <c r="R79" i="3" s="1"/>
  <c r="AB75" i="2"/>
  <c r="M74" i="2"/>
  <c r="T71" i="3"/>
  <c r="S58" i="3"/>
  <c r="Y75" i="2"/>
  <c r="K74" i="2"/>
  <c r="V75" i="2"/>
  <c r="I74" i="2"/>
  <c r="M84" i="19"/>
  <c r="L86" i="19"/>
  <c r="E78" i="16"/>
  <c r="E82" i="16" s="1"/>
  <c r="F59" i="16"/>
  <c r="F73" i="16" s="1"/>
  <c r="X81" i="12"/>
  <c r="Y76" i="12"/>
  <c r="Y80" i="12" s="1"/>
  <c r="AA72" i="12"/>
  <c r="Z59" i="12"/>
  <c r="L73" i="7"/>
  <c r="L77" i="7" s="1"/>
  <c r="N69" i="7"/>
  <c r="M56" i="7"/>
  <c r="K77" i="7"/>
  <c r="Q74" i="6"/>
  <c r="Q78" i="6" s="1"/>
  <c r="S70" i="6"/>
  <c r="R57" i="6"/>
  <c r="P78" i="6"/>
  <c r="L75" i="5"/>
  <c r="L79" i="5" s="1"/>
  <c r="N71" i="5"/>
  <c r="M58" i="5"/>
  <c r="K79" i="5"/>
  <c r="L80" i="4"/>
  <c r="N58" i="4"/>
  <c r="O71" i="4"/>
  <c r="M75" i="4"/>
  <c r="M79" i="4" s="1"/>
  <c r="D76" i="2"/>
  <c r="D25" i="2"/>
  <c r="D56" i="2"/>
  <c r="AA75" i="2"/>
  <c r="N75" i="2"/>
  <c r="AH74" i="2"/>
  <c r="W74" i="2"/>
  <c r="L74" i="2"/>
  <c r="X75" i="2"/>
  <c r="K75" i="2"/>
  <c r="AE74" i="2"/>
  <c r="T74" i="2"/>
  <c r="J74" i="2"/>
  <c r="AG75" i="2"/>
  <c r="T75" i="2"/>
  <c r="H75" i="2"/>
  <c r="AB74" i="2"/>
  <c r="R74" i="2"/>
  <c r="G74" i="2"/>
  <c r="AF75" i="2"/>
  <c r="S75" i="2"/>
  <c r="F75" i="2"/>
  <c r="AA74" i="2"/>
  <c r="Q74" i="2"/>
  <c r="E74" i="2"/>
  <c r="F56" i="2"/>
  <c r="F73" i="2" s="1"/>
  <c r="F77" i="2" s="1"/>
  <c r="AI56" i="2"/>
  <c r="AA56" i="2"/>
  <c r="S56" i="2"/>
  <c r="K56" i="2"/>
  <c r="AD56" i="2"/>
  <c r="V56" i="2"/>
  <c r="N56" i="2"/>
  <c r="AC56" i="2"/>
  <c r="U56" i="2"/>
  <c r="M56" i="2"/>
  <c r="E56" i="2"/>
  <c r="AB56" i="2"/>
  <c r="T56" i="2"/>
  <c r="L56" i="2"/>
  <c r="D15" i="2"/>
  <c r="AH56" i="2"/>
  <c r="Z56" i="2"/>
  <c r="R56" i="2"/>
  <c r="J56" i="2"/>
  <c r="AG56" i="2"/>
  <c r="Y56" i="2"/>
  <c r="Q56" i="2"/>
  <c r="I56" i="2"/>
  <c r="AF56" i="2"/>
  <c r="X56" i="2"/>
  <c r="P56" i="2"/>
  <c r="H56" i="2"/>
  <c r="AE56" i="2"/>
  <c r="W56" i="2"/>
  <c r="O56" i="2"/>
  <c r="G56" i="2"/>
  <c r="AE75" i="2"/>
  <c r="W75" i="2"/>
  <c r="O75" i="2"/>
  <c r="G75" i="2"/>
  <c r="AF74" i="2"/>
  <c r="X74" i="2"/>
  <c r="P74" i="2"/>
  <c r="H74" i="2"/>
  <c r="AC75" i="2"/>
  <c r="U75" i="2"/>
  <c r="M75" i="2"/>
  <c r="E75" i="2"/>
  <c r="AD74" i="2"/>
  <c r="V74" i="2"/>
  <c r="N74" i="2"/>
  <c r="AH75" i="2"/>
  <c r="Z75" i="2"/>
  <c r="R75" i="2"/>
  <c r="D40" i="1"/>
  <c r="D39" i="1"/>
  <c r="D37" i="1"/>
  <c r="D36" i="1"/>
  <c r="D35" i="1"/>
  <c r="D34" i="1"/>
  <c r="D33" i="1"/>
  <c r="D32" i="1"/>
  <c r="D31" i="1"/>
  <c r="D30" i="1"/>
  <c r="D28" i="1"/>
  <c r="D27" i="1"/>
  <c r="U71" i="3" l="1"/>
  <c r="T58" i="3"/>
  <c r="D74" i="2"/>
  <c r="R80" i="3"/>
  <c r="D75" i="2"/>
  <c r="S75" i="3"/>
  <c r="S79" i="3" s="1"/>
  <c r="E83" i="16"/>
  <c r="N84" i="19"/>
  <c r="M86" i="19"/>
  <c r="F78" i="16"/>
  <c r="F82" i="16" s="1"/>
  <c r="G59" i="16"/>
  <c r="G73" i="16" s="1"/>
  <c r="Y81" i="12"/>
  <c r="Z76" i="12"/>
  <c r="Z80" i="12" s="1"/>
  <c r="AB72" i="12"/>
  <c r="AA59" i="12"/>
  <c r="K78" i="7"/>
  <c r="L78" i="7" s="1"/>
  <c r="M73" i="7"/>
  <c r="O69" i="7"/>
  <c r="N56" i="7"/>
  <c r="P79" i="6"/>
  <c r="Q79" i="6" s="1"/>
  <c r="R74" i="6"/>
  <c r="R78" i="6" s="1"/>
  <c r="T70" i="6"/>
  <c r="S57" i="6"/>
  <c r="K80" i="5"/>
  <c r="L80" i="5" s="1"/>
  <c r="M75" i="5"/>
  <c r="O71" i="5"/>
  <c r="N58" i="5"/>
  <c r="M80" i="4"/>
  <c r="O58" i="4"/>
  <c r="P71" i="4"/>
  <c r="N75" i="4"/>
  <c r="N79" i="4" s="1"/>
  <c r="C23" i="2"/>
  <c r="C81" i="2"/>
  <c r="AB73" i="2"/>
  <c r="AB77" i="2" s="1"/>
  <c r="AF73" i="2"/>
  <c r="AF77" i="2" s="1"/>
  <c r="R73" i="2"/>
  <c r="R77" i="2" s="1"/>
  <c r="E73" i="2"/>
  <c r="D71" i="2"/>
  <c r="AD73" i="2"/>
  <c r="AD77" i="2" s="1"/>
  <c r="H73" i="2"/>
  <c r="H77" i="2" s="1"/>
  <c r="AG73" i="2"/>
  <c r="AG77" i="2" s="1"/>
  <c r="T73" i="2"/>
  <c r="T77" i="2" s="1"/>
  <c r="G73" i="2"/>
  <c r="G77" i="2" s="1"/>
  <c r="Z73" i="2"/>
  <c r="Z77" i="2" s="1"/>
  <c r="M73" i="2"/>
  <c r="M77" i="2" s="1"/>
  <c r="K73" i="2"/>
  <c r="K77" i="2" s="1"/>
  <c r="L73" i="2"/>
  <c r="L77" i="2" s="1"/>
  <c r="P73" i="2"/>
  <c r="P77" i="2" s="1"/>
  <c r="X73" i="2"/>
  <c r="X77" i="2" s="1"/>
  <c r="O73" i="2"/>
  <c r="O77" i="2" s="1"/>
  <c r="I73" i="2"/>
  <c r="I77" i="2" s="1"/>
  <c r="AH73" i="2"/>
  <c r="AH77" i="2" s="1"/>
  <c r="U73" i="2"/>
  <c r="U77" i="2" s="1"/>
  <c r="S73" i="2"/>
  <c r="S77" i="2" s="1"/>
  <c r="N73" i="2"/>
  <c r="N77" i="2" s="1"/>
  <c r="W73" i="2"/>
  <c r="W77" i="2" s="1"/>
  <c r="Q73" i="2"/>
  <c r="Q77" i="2" s="1"/>
  <c r="AC73" i="2"/>
  <c r="AC77" i="2" s="1"/>
  <c r="AA73" i="2"/>
  <c r="AA77" i="2" s="1"/>
  <c r="J73" i="2"/>
  <c r="J77" i="2" s="1"/>
  <c r="V73" i="2"/>
  <c r="V77" i="2" s="1"/>
  <c r="AE73" i="2"/>
  <c r="AE77" i="2" s="1"/>
  <c r="Y73" i="2"/>
  <c r="Y77" i="2" s="1"/>
  <c r="AI73" i="2"/>
  <c r="AI77" i="2" s="1"/>
  <c r="T75" i="3" l="1"/>
  <c r="T79" i="3" s="1"/>
  <c r="S80" i="3"/>
  <c r="V71" i="3"/>
  <c r="U58" i="3"/>
  <c r="F83" i="16"/>
  <c r="O84" i="19"/>
  <c r="N86" i="19"/>
  <c r="G78" i="16"/>
  <c r="G82" i="16" s="1"/>
  <c r="H59" i="16"/>
  <c r="H73" i="16" s="1"/>
  <c r="Z81" i="12"/>
  <c r="AA76" i="12"/>
  <c r="AA80" i="12" s="1"/>
  <c r="AC72" i="12"/>
  <c r="AB59" i="12"/>
  <c r="N73" i="7"/>
  <c r="N77" i="7" s="1"/>
  <c r="P69" i="7"/>
  <c r="O56" i="7"/>
  <c r="M77" i="7"/>
  <c r="S74" i="6"/>
  <c r="S78" i="6" s="1"/>
  <c r="U70" i="6"/>
  <c r="T57" i="6"/>
  <c r="R79" i="6"/>
  <c r="N75" i="5"/>
  <c r="N79" i="5" s="1"/>
  <c r="P71" i="5"/>
  <c r="O58" i="5"/>
  <c r="M79" i="5"/>
  <c r="N80" i="4"/>
  <c r="Q71" i="4"/>
  <c r="P58" i="4"/>
  <c r="O75" i="4"/>
  <c r="O79" i="4" s="1"/>
  <c r="E77" i="2"/>
  <c r="C77" i="2" s="1"/>
  <c r="D73" i="2"/>
  <c r="D77" i="2" s="1"/>
  <c r="S79" i="6" l="1"/>
  <c r="T80" i="3"/>
  <c r="W71" i="3"/>
  <c r="V58" i="3"/>
  <c r="U75" i="3"/>
  <c r="U79" i="3" s="1"/>
  <c r="G83" i="16"/>
  <c r="P84" i="19"/>
  <c r="O86" i="19"/>
  <c r="H78" i="16"/>
  <c r="H82" i="16" s="1"/>
  <c r="I59" i="16"/>
  <c r="I73" i="16" s="1"/>
  <c r="AA81" i="12"/>
  <c r="AB76" i="12"/>
  <c r="AB80" i="12" s="1"/>
  <c r="AD72" i="12"/>
  <c r="AC59" i="12"/>
  <c r="M78" i="7"/>
  <c r="N78" i="7" s="1"/>
  <c r="O73" i="7"/>
  <c r="Q69" i="7"/>
  <c r="P56" i="7"/>
  <c r="T74" i="6"/>
  <c r="T78" i="6" s="1"/>
  <c r="V70" i="6"/>
  <c r="U57" i="6"/>
  <c r="M80" i="5"/>
  <c r="O75" i="5"/>
  <c r="Q71" i="5"/>
  <c r="P58" i="5"/>
  <c r="N80" i="5"/>
  <c r="O80" i="4"/>
  <c r="P75" i="4"/>
  <c r="P79" i="4" s="1"/>
  <c r="R71" i="4"/>
  <c r="Q58" i="4"/>
  <c r="E78" i="2"/>
  <c r="F78" i="2" s="1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U80" i="3" l="1"/>
  <c r="X71" i="3"/>
  <c r="W58" i="3"/>
  <c r="V75" i="3"/>
  <c r="V79" i="3" s="1"/>
  <c r="H83" i="16"/>
  <c r="Q84" i="19"/>
  <c r="P86" i="19"/>
  <c r="I78" i="16"/>
  <c r="I82" i="16" s="1"/>
  <c r="J59" i="16"/>
  <c r="J73" i="16" s="1"/>
  <c r="AB81" i="12"/>
  <c r="AC76" i="12"/>
  <c r="AC80" i="12" s="1"/>
  <c r="AE72" i="12"/>
  <c r="AE59" i="12" s="1"/>
  <c r="AD59" i="12"/>
  <c r="P73" i="7"/>
  <c r="P77" i="7" s="1"/>
  <c r="R69" i="7"/>
  <c r="Q56" i="7"/>
  <c r="O77" i="7"/>
  <c r="U74" i="6"/>
  <c r="U78" i="6" s="1"/>
  <c r="W70" i="6"/>
  <c r="V57" i="6"/>
  <c r="T79" i="6"/>
  <c r="P75" i="5"/>
  <c r="P79" i="5" s="1"/>
  <c r="R71" i="5"/>
  <c r="Q58" i="5"/>
  <c r="O79" i="5"/>
  <c r="P80" i="4"/>
  <c r="S71" i="4"/>
  <c r="R58" i="4"/>
  <c r="Q75" i="4"/>
  <c r="Q79" i="4" s="1"/>
  <c r="U79" i="6" l="1"/>
  <c r="V80" i="3"/>
  <c r="Y71" i="3"/>
  <c r="X58" i="3"/>
  <c r="W75" i="3"/>
  <c r="W79" i="3" s="1"/>
  <c r="I83" i="16"/>
  <c r="R84" i="19"/>
  <c r="Q86" i="19"/>
  <c r="J78" i="16"/>
  <c r="J82" i="16" s="1"/>
  <c r="K59" i="16"/>
  <c r="K73" i="16" s="1"/>
  <c r="AC81" i="12"/>
  <c r="AD76" i="12"/>
  <c r="AD80" i="12" s="1"/>
  <c r="AE76" i="12"/>
  <c r="AE80" i="12" s="1"/>
  <c r="O78" i="7"/>
  <c r="P78" i="7" s="1"/>
  <c r="Q73" i="7"/>
  <c r="S69" i="7"/>
  <c r="R56" i="7"/>
  <c r="V74" i="6"/>
  <c r="X70" i="6"/>
  <c r="W57" i="6"/>
  <c r="O80" i="5"/>
  <c r="P80" i="5" s="1"/>
  <c r="Q75" i="5"/>
  <c r="S71" i="5"/>
  <c r="R58" i="5"/>
  <c r="Q80" i="4"/>
  <c r="R75" i="4"/>
  <c r="R79" i="4" s="1"/>
  <c r="T71" i="4"/>
  <c r="S58" i="4"/>
  <c r="W80" i="3" l="1"/>
  <c r="X75" i="3"/>
  <c r="X79" i="3" s="1"/>
  <c r="Z71" i="3"/>
  <c r="Y58" i="3"/>
  <c r="J83" i="16"/>
  <c r="S84" i="19"/>
  <c r="R86" i="19"/>
  <c r="K78" i="16"/>
  <c r="K82" i="16" s="1"/>
  <c r="L59" i="16"/>
  <c r="L73" i="16" s="1"/>
  <c r="C80" i="12"/>
  <c r="AD81" i="12"/>
  <c r="AE81" i="12" s="1"/>
  <c r="AF81" i="12" s="1"/>
  <c r="AG81" i="12" s="1"/>
  <c r="AH81" i="12" s="1"/>
  <c r="AI81" i="12" s="1"/>
  <c r="AJ81" i="12" s="1"/>
  <c r="AK81" i="12" s="1"/>
  <c r="AL81" i="12" s="1"/>
  <c r="AM81" i="12" s="1"/>
  <c r="AN81" i="12" s="1"/>
  <c r="AO81" i="12" s="1"/>
  <c r="AP81" i="12" s="1"/>
  <c r="AQ81" i="12" s="1"/>
  <c r="AR81" i="12" s="1"/>
  <c r="AS81" i="12" s="1"/>
  <c r="AT81" i="12" s="1"/>
  <c r="AU81" i="12" s="1"/>
  <c r="AV81" i="12" s="1"/>
  <c r="AW81" i="12" s="1"/>
  <c r="R73" i="7"/>
  <c r="R77" i="7" s="1"/>
  <c r="T69" i="7"/>
  <c r="S56" i="7"/>
  <c r="Q77" i="7"/>
  <c r="W74" i="6"/>
  <c r="W78" i="6" s="1"/>
  <c r="Y70" i="6"/>
  <c r="X57" i="6"/>
  <c r="V78" i="6"/>
  <c r="R75" i="5"/>
  <c r="R79" i="5" s="1"/>
  <c r="T71" i="5"/>
  <c r="S58" i="5"/>
  <c r="Q79" i="5"/>
  <c r="R80" i="4"/>
  <c r="S75" i="4"/>
  <c r="S79" i="4" s="1"/>
  <c r="U71" i="4"/>
  <c r="T58" i="4"/>
  <c r="T25" i="1"/>
  <c r="X80" i="3" l="1"/>
  <c r="Y75" i="3"/>
  <c r="Y79" i="3" s="1"/>
  <c r="D73" i="3"/>
  <c r="AA71" i="3"/>
  <c r="Z58" i="3"/>
  <c r="K83" i="16"/>
  <c r="T84" i="19"/>
  <c r="S86" i="19"/>
  <c r="L78" i="16"/>
  <c r="L82" i="16" s="1"/>
  <c r="M59" i="16"/>
  <c r="M73" i="16" s="1"/>
  <c r="Q78" i="7"/>
  <c r="R78" i="7" s="1"/>
  <c r="S73" i="7"/>
  <c r="U69" i="7"/>
  <c r="T56" i="7"/>
  <c r="V79" i="6"/>
  <c r="W79" i="6" s="1"/>
  <c r="X74" i="6"/>
  <c r="X78" i="6" s="1"/>
  <c r="Z70" i="6"/>
  <c r="Y57" i="6"/>
  <c r="Q80" i="5"/>
  <c r="R80" i="5" s="1"/>
  <c r="S75" i="5"/>
  <c r="U71" i="5"/>
  <c r="T58" i="5"/>
  <c r="S80" i="4"/>
  <c r="T75" i="4"/>
  <c r="T79" i="4" s="1"/>
  <c r="V71" i="4"/>
  <c r="U58" i="4"/>
  <c r="D17" i="1"/>
  <c r="D19" i="1"/>
  <c r="D20" i="1"/>
  <c r="D18" i="1"/>
  <c r="Y80" i="3" l="1"/>
  <c r="AB71" i="3"/>
  <c r="AA58" i="3"/>
  <c r="Z75" i="3"/>
  <c r="Z79" i="3" s="1"/>
  <c r="L83" i="16"/>
  <c r="U84" i="19"/>
  <c r="T86" i="19"/>
  <c r="N59" i="16"/>
  <c r="N73" i="16" s="1"/>
  <c r="M78" i="16"/>
  <c r="M82" i="16" s="1"/>
  <c r="F72" i="9"/>
  <c r="T73" i="7"/>
  <c r="T77" i="7" s="1"/>
  <c r="V69" i="7"/>
  <c r="U56" i="7"/>
  <c r="S77" i="7"/>
  <c r="Y74" i="6"/>
  <c r="Y78" i="6" s="1"/>
  <c r="AA70" i="6"/>
  <c r="Z57" i="6"/>
  <c r="X79" i="6"/>
  <c r="T75" i="5"/>
  <c r="T79" i="5" s="1"/>
  <c r="V71" i="5"/>
  <c r="U58" i="5"/>
  <c r="S79" i="5"/>
  <c r="T80" i="4"/>
  <c r="U75" i="4"/>
  <c r="U79" i="4" s="1"/>
  <c r="V58" i="4"/>
  <c r="W71" i="4"/>
  <c r="J60" i="1"/>
  <c r="M60" i="1"/>
  <c r="E60" i="1"/>
  <c r="J25" i="1"/>
  <c r="F2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E15" i="1"/>
  <c r="N78" i="16" l="1"/>
  <c r="N82" i="16" s="1"/>
  <c r="U80" i="4"/>
  <c r="Z80" i="3"/>
  <c r="Y79" i="6"/>
  <c r="AA75" i="3"/>
  <c r="AA79" i="3" s="1"/>
  <c r="AC71" i="3"/>
  <c r="AB58" i="3"/>
  <c r="M83" i="16"/>
  <c r="V84" i="19"/>
  <c r="U86" i="19"/>
  <c r="O59" i="16"/>
  <c r="O73" i="16" s="1"/>
  <c r="E76" i="9"/>
  <c r="E80" i="9" s="1"/>
  <c r="E81" i="9" s="1"/>
  <c r="G72" i="9"/>
  <c r="F59" i="9"/>
  <c r="S78" i="7"/>
  <c r="T78" i="7" s="1"/>
  <c r="U73" i="7"/>
  <c r="W69" i="7"/>
  <c r="V56" i="7"/>
  <c r="Z74" i="6"/>
  <c r="Z78" i="6" s="1"/>
  <c r="AB70" i="6"/>
  <c r="AA57" i="6"/>
  <c r="S80" i="5"/>
  <c r="U75" i="5"/>
  <c r="W71" i="5"/>
  <c r="V58" i="5"/>
  <c r="T80" i="5"/>
  <c r="X71" i="4"/>
  <c r="W58" i="4"/>
  <c r="V75" i="4"/>
  <c r="V79" i="4" s="1"/>
  <c r="D46" i="1"/>
  <c r="D47" i="1"/>
  <c r="D45" i="1"/>
  <c r="D44" i="1"/>
  <c r="D15" i="1"/>
  <c r="D11" i="1"/>
  <c r="D12" i="1"/>
  <c r="D13" i="1"/>
  <c r="D14" i="1"/>
  <c r="D8" i="1"/>
  <c r="D9" i="1"/>
  <c r="D10" i="1"/>
  <c r="Z25" i="1"/>
  <c r="AA25" i="1"/>
  <c r="AB25" i="1"/>
  <c r="AC25" i="1"/>
  <c r="AD25" i="1"/>
  <c r="AE25" i="1"/>
  <c r="AF25" i="1"/>
  <c r="AG25" i="1"/>
  <c r="AH25" i="1"/>
  <c r="AI25" i="1"/>
  <c r="Z58" i="1"/>
  <c r="AA58" i="1"/>
  <c r="AB58" i="1"/>
  <c r="AC58" i="1"/>
  <c r="AD58" i="1"/>
  <c r="AE58" i="1"/>
  <c r="AF58" i="1"/>
  <c r="AG58" i="1"/>
  <c r="AH58" i="1"/>
  <c r="AI58" i="1"/>
  <c r="Z59" i="1"/>
  <c r="AA59" i="1"/>
  <c r="AB59" i="1"/>
  <c r="AC59" i="1"/>
  <c r="AD59" i="1"/>
  <c r="AE59" i="1"/>
  <c r="AF59" i="1"/>
  <c r="AG59" i="1"/>
  <c r="AH59" i="1"/>
  <c r="AI59" i="1"/>
  <c r="Z60" i="1"/>
  <c r="AA60" i="1"/>
  <c r="AB60" i="1"/>
  <c r="AC60" i="1"/>
  <c r="AD60" i="1"/>
  <c r="AE60" i="1"/>
  <c r="AF60" i="1"/>
  <c r="AG60" i="1"/>
  <c r="AH60" i="1"/>
  <c r="AI60" i="1"/>
  <c r="Z61" i="1"/>
  <c r="AA61" i="1"/>
  <c r="AB61" i="1"/>
  <c r="AC61" i="1"/>
  <c r="AD61" i="1"/>
  <c r="AE61" i="1"/>
  <c r="AF61" i="1"/>
  <c r="AG61" i="1"/>
  <c r="AH61" i="1"/>
  <c r="AI61" i="1"/>
  <c r="Z62" i="1"/>
  <c r="AA62" i="1"/>
  <c r="AB62" i="1"/>
  <c r="AC62" i="1"/>
  <c r="AD62" i="1"/>
  <c r="AE62" i="1"/>
  <c r="AF62" i="1"/>
  <c r="AG62" i="1"/>
  <c r="AH62" i="1"/>
  <c r="AI62" i="1"/>
  <c r="Z63" i="1"/>
  <c r="AA63" i="1"/>
  <c r="AB63" i="1"/>
  <c r="AC63" i="1"/>
  <c r="AD63" i="1"/>
  <c r="AE63" i="1"/>
  <c r="AF63" i="1"/>
  <c r="AG63" i="1"/>
  <c r="AH63" i="1"/>
  <c r="AI63" i="1"/>
  <c r="Z64" i="1"/>
  <c r="AA64" i="1"/>
  <c r="AB64" i="1"/>
  <c r="AC64" i="1"/>
  <c r="AD64" i="1"/>
  <c r="AE64" i="1"/>
  <c r="AF64" i="1"/>
  <c r="AG64" i="1"/>
  <c r="AH64" i="1"/>
  <c r="AI64" i="1"/>
  <c r="Z65" i="1"/>
  <c r="AA65" i="1"/>
  <c r="AB65" i="1"/>
  <c r="AC65" i="1"/>
  <c r="AD65" i="1"/>
  <c r="AE65" i="1"/>
  <c r="AF65" i="1"/>
  <c r="AG65" i="1"/>
  <c r="AH65" i="1"/>
  <c r="AI65" i="1"/>
  <c r="Z66" i="1"/>
  <c r="AA66" i="1"/>
  <c r="AB66" i="1"/>
  <c r="AC66" i="1"/>
  <c r="AD66" i="1"/>
  <c r="AE66" i="1"/>
  <c r="AF66" i="1"/>
  <c r="AG66" i="1"/>
  <c r="AH66" i="1"/>
  <c r="AI66" i="1"/>
  <c r="Z67" i="1"/>
  <c r="AA67" i="1"/>
  <c r="AB67" i="1"/>
  <c r="AC67" i="1"/>
  <c r="AD67" i="1"/>
  <c r="AE67" i="1"/>
  <c r="AF67" i="1"/>
  <c r="AG67" i="1"/>
  <c r="AH67" i="1"/>
  <c r="AI67" i="1"/>
  <c r="Z68" i="1"/>
  <c r="AA68" i="1"/>
  <c r="AB68" i="1"/>
  <c r="AC68" i="1"/>
  <c r="AD68" i="1"/>
  <c r="AE68" i="1"/>
  <c r="AF68" i="1"/>
  <c r="AG68" i="1"/>
  <c r="AH68" i="1"/>
  <c r="AI68" i="1"/>
  <c r="Z69" i="1"/>
  <c r="AA69" i="1"/>
  <c r="AB69" i="1"/>
  <c r="AC69" i="1"/>
  <c r="AD69" i="1"/>
  <c r="AE69" i="1"/>
  <c r="AF69" i="1"/>
  <c r="AG69" i="1"/>
  <c r="AH69" i="1"/>
  <c r="AI69" i="1"/>
  <c r="Z77" i="1"/>
  <c r="AA77" i="1"/>
  <c r="AB77" i="1"/>
  <c r="AC77" i="1"/>
  <c r="AD77" i="1"/>
  <c r="AE77" i="1"/>
  <c r="AF77" i="1"/>
  <c r="AG77" i="1"/>
  <c r="AH77" i="1"/>
  <c r="AI77" i="1"/>
  <c r="D49" i="1"/>
  <c r="D48" i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C75" i="1"/>
  <c r="P75" i="1" s="1"/>
  <c r="C76" i="1"/>
  <c r="V76" i="1" s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Y60" i="1"/>
  <c r="X60" i="1"/>
  <c r="W60" i="1"/>
  <c r="V60" i="1"/>
  <c r="U60" i="1"/>
  <c r="T60" i="1"/>
  <c r="S60" i="1"/>
  <c r="R60" i="1"/>
  <c r="Q60" i="1"/>
  <c r="P60" i="1"/>
  <c r="O60" i="1"/>
  <c r="N60" i="1"/>
  <c r="L60" i="1"/>
  <c r="K60" i="1"/>
  <c r="I60" i="1"/>
  <c r="H60" i="1"/>
  <c r="G60" i="1"/>
  <c r="F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69" i="1"/>
  <c r="D68" i="1"/>
  <c r="D67" i="1"/>
  <c r="D66" i="1"/>
  <c r="D65" i="1"/>
  <c r="D64" i="1"/>
  <c r="D62" i="1"/>
  <c r="D29" i="1"/>
  <c r="D61" i="1" s="1"/>
  <c r="D60" i="1"/>
  <c r="D59" i="1"/>
  <c r="Y25" i="1"/>
  <c r="X25" i="1"/>
  <c r="W25" i="1"/>
  <c r="V25" i="1"/>
  <c r="U25" i="1"/>
  <c r="S25" i="1"/>
  <c r="R25" i="1"/>
  <c r="Q25" i="1"/>
  <c r="P25" i="1"/>
  <c r="O25" i="1"/>
  <c r="N25" i="1"/>
  <c r="M25" i="1"/>
  <c r="L25" i="1"/>
  <c r="K25" i="1"/>
  <c r="I25" i="1"/>
  <c r="H25" i="1"/>
  <c r="G25" i="1"/>
  <c r="E25" i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N83" i="16" l="1"/>
  <c r="V80" i="4"/>
  <c r="AA80" i="3"/>
  <c r="D77" i="1"/>
  <c r="AB75" i="3"/>
  <c r="AB79" i="3" s="1"/>
  <c r="AD71" i="3"/>
  <c r="AC58" i="3"/>
  <c r="F57" i="1"/>
  <c r="F74" i="1" s="1"/>
  <c r="W84" i="19"/>
  <c r="W86" i="19" s="1"/>
  <c r="V86" i="19"/>
  <c r="O78" i="16"/>
  <c r="O82" i="16" s="1"/>
  <c r="P59" i="16"/>
  <c r="F76" i="9"/>
  <c r="F80" i="9" s="1"/>
  <c r="F81" i="9" s="1"/>
  <c r="H72" i="9"/>
  <c r="G59" i="9"/>
  <c r="V73" i="7"/>
  <c r="V77" i="7" s="1"/>
  <c r="X69" i="7"/>
  <c r="W56" i="7"/>
  <c r="U77" i="7"/>
  <c r="AA74" i="6"/>
  <c r="AA78" i="6" s="1"/>
  <c r="AC70" i="6"/>
  <c r="AB57" i="6"/>
  <c r="Z79" i="6"/>
  <c r="V75" i="5"/>
  <c r="V79" i="5" s="1"/>
  <c r="X71" i="5"/>
  <c r="W58" i="5"/>
  <c r="U79" i="5"/>
  <c r="W75" i="4"/>
  <c r="W79" i="4" s="1"/>
  <c r="Y71" i="4"/>
  <c r="X58" i="4"/>
  <c r="D25" i="1"/>
  <c r="D57" i="1"/>
  <c r="AA75" i="1"/>
  <c r="AI75" i="1"/>
  <c r="G75" i="1"/>
  <c r="AE76" i="1"/>
  <c r="AG75" i="1"/>
  <c r="AA57" i="1"/>
  <c r="AA74" i="1" s="1"/>
  <c r="AF76" i="1"/>
  <c r="AD76" i="1"/>
  <c r="AF75" i="1"/>
  <c r="Z57" i="1"/>
  <c r="Z74" i="1" s="1"/>
  <c r="Z75" i="1"/>
  <c r="AC76" i="1"/>
  <c r="AE75" i="1"/>
  <c r="AB76" i="1"/>
  <c r="AD75" i="1"/>
  <c r="AI76" i="1"/>
  <c r="AA76" i="1"/>
  <c r="AC75" i="1"/>
  <c r="AE57" i="1"/>
  <c r="AE74" i="1" s="1"/>
  <c r="AG76" i="1"/>
  <c r="AH75" i="1"/>
  <c r="AH76" i="1"/>
  <c r="Z76" i="1"/>
  <c r="AB75" i="1"/>
  <c r="AD57" i="1"/>
  <c r="AD74" i="1" s="1"/>
  <c r="AC57" i="1"/>
  <c r="AC74" i="1" s="1"/>
  <c r="AB57" i="1"/>
  <c r="AB74" i="1" s="1"/>
  <c r="AI57" i="1"/>
  <c r="AI74" i="1" s="1"/>
  <c r="AH57" i="1"/>
  <c r="AH74" i="1" s="1"/>
  <c r="AG57" i="1"/>
  <c r="AG74" i="1" s="1"/>
  <c r="AF57" i="1"/>
  <c r="AF74" i="1" s="1"/>
  <c r="Y76" i="1"/>
  <c r="M76" i="1"/>
  <c r="E76" i="1"/>
  <c r="Q76" i="1"/>
  <c r="F76" i="1"/>
  <c r="H76" i="1"/>
  <c r="I76" i="1"/>
  <c r="N76" i="1"/>
  <c r="T76" i="1"/>
  <c r="X76" i="1"/>
  <c r="G57" i="1"/>
  <c r="G74" i="1" s="1"/>
  <c r="O57" i="1"/>
  <c r="O74" i="1" s="1"/>
  <c r="W57" i="1"/>
  <c r="W74" i="1" s="1"/>
  <c r="H75" i="1"/>
  <c r="J75" i="1"/>
  <c r="R75" i="1"/>
  <c r="T75" i="1"/>
  <c r="U75" i="1"/>
  <c r="P76" i="1"/>
  <c r="U76" i="1"/>
  <c r="L75" i="1"/>
  <c r="V75" i="1"/>
  <c r="M75" i="1"/>
  <c r="W75" i="1"/>
  <c r="S75" i="1"/>
  <c r="N75" i="1"/>
  <c r="X75" i="1"/>
  <c r="E75" i="1"/>
  <c r="O75" i="1"/>
  <c r="F75" i="1"/>
  <c r="M57" i="1"/>
  <c r="M74" i="1" s="1"/>
  <c r="U57" i="1"/>
  <c r="U74" i="1" s="1"/>
  <c r="E57" i="1"/>
  <c r="E74" i="1" s="1"/>
  <c r="H57" i="1"/>
  <c r="H74" i="1" s="1"/>
  <c r="P57" i="1"/>
  <c r="P74" i="1" s="1"/>
  <c r="X57" i="1"/>
  <c r="X74" i="1" s="1"/>
  <c r="I57" i="1"/>
  <c r="I74" i="1" s="1"/>
  <c r="Q57" i="1"/>
  <c r="Q74" i="1" s="1"/>
  <c r="Y57" i="1"/>
  <c r="Y74" i="1" s="1"/>
  <c r="K57" i="1"/>
  <c r="K74" i="1" s="1"/>
  <c r="S57" i="1"/>
  <c r="S74" i="1" s="1"/>
  <c r="J57" i="1"/>
  <c r="J74" i="1" s="1"/>
  <c r="R57" i="1"/>
  <c r="R74" i="1" s="1"/>
  <c r="L57" i="1"/>
  <c r="L74" i="1" s="1"/>
  <c r="T57" i="1"/>
  <c r="T74" i="1" s="1"/>
  <c r="N57" i="1"/>
  <c r="N74" i="1" s="1"/>
  <c r="V57" i="1"/>
  <c r="V74" i="1" s="1"/>
  <c r="G76" i="1"/>
  <c r="O76" i="1"/>
  <c r="W76" i="1"/>
  <c r="I75" i="1"/>
  <c r="Q75" i="1"/>
  <c r="Y75" i="1"/>
  <c r="J76" i="1"/>
  <c r="R76" i="1"/>
  <c r="K76" i="1"/>
  <c r="S76" i="1"/>
  <c r="K75" i="1"/>
  <c r="L76" i="1"/>
  <c r="W80" i="4" l="1"/>
  <c r="AB80" i="3"/>
  <c r="AA79" i="6"/>
  <c r="D75" i="1"/>
  <c r="AC75" i="3"/>
  <c r="AC79" i="3" s="1"/>
  <c r="D76" i="1"/>
  <c r="D74" i="1"/>
  <c r="AE71" i="3"/>
  <c r="AD58" i="3"/>
  <c r="O83" i="16"/>
  <c r="X84" i="19"/>
  <c r="P78" i="16"/>
  <c r="P82" i="16" s="1"/>
  <c r="P73" i="16"/>
  <c r="G76" i="9"/>
  <c r="G80" i="9" s="1"/>
  <c r="G81" i="9" s="1"/>
  <c r="I72" i="9"/>
  <c r="H59" i="9"/>
  <c r="U78" i="7"/>
  <c r="V78" i="7" s="1"/>
  <c r="W73" i="7"/>
  <c r="Y69" i="7"/>
  <c r="X56" i="7"/>
  <c r="AB74" i="6"/>
  <c r="AD70" i="6"/>
  <c r="AC57" i="6"/>
  <c r="U80" i="5"/>
  <c r="W75" i="5"/>
  <c r="Y71" i="5"/>
  <c r="X58" i="5"/>
  <c r="V80" i="5"/>
  <c r="X75" i="4"/>
  <c r="X79" i="4" s="1"/>
  <c r="Z71" i="4"/>
  <c r="Y58" i="4"/>
  <c r="C82" i="1"/>
  <c r="C23" i="1"/>
  <c r="AE78" i="1"/>
  <c r="AA78" i="1"/>
  <c r="Z78" i="1"/>
  <c r="AI78" i="1"/>
  <c r="AB78" i="1"/>
  <c r="AD78" i="1"/>
  <c r="AF78" i="1"/>
  <c r="AH78" i="1"/>
  <c r="AG78" i="1"/>
  <c r="AC78" i="1"/>
  <c r="F78" i="1"/>
  <c r="V78" i="1"/>
  <c r="M78" i="1"/>
  <c r="P78" i="1"/>
  <c r="H78" i="1"/>
  <c r="Y78" i="1"/>
  <c r="D72" i="1"/>
  <c r="T78" i="1"/>
  <c r="J78" i="1"/>
  <c r="N78" i="1"/>
  <c r="R78" i="1"/>
  <c r="G78" i="1"/>
  <c r="U78" i="1"/>
  <c r="K78" i="1"/>
  <c r="I78" i="1"/>
  <c r="O78" i="1"/>
  <c r="L78" i="1"/>
  <c r="X78" i="1"/>
  <c r="W78" i="1"/>
  <c r="Q78" i="1"/>
  <c r="S78" i="1"/>
  <c r="E78" i="1"/>
  <c r="X80" i="4" l="1"/>
  <c r="P83" i="16"/>
  <c r="AC80" i="3"/>
  <c r="D78" i="1"/>
  <c r="AD75" i="3"/>
  <c r="AD79" i="3" s="1"/>
  <c r="AF71" i="3"/>
  <c r="AE58" i="3"/>
  <c r="Y84" i="19"/>
  <c r="X86" i="19"/>
  <c r="H76" i="9"/>
  <c r="H80" i="9" s="1"/>
  <c r="H81" i="9" s="1"/>
  <c r="J72" i="9"/>
  <c r="I59" i="9"/>
  <c r="X73" i="7"/>
  <c r="X77" i="7" s="1"/>
  <c r="Z69" i="7"/>
  <c r="Y56" i="7"/>
  <c r="W77" i="7"/>
  <c r="AC74" i="6"/>
  <c r="AC78" i="6" s="1"/>
  <c r="AE70" i="6"/>
  <c r="AD57" i="6"/>
  <c r="AB78" i="6"/>
  <c r="X75" i="5"/>
  <c r="X79" i="5" s="1"/>
  <c r="Z71" i="5"/>
  <c r="Y58" i="5"/>
  <c r="W79" i="5"/>
  <c r="Y75" i="4"/>
  <c r="Y79" i="4" s="1"/>
  <c r="D73" i="4"/>
  <c r="AA71" i="4"/>
  <c r="Z58" i="4"/>
  <c r="C78" i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Y80" i="4" l="1"/>
  <c r="AD80" i="3"/>
  <c r="AE75" i="3"/>
  <c r="AE79" i="3" s="1"/>
  <c r="AG71" i="3"/>
  <c r="AF58" i="3"/>
  <c r="Z84" i="19"/>
  <c r="Y86" i="19"/>
  <c r="I76" i="9"/>
  <c r="I80" i="9" s="1"/>
  <c r="I81" i="9" s="1"/>
  <c r="K72" i="9"/>
  <c r="J59" i="9"/>
  <c r="W78" i="7"/>
  <c r="X78" i="7" s="1"/>
  <c r="Y73" i="7"/>
  <c r="AA69" i="7"/>
  <c r="Z56" i="7"/>
  <c r="AB79" i="6"/>
  <c r="AC79" i="6" s="1"/>
  <c r="AD74" i="6"/>
  <c r="AD78" i="6" s="1"/>
  <c r="AF70" i="6"/>
  <c r="AE57" i="6"/>
  <c r="W80" i="5"/>
  <c r="X80" i="5" s="1"/>
  <c r="Y75" i="5"/>
  <c r="D73" i="5"/>
  <c r="AA71" i="5"/>
  <c r="Z58" i="5"/>
  <c r="Z75" i="4"/>
  <c r="Z79" i="4" s="1"/>
  <c r="AB71" i="4"/>
  <c r="AA58" i="4"/>
  <c r="Z80" i="4" l="1"/>
  <c r="AE80" i="3"/>
  <c r="AF75" i="3"/>
  <c r="AF79" i="3" s="1"/>
  <c r="AH71" i="3"/>
  <c r="AG58" i="3"/>
  <c r="AA84" i="19"/>
  <c r="Z86" i="19"/>
  <c r="J76" i="9"/>
  <c r="J80" i="9" s="1"/>
  <c r="J81" i="9" s="1"/>
  <c r="L72" i="9"/>
  <c r="K59" i="9"/>
  <c r="Z73" i="7"/>
  <c r="Z77" i="7" s="1"/>
  <c r="AB69" i="7"/>
  <c r="AA56" i="7"/>
  <c r="Y77" i="7"/>
  <c r="AE74" i="6"/>
  <c r="AE78" i="6" s="1"/>
  <c r="AG70" i="6"/>
  <c r="AF57" i="6"/>
  <c r="AD79" i="6"/>
  <c r="Z75" i="5"/>
  <c r="Z79" i="5" s="1"/>
  <c r="AB71" i="5"/>
  <c r="AA58" i="5"/>
  <c r="Y79" i="5"/>
  <c r="AA75" i="4"/>
  <c r="AA79" i="4" s="1"/>
  <c r="AA80" i="4" s="1"/>
  <c r="AC71" i="4"/>
  <c r="AB58" i="4"/>
  <c r="AF80" i="3" l="1"/>
  <c r="AG75" i="3"/>
  <c r="AG79" i="3" s="1"/>
  <c r="AI71" i="3"/>
  <c r="AH58" i="3"/>
  <c r="AE79" i="6"/>
  <c r="AB84" i="19"/>
  <c r="AA86" i="19"/>
  <c r="K76" i="9"/>
  <c r="K80" i="9" s="1"/>
  <c r="K81" i="9" s="1"/>
  <c r="M72" i="9"/>
  <c r="L59" i="9"/>
  <c r="Y78" i="7"/>
  <c r="Z78" i="7" s="1"/>
  <c r="AA73" i="7"/>
  <c r="AC69" i="7"/>
  <c r="AB56" i="7"/>
  <c r="AF74" i="6"/>
  <c r="AF78" i="6" s="1"/>
  <c r="AH70" i="6"/>
  <c r="AG57" i="6"/>
  <c r="Y80" i="5"/>
  <c r="Z80" i="5" s="1"/>
  <c r="AA75" i="5"/>
  <c r="AC71" i="5"/>
  <c r="AB58" i="5"/>
  <c r="AB75" i="4"/>
  <c r="AB79" i="4" s="1"/>
  <c r="AB80" i="4" s="1"/>
  <c r="AD71" i="4"/>
  <c r="AC58" i="4"/>
  <c r="AG80" i="3" l="1"/>
  <c r="AH75" i="3"/>
  <c r="AH79" i="3" s="1"/>
  <c r="AJ71" i="3"/>
  <c r="AI58" i="3"/>
  <c r="AC84" i="19"/>
  <c r="AB86" i="19"/>
  <c r="N72" i="9"/>
  <c r="M59" i="9"/>
  <c r="L76" i="9"/>
  <c r="L80" i="9" s="1"/>
  <c r="L81" i="9" s="1"/>
  <c r="AB73" i="7"/>
  <c r="AB77" i="7" s="1"/>
  <c r="AD69" i="7"/>
  <c r="AC56" i="7"/>
  <c r="AA77" i="7"/>
  <c r="AG74" i="6"/>
  <c r="AG78" i="6" s="1"/>
  <c r="AI70" i="6"/>
  <c r="AH57" i="6"/>
  <c r="AF79" i="6"/>
  <c r="AB75" i="5"/>
  <c r="AB79" i="5" s="1"/>
  <c r="AD71" i="5"/>
  <c r="AC58" i="5"/>
  <c r="AA79" i="5"/>
  <c r="AC75" i="4"/>
  <c r="AC79" i="4" s="1"/>
  <c r="AC80" i="4" s="1"/>
  <c r="AD58" i="4"/>
  <c r="AE71" i="4"/>
  <c r="AH80" i="3" l="1"/>
  <c r="AI75" i="3"/>
  <c r="D75" i="3" s="1"/>
  <c r="D79" i="3" s="1"/>
  <c r="AK71" i="3"/>
  <c r="AJ58" i="3"/>
  <c r="AG79" i="6"/>
  <c r="AD84" i="19"/>
  <c r="AC86" i="19"/>
  <c r="M76" i="9"/>
  <c r="M80" i="9" s="1"/>
  <c r="M81" i="9" s="1"/>
  <c r="O72" i="9"/>
  <c r="N59" i="9"/>
  <c r="AA78" i="7"/>
  <c r="AB78" i="7" s="1"/>
  <c r="AC73" i="7"/>
  <c r="AE69" i="7"/>
  <c r="AD56" i="7"/>
  <c r="AH74" i="6"/>
  <c r="AJ70" i="6"/>
  <c r="AI57" i="6"/>
  <c r="AA80" i="5"/>
  <c r="AB80" i="5" s="1"/>
  <c r="AC75" i="5"/>
  <c r="AE71" i="5"/>
  <c r="AD58" i="5"/>
  <c r="AF71" i="4"/>
  <c r="AE58" i="4"/>
  <c r="AD75" i="4"/>
  <c r="AD79" i="4" s="1"/>
  <c r="AD80" i="4" s="1"/>
  <c r="AI79" i="3" l="1"/>
  <c r="C79" i="3" s="1"/>
  <c r="AJ75" i="3"/>
  <c r="AJ79" i="3" s="1"/>
  <c r="AL71" i="3"/>
  <c r="AK58" i="3"/>
  <c r="AE84" i="19"/>
  <c r="AD86" i="19"/>
  <c r="N76" i="9"/>
  <c r="D76" i="9" s="1"/>
  <c r="D80" i="9" s="1"/>
  <c r="D82" i="9" s="1"/>
  <c r="D74" i="9"/>
  <c r="P72" i="9"/>
  <c r="O59" i="9"/>
  <c r="AD73" i="7"/>
  <c r="AD77" i="7" s="1"/>
  <c r="AF69" i="7"/>
  <c r="AE56" i="7"/>
  <c r="AC77" i="7"/>
  <c r="AI74" i="6"/>
  <c r="AI78" i="6" s="1"/>
  <c r="AK70" i="6"/>
  <c r="AJ57" i="6"/>
  <c r="AH78" i="6"/>
  <c r="AD75" i="5"/>
  <c r="AD79" i="5" s="1"/>
  <c r="AF71" i="5"/>
  <c r="AE58" i="5"/>
  <c r="AC79" i="5"/>
  <c r="AE75" i="4"/>
  <c r="AE79" i="4" s="1"/>
  <c r="AE80" i="4" s="1"/>
  <c r="AG71" i="4"/>
  <c r="AF58" i="4"/>
  <c r="AI80" i="3" l="1"/>
  <c r="AJ80" i="3" s="1"/>
  <c r="AK75" i="3"/>
  <c r="AK79" i="3" s="1"/>
  <c r="AM71" i="3"/>
  <c r="AM58" i="3" s="1"/>
  <c r="AL58" i="3"/>
  <c r="AF84" i="19"/>
  <c r="AE86" i="19"/>
  <c r="Q72" i="9"/>
  <c r="P59" i="9"/>
  <c r="O76" i="9"/>
  <c r="O80" i="9" s="1"/>
  <c r="N80" i="9"/>
  <c r="AC78" i="7"/>
  <c r="AD78" i="7" s="1"/>
  <c r="AE73" i="7"/>
  <c r="AG69" i="7"/>
  <c r="AF56" i="7"/>
  <c r="AH79" i="6"/>
  <c r="AI79" i="6" s="1"/>
  <c r="AJ74" i="6"/>
  <c r="AL70" i="6"/>
  <c r="AL57" i="6" s="1"/>
  <c r="AK57" i="6"/>
  <c r="AC80" i="5"/>
  <c r="AD80" i="5" s="1"/>
  <c r="AE75" i="5"/>
  <c r="AG71" i="5"/>
  <c r="AF58" i="5"/>
  <c r="AF75" i="4"/>
  <c r="AF79" i="4" s="1"/>
  <c r="AF80" i="4" s="1"/>
  <c r="AH71" i="4"/>
  <c r="AG58" i="4"/>
  <c r="AK80" i="3" l="1"/>
  <c r="AL75" i="3"/>
  <c r="AL79" i="3" s="1"/>
  <c r="AM75" i="3"/>
  <c r="AM79" i="3" s="1"/>
  <c r="AG84" i="19"/>
  <c r="AF86" i="19"/>
  <c r="N81" i="9"/>
  <c r="O81" i="9" s="1"/>
  <c r="C80" i="9"/>
  <c r="P76" i="9"/>
  <c r="P80" i="9" s="1"/>
  <c r="R72" i="9"/>
  <c r="Q59" i="9"/>
  <c r="AF73" i="7"/>
  <c r="AF77" i="7" s="1"/>
  <c r="AH69" i="7"/>
  <c r="AG56" i="7"/>
  <c r="AE77" i="7"/>
  <c r="AK74" i="6"/>
  <c r="AK78" i="6" s="1"/>
  <c r="D72" i="6"/>
  <c r="AL74" i="6"/>
  <c r="AL78" i="6" s="1"/>
  <c r="AJ78" i="6"/>
  <c r="AJ79" i="6" s="1"/>
  <c r="AF75" i="5"/>
  <c r="AF79" i="5" s="1"/>
  <c r="AH71" i="5"/>
  <c r="AG58" i="5"/>
  <c r="AE79" i="5"/>
  <c r="AI71" i="4"/>
  <c r="AH58" i="4"/>
  <c r="AG75" i="4"/>
  <c r="AG79" i="4" s="1"/>
  <c r="AG80" i="4" s="1"/>
  <c r="AL80" i="3" l="1"/>
  <c r="AM80" i="3" s="1"/>
  <c r="D74" i="6"/>
  <c r="D78" i="6" s="1"/>
  <c r="D80" i="6" s="1"/>
  <c r="AK79" i="6"/>
  <c r="AL79" i="6" s="1"/>
  <c r="C78" i="6"/>
  <c r="AH84" i="19"/>
  <c r="AG86" i="19"/>
  <c r="S72" i="9"/>
  <c r="R59" i="9"/>
  <c r="Q76" i="9"/>
  <c r="Q80" i="9" s="1"/>
  <c r="P81" i="9"/>
  <c r="AE78" i="7"/>
  <c r="AF78" i="7" s="1"/>
  <c r="AG73" i="7"/>
  <c r="AI69" i="7"/>
  <c r="AH56" i="7"/>
  <c r="AE80" i="5"/>
  <c r="AF80" i="5" s="1"/>
  <c r="AG75" i="5"/>
  <c r="AI71" i="5"/>
  <c r="AH58" i="5"/>
  <c r="AH75" i="4"/>
  <c r="AH79" i="4" s="1"/>
  <c r="AH80" i="4" s="1"/>
  <c r="AJ71" i="4"/>
  <c r="AI58" i="4"/>
  <c r="AI84" i="19" l="1"/>
  <c r="AH86" i="19"/>
  <c r="Q81" i="9"/>
  <c r="R76" i="9"/>
  <c r="R80" i="9" s="1"/>
  <c r="T72" i="9"/>
  <c r="S59" i="9"/>
  <c r="AH73" i="7"/>
  <c r="AH77" i="7" s="1"/>
  <c r="AJ69" i="7"/>
  <c r="AI56" i="7"/>
  <c r="AG77" i="7"/>
  <c r="AH75" i="5"/>
  <c r="AH79" i="5" s="1"/>
  <c r="AJ71" i="5"/>
  <c r="AI58" i="5"/>
  <c r="AG79" i="5"/>
  <c r="AI75" i="4"/>
  <c r="D75" i="4" s="1"/>
  <c r="D79" i="4" s="1"/>
  <c r="AK71" i="4"/>
  <c r="AJ58" i="4"/>
  <c r="R81" i="9" l="1"/>
  <c r="AJ84" i="19"/>
  <c r="AI86" i="19"/>
  <c r="T59" i="9"/>
  <c r="T76" i="9" s="1"/>
  <c r="T80" i="9" s="1"/>
  <c r="U72" i="9"/>
  <c r="S76" i="9"/>
  <c r="S80" i="9" s="1"/>
  <c r="AG78" i="7"/>
  <c r="AH78" i="7" s="1"/>
  <c r="AI73" i="7"/>
  <c r="AK69" i="7"/>
  <c r="AJ56" i="7"/>
  <c r="AG80" i="5"/>
  <c r="AH80" i="5" s="1"/>
  <c r="AI75" i="5"/>
  <c r="AK71" i="5"/>
  <c r="AJ58" i="5"/>
  <c r="AJ75" i="4"/>
  <c r="AJ79" i="4" s="1"/>
  <c r="AL71" i="4"/>
  <c r="AK58" i="4"/>
  <c r="AI79" i="4"/>
  <c r="S81" i="9" l="1"/>
  <c r="T81" i="9" s="1"/>
  <c r="AK84" i="19"/>
  <c r="AJ86" i="19"/>
  <c r="C82" i="16"/>
  <c r="V72" i="9"/>
  <c r="U59" i="9"/>
  <c r="U76" i="9" s="1"/>
  <c r="U80" i="9" s="1"/>
  <c r="AJ73" i="7"/>
  <c r="AJ77" i="7" s="1"/>
  <c r="AL69" i="7"/>
  <c r="AK56" i="7"/>
  <c r="AI77" i="7"/>
  <c r="AJ75" i="5"/>
  <c r="AJ79" i="5" s="1"/>
  <c r="AL71" i="5"/>
  <c r="AK58" i="5"/>
  <c r="D75" i="5"/>
  <c r="D79" i="5" s="1"/>
  <c r="AI79" i="5"/>
  <c r="AK75" i="4"/>
  <c r="AK79" i="4" s="1"/>
  <c r="AI80" i="4"/>
  <c r="AJ80" i="4" s="1"/>
  <c r="C79" i="4"/>
  <c r="AL58" i="4"/>
  <c r="AM71" i="4"/>
  <c r="AM58" i="4" s="1"/>
  <c r="AL84" i="19" l="1"/>
  <c r="AK86" i="19"/>
  <c r="D76" i="16"/>
  <c r="D78" i="16"/>
  <c r="D82" i="16" s="1"/>
  <c r="D84" i="16" s="1"/>
  <c r="U81" i="9"/>
  <c r="W72" i="9"/>
  <c r="V59" i="9"/>
  <c r="V76" i="9" s="1"/>
  <c r="V80" i="9" s="1"/>
  <c r="AL56" i="7"/>
  <c r="AL73" i="7" s="1"/>
  <c r="AL77" i="7" s="1"/>
  <c r="AM69" i="7"/>
  <c r="AI78" i="7"/>
  <c r="AJ78" i="7" s="1"/>
  <c r="AK73" i="7"/>
  <c r="D71" i="7"/>
  <c r="AI80" i="5"/>
  <c r="AJ80" i="5" s="1"/>
  <c r="C79" i="5"/>
  <c r="AK75" i="5"/>
  <c r="AK79" i="5" s="1"/>
  <c r="AM71" i="5"/>
  <c r="AL58" i="5"/>
  <c r="AM75" i="4"/>
  <c r="AM79" i="4" s="1"/>
  <c r="AL75" i="4"/>
  <c r="AL79" i="4" s="1"/>
  <c r="AK80" i="4"/>
  <c r="AM56" i="7" l="1"/>
  <c r="AM73" i="7" s="1"/>
  <c r="AM77" i="7" s="1"/>
  <c r="AN69" i="7"/>
  <c r="AM84" i="19"/>
  <c r="AL86" i="19"/>
  <c r="V81" i="9"/>
  <c r="X72" i="9"/>
  <c r="W59" i="9"/>
  <c r="D73" i="7"/>
  <c r="D77" i="7" s="1"/>
  <c r="D79" i="7" s="1"/>
  <c r="AK77" i="7"/>
  <c r="AM58" i="5"/>
  <c r="AM75" i="5" s="1"/>
  <c r="AM79" i="5" s="1"/>
  <c r="AN71" i="5"/>
  <c r="AL75" i="5"/>
  <c r="AL79" i="5" s="1"/>
  <c r="AK80" i="5"/>
  <c r="AL80" i="4"/>
  <c r="AM80" i="4" s="1"/>
  <c r="AO69" i="7" l="1"/>
  <c r="AN56" i="7"/>
  <c r="AN73" i="7" s="1"/>
  <c r="AN77" i="7" s="1"/>
  <c r="AN84" i="19"/>
  <c r="AM86" i="19"/>
  <c r="W76" i="9"/>
  <c r="W80" i="9" s="1"/>
  <c r="W81" i="9" s="1"/>
  <c r="Y72" i="9"/>
  <c r="X59" i="9"/>
  <c r="X76" i="9" s="1"/>
  <c r="X80" i="9" s="1"/>
  <c r="AK78" i="7"/>
  <c r="AL78" i="7" s="1"/>
  <c r="AM78" i="7" s="1"/>
  <c r="C77" i="7"/>
  <c r="AO71" i="5"/>
  <c r="AN58" i="5"/>
  <c r="AL80" i="5"/>
  <c r="AM80" i="5" s="1"/>
  <c r="AN78" i="7" l="1"/>
  <c r="AP69" i="7"/>
  <c r="AO56" i="7"/>
  <c r="AO73" i="7" s="1"/>
  <c r="AO77" i="7" s="1"/>
  <c r="AN86" i="19"/>
  <c r="X81" i="9"/>
  <c r="Z72" i="9"/>
  <c r="Y59" i="9"/>
  <c r="AN75" i="5"/>
  <c r="AN79" i="5" s="1"/>
  <c r="AN80" i="5" s="1"/>
  <c r="AP71" i="5"/>
  <c r="AP58" i="5" s="1"/>
  <c r="AO58" i="5"/>
  <c r="AO78" i="7" l="1"/>
  <c r="AQ69" i="7"/>
  <c r="AP56" i="7"/>
  <c r="AP73" i="7" s="1"/>
  <c r="AP77" i="7" s="1"/>
  <c r="Y76" i="9"/>
  <c r="Y80" i="9" s="1"/>
  <c r="Y81" i="9" s="1"/>
  <c r="AA72" i="9"/>
  <c r="Z59" i="9"/>
  <c r="Z76" i="9" s="1"/>
  <c r="Z80" i="9" s="1"/>
  <c r="AO75" i="5"/>
  <c r="AO79" i="5" s="1"/>
  <c r="AO80" i="5" s="1"/>
  <c r="AP75" i="5"/>
  <c r="AP79" i="5" s="1"/>
  <c r="AP78" i="7" l="1"/>
  <c r="AP80" i="5"/>
  <c r="AR69" i="7"/>
  <c r="AR56" i="7" s="1"/>
  <c r="AR73" i="7" s="1"/>
  <c r="AR77" i="7" s="1"/>
  <c r="AQ56" i="7"/>
  <c r="AQ73" i="7" s="1"/>
  <c r="AQ77" i="7" s="1"/>
  <c r="Z81" i="9"/>
  <c r="AB72" i="9"/>
  <c r="AA59" i="9"/>
  <c r="AA76" i="9" s="1"/>
  <c r="AA80" i="9" s="1"/>
  <c r="AQ78" i="7" l="1"/>
  <c r="AR78" i="7" s="1"/>
  <c r="AA81" i="9"/>
  <c r="AC72" i="9"/>
  <c r="AB59" i="9"/>
  <c r="AB76" i="9" s="1"/>
  <c r="AB80" i="9" s="1"/>
  <c r="AB81" i="9" l="1"/>
  <c r="AD72" i="9"/>
  <c r="AC59" i="9"/>
  <c r="AC76" i="9" s="1"/>
  <c r="AC80" i="9" s="1"/>
  <c r="AC81" i="9" l="1"/>
  <c r="AE72" i="9"/>
  <c r="AD59" i="9"/>
  <c r="AD76" i="9" s="1"/>
  <c r="AD80" i="9" s="1"/>
  <c r="AD81" i="9" l="1"/>
  <c r="AF72" i="9"/>
  <c r="AE59" i="9"/>
  <c r="AE76" i="9" s="1"/>
  <c r="AE80" i="9" s="1"/>
  <c r="AE81" i="9" l="1"/>
  <c r="AF59" i="9"/>
  <c r="AF76" i="9" s="1"/>
  <c r="AF80" i="9" s="1"/>
  <c r="AG72" i="9"/>
  <c r="AF81" i="9" l="1"/>
  <c r="AH72" i="9"/>
  <c r="AG59" i="9"/>
  <c r="AG76" i="9" s="1"/>
  <c r="AG80" i="9" s="1"/>
  <c r="AG81" i="9" l="1"/>
  <c r="AI72" i="9"/>
  <c r="AH59" i="9"/>
  <c r="AH76" i="9" l="1"/>
  <c r="AH80" i="9" s="1"/>
  <c r="AH81" i="9" s="1"/>
  <c r="AJ72" i="9"/>
  <c r="AI59" i="9"/>
  <c r="AI76" i="9" s="1"/>
  <c r="AI80" i="9" s="1"/>
  <c r="AJ59" i="9" l="1"/>
  <c r="AK72" i="9"/>
  <c r="AI81" i="9"/>
  <c r="AL72" i="9" l="1"/>
  <c r="AK59" i="9"/>
  <c r="AJ76" i="9"/>
  <c r="AJ80" i="9" s="1"/>
  <c r="AJ81" i="9" s="1"/>
  <c r="AK76" i="9" l="1"/>
  <c r="AK80" i="9" s="1"/>
  <c r="AK81" i="9" s="1"/>
  <c r="AM72" i="9"/>
  <c r="AL59" i="9"/>
  <c r="AL76" i="9" l="1"/>
  <c r="AL80" i="9" s="1"/>
  <c r="AL81" i="9" s="1"/>
  <c r="AN72" i="9"/>
  <c r="AM59" i="9"/>
  <c r="AM76" i="9" l="1"/>
  <c r="AM80" i="9" s="1"/>
  <c r="AM81" i="9" s="1"/>
  <c r="AO72" i="9"/>
  <c r="AN59" i="9"/>
  <c r="AN76" i="9" l="1"/>
  <c r="AN80" i="9" s="1"/>
  <c r="AN81" i="9" s="1"/>
  <c r="AP72" i="9"/>
  <c r="AO59" i="9"/>
  <c r="AO76" i="9" s="1"/>
  <c r="AO80" i="9" s="1"/>
  <c r="AO81" i="9" l="1"/>
  <c r="AQ72" i="9"/>
  <c r="AP59" i="9"/>
  <c r="AP76" i="9" l="1"/>
  <c r="AP80" i="9" s="1"/>
  <c r="AP81" i="9" s="1"/>
  <c r="AR72" i="9"/>
  <c r="AR59" i="9" s="1"/>
  <c r="AR76" i="9" s="1"/>
  <c r="AR80" i="9" s="1"/>
  <c r="AQ59" i="9"/>
  <c r="AQ76" i="9" l="1"/>
  <c r="AQ80" i="9" s="1"/>
  <c r="AQ81" i="9" s="1"/>
  <c r="AR81" i="9" s="1"/>
  <c r="D26" i="26"/>
  <c r="D44" i="26" s="1"/>
  <c r="AD39" i="26"/>
  <c r="AD44" i="26"/>
  <c r="D39" i="26" l="1"/>
  <c r="C24" i="26"/>
  <c r="C84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tc={070514CB-9F02-4634-A868-18F0704F4D04}</author>
    <author>tc={065F62FF-57F2-42E4-AFCB-B38F0286B8A1}</author>
    <author>tc={4B86C458-D18F-4DF0-932E-331D1E453DE5}</author>
  </authors>
  <commentList>
    <comment ref="B44" authorId="0" shapeId="0" xr:uid="{070514CB-9F02-4634-A868-18F0704F4D04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  <comment ref="E48" authorId="1" shapeId="0" xr:uid="{065F62FF-57F2-42E4-AFCB-B38F0286B8A1}">
      <text>
        <t>[Threaded comment]
Your version of Excel allows you to read this threaded comment; however, any edits to it will get removed if the file is opened in a newer version of Excel. Learn more: https://go.microsoft.com/fwlink/?linkid=870924
Comment:
    @Sindre Bertheussen @Torgeir Mannvik fyller dere ut tall for ensilasje</t>
      </text>
    </comment>
    <comment ref="U55" authorId="2" shapeId="0" xr:uid="{4B86C458-D18F-4DF0-932E-331D1E453D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revet stb bruk.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tc={2FECA045-7D88-47A4-AF60-D196FE3286B0}</author>
    <author>tc={55887775-356C-4B9E-9E24-65ECAF9DE8D7}</author>
    <author>tc={77EC5C2F-B4B2-45BC-97EE-A92DC6CA5ED0}</author>
  </authors>
  <commentList>
    <comment ref="B43" authorId="0" shapeId="0" xr:uid="{2FECA045-7D88-47A4-AF60-D196FE32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  <comment ref="E47" authorId="1" shapeId="0" xr:uid="{55887775-356C-4B9E-9E24-65ECAF9DE8D7}">
      <text>
        <t>[Threaded comment]
Your version of Excel allows you to read this threaded comment; however, any edits to it will get removed if the file is opened in a newer version of Excel. Learn more: https://go.microsoft.com/fwlink/?linkid=870924
Comment:
    @Fabrikk Breidtind @Breidtind Kan dere fylle inn tall for ensilasje</t>
      </text>
    </comment>
    <comment ref="U54" authorId="2" shapeId="0" xr:uid="{77EC5C2F-B4B2-45BC-97EE-A92DC6CA5E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revet stb bruk.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tc={CEC2D757-A6F8-41EE-8BAA-3947ABD3FD39}</author>
  </authors>
  <commentList>
    <comment ref="B45" authorId="0" shapeId="0" xr:uid="{CEC2D757-A6F8-41EE-8BAA-3947ABD3FD39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tc={8E7ADBCB-9420-446C-88DE-4F71DC4A0BA1}</author>
  </authors>
  <commentList>
    <comment ref="B45" authorId="0" shapeId="0" xr:uid="{8E7ADBCB-9420-446C-88DE-4F71DC4A0BA1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tc={8BFB58D3-90E5-4861-BFCC-ADB4BDEF4DF4}</author>
  </authors>
  <commentList>
    <comment ref="B45" authorId="0" shapeId="0" xr:uid="{8BFB58D3-90E5-4861-BFCC-ADB4BDEF4DF4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tc={FC43F9C8-D57F-4CAB-ABD7-C7DACEAAF269}</author>
  </authors>
  <commentList>
    <comment ref="B44" authorId="0" shapeId="0" xr:uid="{FC43F9C8-D57F-4CAB-ABD7-C7DACEAAF269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tc={3C593A1E-15A9-4E36-BAA2-C8E65D8BABB0}</author>
  </authors>
  <commentList>
    <comment ref="B43" authorId="0" shapeId="0" xr:uid="{3C593A1E-15A9-4E36-BAA2-C8E65D8BABB0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tc={4B6F973E-0081-418C-9CA9-73BA6827403A}</author>
  </authors>
  <commentList>
    <comment ref="B46" authorId="0" shapeId="0" xr:uid="{4B6F973E-0081-418C-9CA9-73BA6827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tc={F86A0896-90F9-4184-BC82-E477A2A7A990}</author>
  </authors>
  <commentList>
    <comment ref="B46" authorId="0" shapeId="0" xr:uid="{F86A0896-90F9-4184-BC82-E477A2A7A990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tc={9DD83204-2189-4046-B9D1-C2C9E66A90E8}</author>
  </authors>
  <commentList>
    <comment ref="B46" authorId="0" shapeId="0" xr:uid="{9DD83204-2189-4046-B9D1-C2C9E66A90E8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tc={859B5AE5-8FD8-4449-B07E-79947E049D47}</author>
  </authors>
  <commentList>
    <comment ref="B46" authorId="0" shapeId="0" xr:uid="{859B5AE5-8FD8-4449-B07E-79947E049D47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tc={75FE0E05-C365-4D45-985A-42F43051B55C}</author>
  </authors>
  <commentList>
    <comment ref="B46" authorId="0" shapeId="0" xr:uid="{75FE0E05-C365-4D45-985A-42F43051B55C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tc={EC0B1857-0E1D-4B5F-9E1D-CEB6F3CFD2EA}</author>
  </authors>
  <commentList>
    <comment ref="B46" authorId="0" shapeId="0" xr:uid="{EC0B1857-0E1D-4B5F-9E1D-CEB6F3CFD2EA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tc={026266CE-F4C3-4044-9EAC-19161725F0E2}</author>
  </authors>
  <commentList>
    <comment ref="B46" authorId="0" shapeId="0" xr:uid="{026266CE-F4C3-4044-9EAC-19161725F0E2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tc={F312C8ED-ECEF-4F21-9124-F336CA4CC880}</author>
  </authors>
  <commentList>
    <comment ref="B47" authorId="0" shapeId="0" xr:uid="{F312C8ED-ECEF-4F21-9124-F336CA4CC880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tc={0A4976E5-B326-4442-9FDC-271645CAAF5A}</author>
    <author>tc={AC7470BB-5B10-4801-AADC-89B1FCA9ABE3}</author>
  </authors>
  <commentList>
    <comment ref="F42" authorId="0" shapeId="0" xr:uid="{0A4976E5-B326-4442-9FDC-271645CAAF5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@Maskin Breidtind @Breidtind  husk å fylle ut bunkersforbruk😊
Reply:
    Ja, beklager, det var en forglemmelse. 🙂</t>
      </text>
    </comment>
    <comment ref="B47" authorId="1" shapeId="0" xr:uid="{AC7470BB-5B10-4801-AADC-89B1FCA9ABE3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tc={71B7D6A9-4CE6-48B0-8AB6-C6121AC47038}</author>
  </authors>
  <commentList>
    <comment ref="B48" authorId="0" shapeId="0" xr:uid="{71B7D6A9-4CE6-48B0-8AB6-C6121AC47038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tc={714DCACD-642A-41B4-B4E3-3602A0141E86}</author>
  </authors>
  <commentList>
    <comment ref="B48" authorId="0" shapeId="0" xr:uid="{714DCACD-642A-41B4-B4E3-3602A0141E86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tc={5C890DC0-635A-4800-88C6-CB95B6AEC054}</author>
  </authors>
  <commentList>
    <comment ref="B46" authorId="0" shapeId="0" xr:uid="{5C890DC0-635A-4800-88C6-CB95B6AEC054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tc={27DB72EF-F604-4F39-8D28-7EFF9742409E}</author>
  </authors>
  <commentList>
    <comment ref="B46" authorId="0" shapeId="0" xr:uid="{27DB72EF-F604-4F39-8D28-7EFF9742409E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tc={A52D6FEC-90FC-4DDE-A91F-431AFC42D2BF}</author>
  </authors>
  <commentList>
    <comment ref="B46" authorId="0" shapeId="0" xr:uid="{A52D6FEC-90FC-4DDE-A91F-431AFC42D2BF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tc={7259409B-B15B-4CEE-9275-58F6881E8050}</author>
  </authors>
  <commentList>
    <comment ref="B46" authorId="0" shapeId="0" xr:uid="{7259409B-B15B-4CEE-9275-58F6881E8050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tc={2AC2DCB3-7C98-464C-B452-93EAD38D9C85}</author>
  </authors>
  <commentList>
    <comment ref="B46" authorId="0" shapeId="0" xr:uid="{2AC2DCB3-7C98-464C-B452-93EAD38D9C85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tc={C101F8CD-E174-47C4-8943-87396FC44C3D}</author>
    <author>tc={F76114BF-89DB-463A-B15E-21C888B4DF87}</author>
  </authors>
  <commentList>
    <comment ref="E42" authorId="0" shapeId="0" xr:uid="{C101F8CD-E174-47C4-8943-87396FC44C3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@Maskin Breidtind kan dere fylle inn forbruk for 03.04</t>
      </text>
    </comment>
    <comment ref="B47" authorId="1" shapeId="0" xr:uid="{F76114BF-89DB-463A-B15E-21C888B4DF87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tc={BD5682C6-1BC4-42DB-BABC-F51502F1254F}</author>
    <author>tc={5D87134A-A4BF-4080-918F-7AE00760A532}</author>
  </authors>
  <commentList>
    <comment ref="AN43" authorId="0" shapeId="0" xr:uid="{BD5682C6-1BC4-42DB-BABC-F51502F1254F}">
      <text>
        <t>[Threaded comment]
Your version of Excel allows you to read this threaded comment; however, any edits to it will get removed if the file is opened in a newer version of Excel. Learn more: https://go.microsoft.com/fwlink/?linkid=870924
Comment:
    @Maskin Breidtind Hei. Har dere mulighet for å finne forbruket for 12.6?</t>
      </text>
    </comment>
    <comment ref="B48" authorId="1" shapeId="0" xr:uid="{5D87134A-A4BF-4080-918F-7AE00760A532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tc={410EE2B9-7AD5-4798-8943-38A986E858B2}</author>
  </authors>
  <commentList>
    <comment ref="B46" authorId="0" shapeId="0" xr:uid="{410EE2B9-7AD5-4798-8943-38A986E858B2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tc={5D43BAD1-71A2-4154-B61A-B7F140F5B019}</author>
  </authors>
  <commentList>
    <comment ref="B46" authorId="0" shapeId="0" xr:uid="{5D43BAD1-71A2-4154-B61A-B7F140F5B019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tc={14122A12-BEFC-46D0-BFE4-80D0560CCB6C}</author>
  </authors>
  <commentList>
    <comment ref="B46" authorId="0" shapeId="0" xr:uid="{14122A12-BEFC-46D0-BFE4-80D0560CCB6C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tc={86E1BA3C-6917-49F6-9B7D-03CEA7B65063}</author>
  </authors>
  <commentList>
    <comment ref="B46" authorId="0" shapeId="0" xr:uid="{86E1BA3C-6917-49F6-9B7D-03CEA7B65063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tc={5E3C7C0E-681D-4CEB-9710-12261B0E0F99}</author>
  </authors>
  <commentList>
    <comment ref="B46" authorId="0" shapeId="0" xr:uid="{5E3C7C0E-681D-4CEB-9710-12261B0E0F99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tc={3C8B0FD0-15D0-4CA0-80BE-D6430FA3CD56}</author>
    <author>tc={9A437748-F43E-4F35-8AA9-3179A686CD24}</author>
  </authors>
  <commentList>
    <comment ref="AH41" authorId="0" shapeId="0" xr:uid="{3C8B0FD0-15D0-4CA0-80BE-D6430FA3CD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@Izvor Radovic  </t>
      </text>
    </comment>
    <comment ref="B46" authorId="1" shapeId="0" xr:uid="{9A437748-F43E-4F35-8AA9-3179A686CD24}">
      <text>
        <t>[Threaded comment]
Your version of Excel allows you to read this threaded comment; however, any edits to it will get removed if the file is opened in a newer version of Excel. Learn more: https://go.microsoft.com/fwlink/?linkid=870924
Comment:
    Hvor mange timer har man ikke produsert og hva skyldes det
Reply:
    Er alt dette for å lage statestikk til andre?
Thomas
Reply:
    @det er til internt bruk. Dokumentet kan deles med Fabrikk og Maskin, så kan de fylle ut data der i fra.</t>
      </text>
    </comment>
  </commentList>
</comments>
</file>

<file path=xl/sharedStrings.xml><?xml version="1.0" encoding="utf-8"?>
<sst xmlns="http://schemas.openxmlformats.org/spreadsheetml/2006/main" count="10694" uniqueCount="582">
  <si>
    <t>Navn</t>
  </si>
  <si>
    <t>"Breidtind"</t>
  </si>
  <si>
    <t>Turnr</t>
  </si>
  <si>
    <t>Tur start</t>
  </si>
  <si>
    <t>Tur slutt</t>
  </si>
  <si>
    <t>Aktivitet</t>
  </si>
  <si>
    <t>Totalt</t>
  </si>
  <si>
    <t>Fiske</t>
  </si>
  <si>
    <t>timer</t>
  </si>
  <si>
    <t>Seiling</t>
  </si>
  <si>
    <t>Teknisk (feil, problem)</t>
  </si>
  <si>
    <t>Vasking</t>
  </si>
  <si>
    <t>Lossing</t>
  </si>
  <si>
    <t>Bunkring</t>
  </si>
  <si>
    <t>Annet</t>
  </si>
  <si>
    <t>SUM</t>
  </si>
  <si>
    <t>Felt/område</t>
  </si>
  <si>
    <t>Mørekysten</t>
  </si>
  <si>
    <t>mørekysten</t>
  </si>
  <si>
    <t>breidsundet</t>
  </si>
  <si>
    <t>seilas på leia nordover</t>
  </si>
  <si>
    <t>fugeløybanken</t>
  </si>
  <si>
    <t>tromsøflaket</t>
  </si>
  <si>
    <t>Vestkant tromsøflaket</t>
  </si>
  <si>
    <t>Vestkant Tromsøflaket</t>
  </si>
  <si>
    <t>Vest kanten av tromsøflaket</t>
  </si>
  <si>
    <t>Vestkanten av tromsøflaket</t>
  </si>
  <si>
    <t>vest kanten av Tromsøflaket</t>
  </si>
  <si>
    <t>Vest av tromsø flaket</t>
  </si>
  <si>
    <t>vest av tromsøflaket</t>
  </si>
  <si>
    <t>Fugeløybanken</t>
  </si>
  <si>
    <t>Tauetimer</t>
  </si>
  <si>
    <t>Timer</t>
  </si>
  <si>
    <t>15,5</t>
  </si>
  <si>
    <t>20,5</t>
  </si>
  <si>
    <t>Hal</t>
  </si>
  <si>
    <t>Antall</t>
  </si>
  <si>
    <t>Bruk (630/550) (eks 2xAlfredo)</t>
  </si>
  <si>
    <t>Type x antall</t>
  </si>
  <si>
    <t>1*630</t>
  </si>
  <si>
    <t>2*630</t>
  </si>
  <si>
    <t>Sjøtemperatur</t>
  </si>
  <si>
    <t>Grader</t>
  </si>
  <si>
    <t>Fangst pr tauetime kg</t>
  </si>
  <si>
    <t>efangst</t>
  </si>
  <si>
    <t>Fangst total(produktvekt)</t>
  </si>
  <si>
    <t>(autosummering)</t>
  </si>
  <si>
    <t>Torsk</t>
  </si>
  <si>
    <t>kg</t>
  </si>
  <si>
    <t>Hyse</t>
  </si>
  <si>
    <t>Sei N</t>
  </si>
  <si>
    <t>Sei S</t>
  </si>
  <si>
    <t>Uer rund</t>
  </si>
  <si>
    <t>Uer j/c</t>
  </si>
  <si>
    <t>Uer hoder</t>
  </si>
  <si>
    <t>Blåkveite</t>
  </si>
  <si>
    <t>Blåkveite hoder</t>
  </si>
  <si>
    <t>Reke</t>
  </si>
  <si>
    <t>Reke kok</t>
  </si>
  <si>
    <t>Bifangst/Annet</t>
  </si>
  <si>
    <t>Maskin</t>
  </si>
  <si>
    <t>Bunkersforbruk</t>
  </si>
  <si>
    <t>ltr</t>
  </si>
  <si>
    <t>Smørolje forbruk</t>
  </si>
  <si>
    <t>Fabrikk</t>
  </si>
  <si>
    <t>Timer uten produksjon, totalt</t>
  </si>
  <si>
    <t>Mangel på fisk</t>
  </si>
  <si>
    <t>Tekniske problem</t>
  </si>
  <si>
    <t>Andre årsaker</t>
  </si>
  <si>
    <t>Ensilasje, råstoff</t>
  </si>
  <si>
    <t>Ensilasje, syreforbruk</t>
  </si>
  <si>
    <t>Kommentarer*</t>
  </si>
  <si>
    <t>Hendelser/Avvik:</t>
  </si>
  <si>
    <t>(overskrift)</t>
  </si>
  <si>
    <t>HMS</t>
  </si>
  <si>
    <t>kommentar</t>
  </si>
  <si>
    <t>Produksjon</t>
  </si>
  <si>
    <t>Justering av El-bedøver</t>
  </si>
  <si>
    <t>Factory pump ensilage FO tripper, Tilbakeslagventiler bilge pump knekt 2 plasser</t>
  </si>
  <si>
    <t>Knust belte 118D</t>
  </si>
  <si>
    <t>S.tb lensepumpe problem. Ensilage pumpe problem</t>
  </si>
  <si>
    <t>Knekt aksling blokkband. Nødstopper slår ut fabrikk.</t>
  </si>
  <si>
    <t>Drift/fartøy</t>
  </si>
  <si>
    <t>Estimert fangstverdi</t>
  </si>
  <si>
    <t>kr</t>
  </si>
  <si>
    <t>Ensilasje</t>
  </si>
  <si>
    <t>Snittinntekt pr dag</t>
  </si>
  <si>
    <t>Lott/hyre</t>
  </si>
  <si>
    <t>Est. vedlikehold pr dag</t>
  </si>
  <si>
    <t>Est. "andre kostnader" pr dag</t>
  </si>
  <si>
    <t xml:space="preserve">Bunkers </t>
  </si>
  <si>
    <t>Est. Driftsres. f. avskrivninger</t>
  </si>
  <si>
    <t>Akkumulert</t>
  </si>
  <si>
    <t>Bunkers pr kg produkt</t>
  </si>
  <si>
    <t>Snittpriser 14/02/22 - 20/02/22</t>
  </si>
  <si>
    <t>NR hovedarter</t>
  </si>
  <si>
    <t>Størrelse</t>
  </si>
  <si>
    <t>Tilstand</t>
  </si>
  <si>
    <t>Kvalitet</t>
  </si>
  <si>
    <t>Kvantum</t>
  </si>
  <si>
    <t>Snittpris</t>
  </si>
  <si>
    <t>Vektet</t>
  </si>
  <si>
    <t>ikke oppgitt</t>
  </si>
  <si>
    <t>rogn</t>
  </si>
  <si>
    <t>a</t>
  </si>
  <si>
    <t>-1,0 kg</t>
  </si>
  <si>
    <t>sløyd u/hode</t>
  </si>
  <si>
    <t>1,0-2,5 kg</t>
  </si>
  <si>
    <t>2,5-6,0 kg</t>
  </si>
  <si>
    <t>2,5+ kg</t>
  </si>
  <si>
    <t>6,0+ kg</t>
  </si>
  <si>
    <t>-0,8 kg</t>
  </si>
  <si>
    <t>0,8+ kg</t>
  </si>
  <si>
    <t>Sei</t>
  </si>
  <si>
    <t>-1,2 kg</t>
  </si>
  <si>
    <t>1,2-2,3 kg</t>
  </si>
  <si>
    <t>2,3+ kg</t>
  </si>
  <si>
    <t>Fugløybanken</t>
  </si>
  <si>
    <t>Kanten/Teisten</t>
  </si>
  <si>
    <t>Teisten</t>
  </si>
  <si>
    <t>Teisten/Kanten</t>
  </si>
  <si>
    <t>Fugløyb.</t>
  </si>
  <si>
    <t>Tromsøflaket</t>
  </si>
  <si>
    <t>Teisten/kanten</t>
  </si>
  <si>
    <t>Malangsgrunnen</t>
  </si>
  <si>
    <t>NØ-snaget/Liksnaget</t>
  </si>
  <si>
    <t>Hjelmsøya</t>
  </si>
  <si>
    <t>Nygrunnen</t>
  </si>
  <si>
    <t xml:space="preserve"> </t>
  </si>
  <si>
    <t>2*S630</t>
  </si>
  <si>
    <t>Sopp/stein hal 1</t>
  </si>
  <si>
    <t>sopp hal 4. b-kvalitet på fisken</t>
  </si>
  <si>
    <t>Splitt bb trål hal #2</t>
  </si>
  <si>
    <t>rullegrader defekt</t>
  </si>
  <si>
    <t>Innkjøring Manskap</t>
  </si>
  <si>
    <t>problemer med paletering</t>
  </si>
  <si>
    <t>Problem med Paletering</t>
  </si>
  <si>
    <t>Skifte av Scantrol PC</t>
  </si>
  <si>
    <t>Scantrol låst.</t>
  </si>
  <si>
    <t>Storm. Raus i øvre lasterom.</t>
  </si>
  <si>
    <t>Lossing Senjahopen</t>
  </si>
  <si>
    <t>Stopp i fabrikken</t>
  </si>
  <si>
    <t>sentralbanken</t>
  </si>
  <si>
    <t>sør i smutthullet</t>
  </si>
  <si>
    <t>smutthullet sør</t>
  </si>
  <si>
    <t>21,5</t>
  </si>
  <si>
    <t>cosmos 3000</t>
  </si>
  <si>
    <t>cosmos3000</t>
  </si>
  <si>
    <t>cismos 3000</t>
  </si>
  <si>
    <t>Koke-% reke</t>
  </si>
  <si>
    <t>Orkan. stopp 12 timer i fiske.</t>
  </si>
  <si>
    <t>Bakking halve dagen</t>
  </si>
  <si>
    <t>Storm på ettermiddag. legger om til 2 tråler</t>
  </si>
  <si>
    <t>2 tråler første 2 hal.</t>
  </si>
  <si>
    <t>Havari pumpe til smøring av gear til stb trålwinch. Kjører videre uten pumpe i samråd med Seonics.</t>
  </si>
  <si>
    <t>EBITDA</t>
  </si>
  <si>
    <t>Seilas</t>
  </si>
  <si>
    <t>Thor Iversen</t>
  </si>
  <si>
    <t>Thor I</t>
  </si>
  <si>
    <t>Havståholla</t>
  </si>
  <si>
    <t>Hopendjupet Øst</t>
  </si>
  <si>
    <t>Hopendjupet</t>
  </si>
  <si>
    <t>Hopen øst</t>
  </si>
  <si>
    <t>3*C3000</t>
  </si>
  <si>
    <t>3*c3000</t>
  </si>
  <si>
    <t>2*c3000</t>
  </si>
  <si>
    <t>Fastkjøring</t>
  </si>
  <si>
    <t>Greing av trål/sokning og bøting</t>
  </si>
  <si>
    <t>Feil på b¨nd v rekesoller</t>
  </si>
  <si>
    <t>Sekkereke kok</t>
  </si>
  <si>
    <t>Feil på band. 8 timer stopp i fabrikken. Reke transportert i korger.</t>
  </si>
  <si>
    <t>Feil på koker</t>
  </si>
  <si>
    <t>teisten</t>
  </si>
  <si>
    <t>Bjørnøya</t>
  </si>
  <si>
    <t>bjørnøya</t>
  </si>
  <si>
    <t>sørbakken</t>
  </si>
  <si>
    <t>gardar</t>
  </si>
  <si>
    <t>Gardarbanken</t>
  </si>
  <si>
    <t>Sørbakken</t>
  </si>
  <si>
    <t>Fingerdypet</t>
  </si>
  <si>
    <t>nygrunnen</t>
  </si>
  <si>
    <t>11,5</t>
  </si>
  <si>
    <t>10,5</t>
  </si>
  <si>
    <t>18,5</t>
  </si>
  <si>
    <t>13,5</t>
  </si>
  <si>
    <t>5,5</t>
  </si>
  <si>
    <t>16,5</t>
  </si>
  <si>
    <t>14,5</t>
  </si>
  <si>
    <t>12,5</t>
  </si>
  <si>
    <t>17,5</t>
  </si>
  <si>
    <t>4,5</t>
  </si>
  <si>
    <t>960 atlantic</t>
  </si>
  <si>
    <t>630*2</t>
  </si>
  <si>
    <t>63*2</t>
  </si>
  <si>
    <t>630*2/atlantic 960</t>
  </si>
  <si>
    <t>NØS</t>
  </si>
  <si>
    <t>Hopen</t>
  </si>
  <si>
    <t>Storfjordrenna</t>
  </si>
  <si>
    <t>Storfjordr</t>
  </si>
  <si>
    <t>Storfjord</t>
  </si>
  <si>
    <t>Hopen Øst</t>
  </si>
  <si>
    <t>Storfjordbanken</t>
  </si>
  <si>
    <t>Gardar</t>
  </si>
  <si>
    <t>Tromsø</t>
  </si>
  <si>
    <t>1,5*630</t>
  </si>
  <si>
    <t>Leiting</t>
  </si>
  <si>
    <t>Splitting</t>
  </si>
  <si>
    <t>Feil på vinsj</t>
  </si>
  <si>
    <t>storfjordrenna</t>
  </si>
  <si>
    <t>storfordrenna</t>
  </si>
  <si>
    <t>øst i kveithålla</t>
  </si>
  <si>
    <t>kveithålla</t>
  </si>
  <si>
    <t>lillebanken</t>
  </si>
  <si>
    <t>thor iversen</t>
  </si>
  <si>
    <t>øst for Thor iversen</t>
  </si>
  <si>
    <t>seiling til fugløybanken</t>
  </si>
  <si>
    <t>fugløybanken</t>
  </si>
  <si>
    <t>nordtåga</t>
  </si>
  <si>
    <t>Nordtåga</t>
  </si>
  <si>
    <t>Vestersnaget</t>
  </si>
  <si>
    <t>Fugløyb</t>
  </si>
  <si>
    <t>Vsnag Fuglb</t>
  </si>
  <si>
    <t>Leirdjupet</t>
  </si>
  <si>
    <t>Bjørnøya vest</t>
  </si>
  <si>
    <t>Storfjorden</t>
  </si>
  <si>
    <t>1,5</t>
  </si>
  <si>
    <t>2*630/3*630</t>
  </si>
  <si>
    <t>3*630</t>
  </si>
  <si>
    <t>2,5*630</t>
  </si>
  <si>
    <t>Avslitt ny sweepe under tauing. Vase på trålen. 3 timer tidstap.</t>
  </si>
  <si>
    <t>Skipper</t>
  </si>
  <si>
    <t xml:space="preserve">Kurt </t>
  </si>
  <si>
    <t>Thot I</t>
  </si>
  <si>
    <t>Thor i</t>
  </si>
  <si>
    <t>Lillebanken</t>
  </si>
  <si>
    <t>Masiryggen</t>
  </si>
  <si>
    <t>Lille Nord</t>
  </si>
  <si>
    <t>Masi Ryggen</t>
  </si>
  <si>
    <t>Sykkelsete</t>
  </si>
  <si>
    <t>3*360</t>
  </si>
  <si>
    <t>Bunkers pr kg fangst</t>
  </si>
  <si>
    <t>ltr/kg</t>
  </si>
  <si>
    <t>Leiting etter fiske</t>
  </si>
  <si>
    <t>Fryseriproblemer. Mye b vare pga stopp i fabrikken</t>
  </si>
  <si>
    <t>Fryseritrøbbel</t>
  </si>
  <si>
    <t>Storm</t>
  </si>
  <si>
    <t>24-10-22</t>
  </si>
  <si>
    <t>Torgeir</t>
  </si>
  <si>
    <t>22,5</t>
  </si>
  <si>
    <t>sørkapp</t>
  </si>
  <si>
    <t>vestbakken</t>
  </si>
  <si>
    <t>kveitholla</t>
  </si>
  <si>
    <t>Sotbakken</t>
  </si>
  <si>
    <t>Tromsøfl.</t>
  </si>
  <si>
    <t>19,5</t>
  </si>
  <si>
    <t>%</t>
  </si>
  <si>
    <t>Hyse-%</t>
  </si>
  <si>
    <t>+</t>
  </si>
  <si>
    <t>sopp/splitt</t>
  </si>
  <si>
    <t>leiting etter fesk</t>
  </si>
  <si>
    <t>28.9.2023</t>
  </si>
  <si>
    <t>NØ snaget</t>
  </si>
  <si>
    <t>Tverrbakken</t>
  </si>
  <si>
    <t>Gullfaks c</t>
  </si>
  <si>
    <t>gullfaks c</t>
  </si>
  <si>
    <t>oseberg</t>
  </si>
  <si>
    <t>nordsnaget</t>
  </si>
  <si>
    <t>omgangen</t>
  </si>
  <si>
    <t>sleppen</t>
  </si>
  <si>
    <t>3,5</t>
  </si>
  <si>
    <t>Resultatmargin EBITDA</t>
  </si>
  <si>
    <t>Kvote</t>
  </si>
  <si>
    <t>Restkvote</t>
  </si>
  <si>
    <t>Resultat ved ulike snittfangster Sei S62</t>
  </si>
  <si>
    <t>Snittfangst</t>
  </si>
  <si>
    <t xml:space="preserve">Antall dager </t>
  </si>
  <si>
    <t>Inntekter</t>
  </si>
  <si>
    <t>Kostnader</t>
  </si>
  <si>
    <t>Lott</t>
  </si>
  <si>
    <t>Bunkers</t>
  </si>
  <si>
    <t>Resultat</t>
  </si>
  <si>
    <t>Resultatmargin</t>
  </si>
  <si>
    <t>Resultat pr time</t>
  </si>
  <si>
    <t>Resultat pr sekund</t>
  </si>
  <si>
    <t>Kurt B</t>
  </si>
  <si>
    <t>Kanten</t>
  </si>
  <si>
    <t xml:space="preserve">Kanten </t>
  </si>
  <si>
    <t>Trflaket/kanten</t>
  </si>
  <si>
    <t>Trfl/kanten</t>
  </si>
  <si>
    <t>Trf/kanten</t>
  </si>
  <si>
    <t>Fugløybankkanten</t>
  </si>
  <si>
    <t>Fugløyba</t>
  </si>
  <si>
    <t>Fugløyb/kanten</t>
  </si>
  <si>
    <t>kanten</t>
  </si>
  <si>
    <t>Splitt hal 3</t>
  </si>
  <si>
    <t>splitt hal 3</t>
  </si>
  <si>
    <t xml:space="preserve">splitt hal </t>
  </si>
  <si>
    <t>mye uer/skadet fisk</t>
  </si>
  <si>
    <t>Avslitt sweep tidstap</t>
  </si>
  <si>
    <t>Sopp/uer/hyse. Dårlig mix</t>
  </si>
  <si>
    <t>Dårlig vær</t>
  </si>
  <si>
    <t>Storm/Bakking</t>
  </si>
  <si>
    <t>uvær. Splitt hal 2</t>
  </si>
  <si>
    <t>Noe jcut hyse</t>
  </si>
  <si>
    <t>8,4 tonn kappa hyse</t>
  </si>
  <si>
    <t>15 tonn kappa hyse</t>
  </si>
  <si>
    <t>Stopp hvm 1,5 time</t>
  </si>
  <si>
    <t>røstbanken</t>
  </si>
  <si>
    <t>moskenesgrunnen</t>
  </si>
  <si>
    <t>moskenesgrunn</t>
  </si>
  <si>
    <t>Nordsnaget</t>
  </si>
  <si>
    <t>noe j cut hyse</t>
  </si>
  <si>
    <t>15 tonn jcut hyse</t>
  </si>
  <si>
    <t>Hopendj</t>
  </si>
  <si>
    <t>Hopendjupet øst</t>
  </si>
  <si>
    <t xml:space="preserve">Hopen </t>
  </si>
  <si>
    <t>3*3000</t>
  </si>
  <si>
    <t>mye is</t>
  </si>
  <si>
    <t>Mye is</t>
  </si>
  <si>
    <t>Lite en sekk og leire et hal. Mye is.</t>
  </si>
  <si>
    <t>Mye is i området</t>
  </si>
  <si>
    <t>Feil HVM</t>
  </si>
  <si>
    <t>Andel kok Verdi</t>
  </si>
  <si>
    <t>SNITTPRIS FANGST REKER</t>
  </si>
  <si>
    <t>ny grunn</t>
  </si>
  <si>
    <t>nygrunn/sotbakken</t>
  </si>
  <si>
    <t>Tromsøflaket/nygrunn</t>
  </si>
  <si>
    <t>sotbakken</t>
  </si>
  <si>
    <t>sørsnaget</t>
  </si>
  <si>
    <t>nygrunn</t>
  </si>
  <si>
    <t>ullsfjord</t>
  </si>
  <si>
    <t>7,5</t>
  </si>
  <si>
    <t>9,5</t>
  </si>
  <si>
    <t>atlantica</t>
  </si>
  <si>
    <t>atlanitca</t>
  </si>
  <si>
    <t>atlantic</t>
  </si>
  <si>
    <t>2*630/atlantica</t>
  </si>
  <si>
    <t>atlantica/2*630</t>
  </si>
  <si>
    <t>Snittpris døgn</t>
  </si>
  <si>
    <t>SNITTPRIS FANGST</t>
  </si>
  <si>
    <t>EBITDA pr døgn</t>
  </si>
  <si>
    <t>EBITDA hittil tur</t>
  </si>
  <si>
    <t>Juni EBITDA</t>
  </si>
  <si>
    <t>EBITDA totalt hele tur</t>
  </si>
  <si>
    <t>Inntekt</t>
  </si>
  <si>
    <t>Nygrunn</t>
  </si>
  <si>
    <t>N-NØ snaget</t>
  </si>
  <si>
    <t>Knollen</t>
  </si>
  <si>
    <t>Fingerdjupet</t>
  </si>
  <si>
    <t>Finger øst</t>
  </si>
  <si>
    <t>Gardar XSV</t>
  </si>
  <si>
    <t>Masi ++</t>
  </si>
  <si>
    <t>Barentshavet øst</t>
  </si>
  <si>
    <t>Barøst</t>
  </si>
  <si>
    <t>Nordkappbanken</t>
  </si>
  <si>
    <t>Masi+</t>
  </si>
  <si>
    <t>Masi</t>
  </si>
  <si>
    <t>2+*630</t>
  </si>
  <si>
    <t>Dobbel &amp; trippel. Leire og stein i sekkene</t>
  </si>
  <si>
    <t>hopendjupet</t>
  </si>
  <si>
    <t>smutthullet</t>
  </si>
  <si>
    <t>cosmos 3000*3</t>
  </si>
  <si>
    <t>cosmos 3000 *3</t>
  </si>
  <si>
    <t>cosmos 3000 * 3</t>
  </si>
  <si>
    <t>COSMOS 3000*3</t>
  </si>
  <si>
    <t>Fangst pr hal kg</t>
  </si>
  <si>
    <t>Mye teine, avbrutt tauing.</t>
  </si>
  <si>
    <t>Mye teiner første hal</t>
  </si>
  <si>
    <t>Kurt</t>
  </si>
  <si>
    <t>Mal/Fugløyb.</t>
  </si>
  <si>
    <t>NØ-snaget</t>
  </si>
  <si>
    <t>Svalbard</t>
  </si>
  <si>
    <t>W Svalbard</t>
  </si>
  <si>
    <t>Storfjrenna</t>
  </si>
  <si>
    <t>Feil i styring til fabrikk (Solbakken)</t>
  </si>
  <si>
    <t>Kabelbrudd i tablå ved BB sløyemaskin, ca 1 time rep.</t>
  </si>
  <si>
    <t>Avslitt sweep under tauing</t>
  </si>
  <si>
    <t xml:space="preserve">2 frysestopp, ca 2 timer. ca 2 timers venting i starten av døgnet pga lite hal. </t>
  </si>
  <si>
    <t>Stopp i ensilasjepoduksjon. Pumpe til T63 defekt. Starter opp manuelt på T62.</t>
  </si>
  <si>
    <t>Hentet deler til maskinromsvifte</t>
  </si>
  <si>
    <t>Justering spoling sstb vinsj</t>
  </si>
  <si>
    <t>Seiling, Vasking</t>
  </si>
  <si>
    <t>Seiling og vasking</t>
  </si>
  <si>
    <t>27.09.23</t>
  </si>
  <si>
    <t>spitsbergen banken</t>
  </si>
  <si>
    <t>nordflaket</t>
  </si>
  <si>
    <t>storfjorrenna</t>
  </si>
  <si>
    <t>stofjorrenna</t>
  </si>
  <si>
    <t>masiryggen</t>
  </si>
  <si>
    <t>nordkapp banken</t>
  </si>
  <si>
    <t>nordkappbanken/sørbakken</t>
  </si>
  <si>
    <t>01.11.23</t>
  </si>
  <si>
    <t>Geir</t>
  </si>
  <si>
    <t>Stimer</t>
  </si>
  <si>
    <t>Storfj.renna</t>
  </si>
  <si>
    <t xml:space="preserve">Gardar </t>
  </si>
  <si>
    <t>Bjøya vst</t>
  </si>
  <si>
    <t>Bjøya.vest</t>
  </si>
  <si>
    <t>Kveithola</t>
  </si>
  <si>
    <t>2x630</t>
  </si>
  <si>
    <t>STOPP I FABRIKK</t>
  </si>
  <si>
    <t>fastkjøing/avslitt gir</t>
  </si>
  <si>
    <t>Fast/Knust not</t>
  </si>
  <si>
    <t>Avslitt gir og revet</t>
  </si>
  <si>
    <t>storm noen timer</t>
  </si>
  <si>
    <t>FEIL I NODESKAP</t>
  </si>
  <si>
    <t>Ensilasje stopp, tett rør</t>
  </si>
  <si>
    <t>Tett ensilasje rør.</t>
  </si>
  <si>
    <t>Fugløyb/Tromsøflaket</t>
  </si>
  <si>
    <t>Tromsøf</t>
  </si>
  <si>
    <t>Tromsøfl</t>
  </si>
  <si>
    <t>Kveitholla</t>
  </si>
  <si>
    <t>Atlantic</t>
  </si>
  <si>
    <t>2-630</t>
  </si>
  <si>
    <t>Atlantica</t>
  </si>
  <si>
    <t>Avslitt sondekabel</t>
  </si>
  <si>
    <t>stopp fabrikk</t>
  </si>
  <si>
    <t>Stengtfelt 2 hal. Lite fisk</t>
  </si>
  <si>
    <t>Fastkjøring Bjørn</t>
  </si>
  <si>
    <t>4 timer stopp</t>
  </si>
  <si>
    <t>Treg produksjon mye stopp i fabrikken, nodeskap og nødstopp.</t>
  </si>
  <si>
    <t>Tonni</t>
  </si>
  <si>
    <t>Mulegga</t>
  </si>
  <si>
    <t>Fugløybank</t>
  </si>
  <si>
    <t>Kanten Mulegga</t>
  </si>
  <si>
    <t>Mulegga kant</t>
  </si>
  <si>
    <t>Teiten</t>
  </si>
  <si>
    <t>Tr-Flaket</t>
  </si>
  <si>
    <t>Tr.Flaket</t>
  </si>
  <si>
    <t>Tr.flaket</t>
  </si>
  <si>
    <t>5,6</t>
  </si>
  <si>
    <t>Fugløybkanten</t>
  </si>
  <si>
    <t>Røstbanken</t>
  </si>
  <si>
    <t>Skomvær</t>
  </si>
  <si>
    <t>Sortland</t>
  </si>
  <si>
    <t>&lt;Salta</t>
  </si>
  <si>
    <t>Liksnaget</t>
  </si>
  <si>
    <t>Wirejustering</t>
  </si>
  <si>
    <t>Splitt x 2</t>
  </si>
  <si>
    <t>Avslitt sweepe vase 2 timer</t>
  </si>
  <si>
    <t>splitt x2</t>
  </si>
  <si>
    <t>Noe hyse Jcut</t>
  </si>
  <si>
    <t>Antall dager</t>
  </si>
  <si>
    <t>Smutthullet</t>
  </si>
  <si>
    <t>Smutt</t>
  </si>
  <si>
    <t>w-om Smutthullet</t>
  </si>
  <si>
    <t>Smutten</t>
  </si>
  <si>
    <t>Nord smutten</t>
  </si>
  <si>
    <t>Nord smutt</t>
  </si>
  <si>
    <t>w-om smutt</t>
  </si>
  <si>
    <t>w-smutt</t>
  </si>
  <si>
    <t>Cosmos 3000. x3</t>
  </si>
  <si>
    <t>Avskrivninger</t>
  </si>
  <si>
    <t>Finans</t>
  </si>
  <si>
    <t>Res. F. skatt</t>
  </si>
  <si>
    <t>Break even simuliering</t>
  </si>
  <si>
    <t>Pris</t>
  </si>
  <si>
    <t>Reke industri</t>
  </si>
  <si>
    <t>5% avgifter</t>
  </si>
  <si>
    <t>Sum inntekt</t>
  </si>
  <si>
    <t>Forbruk pr dag</t>
  </si>
  <si>
    <t>Sum kostnader</t>
  </si>
  <si>
    <t>Indikerte priser</t>
  </si>
  <si>
    <t>Produkt</t>
  </si>
  <si>
    <t>Pris pr kg</t>
  </si>
  <si>
    <t>Verdi</t>
  </si>
  <si>
    <t>Industri 220 +</t>
  </si>
  <si>
    <t>Industri 220 -</t>
  </si>
  <si>
    <t>90 - 120 5 kg</t>
  </si>
  <si>
    <t>120 - 170 sekk</t>
  </si>
  <si>
    <t>160 - 200 sekk</t>
  </si>
  <si>
    <t>Snittpris kok</t>
  </si>
  <si>
    <t>Senjahopen</t>
  </si>
  <si>
    <t>seilas</t>
  </si>
  <si>
    <t>Hpendj</t>
  </si>
  <si>
    <t>Hopen øst/smutten</t>
  </si>
  <si>
    <t>Smutth</t>
  </si>
  <si>
    <t>Smuth</t>
  </si>
  <si>
    <t>Smutt/XSV</t>
  </si>
  <si>
    <t>XSV</t>
  </si>
  <si>
    <t>15,6</t>
  </si>
  <si>
    <t>3*C</t>
  </si>
  <si>
    <t>3*c</t>
  </si>
  <si>
    <t>3*c3</t>
  </si>
  <si>
    <t>3*3</t>
  </si>
  <si>
    <t>33*3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</si>
  <si>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</si>
  <si>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Avslitt sjakkel dør</t>
  </si>
  <si>
    <t>Teiner/tidstap</t>
  </si>
  <si>
    <t>Leire i en sekk hal 3/teiner</t>
  </si>
  <si>
    <t>Teiner i to av trålene</t>
  </si>
  <si>
    <t>Trøbbel m koker</t>
  </si>
  <si>
    <t>Feil m omformere og koker.</t>
  </si>
  <si>
    <t>Leire/dårlig reke</t>
  </si>
  <si>
    <t>Leire/dårlig produksjon</t>
  </si>
  <si>
    <t>Hal 3: Lodde. Polartorsk og leire.  Hal4: Stopp i fryser pga defekt båndmotor.lite kok</t>
  </si>
  <si>
    <t>,</t>
  </si>
  <si>
    <t>Tur 6</t>
  </si>
  <si>
    <t>Thidly</t>
  </si>
  <si>
    <t>Barentshavet</t>
  </si>
  <si>
    <t>Fritur</t>
  </si>
  <si>
    <t>Sommerferie</t>
  </si>
  <si>
    <t>Barentshav</t>
  </si>
  <si>
    <t>Fingerjupet</t>
  </si>
  <si>
    <t>Lillebank</t>
  </si>
  <si>
    <t>Thor-Iversen</t>
  </si>
  <si>
    <t>Thor iversen</t>
  </si>
  <si>
    <t>Thidly Bank</t>
  </si>
  <si>
    <t>Vardøryggen</t>
  </si>
  <si>
    <t>Thor-i/Lillebank</t>
  </si>
  <si>
    <t>Lillebank/Mazi</t>
  </si>
  <si>
    <t>Thor-iversen</t>
  </si>
  <si>
    <t>Nordkappbank</t>
  </si>
  <si>
    <t>Sleppen</t>
  </si>
  <si>
    <t>Omgangsrygg</t>
  </si>
  <si>
    <t>Bakker Storm</t>
  </si>
  <si>
    <t>Cosmos3</t>
  </si>
  <si>
    <t xml:space="preserve"> Cosmos3</t>
  </si>
  <si>
    <t>cosmos3</t>
  </si>
  <si>
    <t>c3</t>
  </si>
  <si>
    <t>Cosmos</t>
  </si>
  <si>
    <t>C3</t>
  </si>
  <si>
    <t>3 stk teiner i ene halet</t>
  </si>
  <si>
    <t>teiner hang på ene halet</t>
  </si>
  <si>
    <t>Splitt en trål. Underbelg revet.</t>
  </si>
  <si>
    <t>Vase en trål. Revet. Skitt og leire i centertrålen derav mindre kokreke</t>
  </si>
  <si>
    <t>Stein/gress i ene tauinga. Lite kokreke</t>
  </si>
  <si>
    <t>Splitt bane 2. gress og leire  mindre kokreke</t>
  </si>
  <si>
    <t>Teiner tidstap</t>
  </si>
  <si>
    <t xml:space="preserve"> Teiner i rist, i tre hal</t>
  </si>
  <si>
    <t>Splitt belg. Hal 2</t>
  </si>
  <si>
    <t>Feil på Otimar Ice</t>
  </si>
  <si>
    <t>Feil på koker hal 3</t>
  </si>
  <si>
    <t>Havari rekekoker</t>
  </si>
  <si>
    <t>Koker i gang</t>
  </si>
  <si>
    <t>Teiner/tidstap 1 time</t>
  </si>
  <si>
    <t>Realgrunnen</t>
  </si>
  <si>
    <t>Teistenkanten'</t>
  </si>
  <si>
    <t>Teistenkanten</t>
  </si>
  <si>
    <t>Liksnaget/NØ</t>
  </si>
  <si>
    <t>SØ snaget</t>
  </si>
  <si>
    <t>Leiting etter sei</t>
  </si>
  <si>
    <t>Leting etter fisk</t>
  </si>
  <si>
    <t>Stopp 3 timer mye B-kvalitet</t>
  </si>
  <si>
    <t>Wirejustering sidevinsjer</t>
  </si>
  <si>
    <t>Problemer med vinsjestyringa.  Isym-Seaonics.</t>
  </si>
  <si>
    <t>Masirygg</t>
  </si>
  <si>
    <t>Ne-snaget</t>
  </si>
  <si>
    <t>Ne-Snaget</t>
  </si>
  <si>
    <t>Se-Snaget</t>
  </si>
  <si>
    <t>Realgrunn</t>
  </si>
  <si>
    <t>Fug.Kanten</t>
  </si>
  <si>
    <t>Gardarbank</t>
  </si>
  <si>
    <t>LEIA</t>
  </si>
  <si>
    <t>Fiskerstrand</t>
  </si>
  <si>
    <t>2x620</t>
  </si>
  <si>
    <t>1x630</t>
  </si>
  <si>
    <t>3,7</t>
  </si>
  <si>
    <t>4,8</t>
  </si>
  <si>
    <t>15000kg</t>
  </si>
  <si>
    <t>Syre 15m3</t>
  </si>
  <si>
    <t>11.2024/1.2025</t>
  </si>
  <si>
    <t>Fiskarstrand</t>
  </si>
  <si>
    <t>Fiskarstand</t>
  </si>
  <si>
    <t>Søvika</t>
  </si>
  <si>
    <t>Norskehavet</t>
  </si>
  <si>
    <t>Island/Gr</t>
  </si>
  <si>
    <t>Øst-Gr</t>
  </si>
  <si>
    <t>Øst.Gr</t>
  </si>
  <si>
    <t>Island</t>
  </si>
  <si>
    <t>3x3000</t>
  </si>
  <si>
    <t>2x3000</t>
  </si>
  <si>
    <t>2 x 3000</t>
  </si>
  <si>
    <t>2x300</t>
  </si>
  <si>
    <t>3x3001</t>
  </si>
  <si>
    <t>3x3002</t>
  </si>
  <si>
    <t>3x3003</t>
  </si>
  <si>
    <t>3x3004</t>
  </si>
  <si>
    <t>3x3005</t>
  </si>
  <si>
    <t>3 x 3000</t>
  </si>
  <si>
    <t>3 X 3000</t>
  </si>
  <si>
    <t>Bifangst/JPS Reke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</si>
</sst>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kr&quot;\ * #,##0.00_-;\-&quot;kr&quot;\ * #,##0.00_-;_-&quot;kr&quot;\ 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(* #,##0_);_(* \(#,##0\);_(* &quot;-&quot;??_);_(@_)"/>
    <numFmt numFmtId="169" formatCode="#,##0.00_ ;\-#,##0.00\ "/>
    <numFmt numFmtId="170" formatCode="0.0\ %"/>
    <numFmt numFmtId="171" formatCode="_-&quot;kr&quot;\ * #,##0_-;\-&quot;kr&quot;\ * #,##0_-;_-&quot;kr&quot;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444444"/>
      <name val="Calibri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14" xfId="0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167" fontId="0" fillId="0" borderId="0" xfId="0" applyNumberFormat="1"/>
    <xf numFmtId="168" fontId="0" fillId="0" borderId="0" xfId="0" applyNumberFormat="1"/>
    <xf numFmtId="0" fontId="0" fillId="4" borderId="2" xfId="0" applyFill="1" applyBorder="1"/>
    <xf numFmtId="10" fontId="0" fillId="4" borderId="1" xfId="0" applyNumberFormat="1" applyFill="1" applyBorder="1"/>
    <xf numFmtId="168" fontId="0" fillId="4" borderId="12" xfId="0" applyNumberFormat="1" applyFill="1" applyBorder="1"/>
    <xf numFmtId="168" fontId="0" fillId="4" borderId="32" xfId="0" applyNumberFormat="1" applyFill="1" applyBorder="1"/>
    <xf numFmtId="0" fontId="0" fillId="4" borderId="4" xfId="0" applyFill="1" applyBorder="1"/>
    <xf numFmtId="168" fontId="0" fillId="4" borderId="3" xfId="0" applyNumberFormat="1" applyFill="1" applyBorder="1"/>
    <xf numFmtId="168" fontId="0" fillId="4" borderId="14" xfId="0" applyNumberFormat="1" applyFill="1" applyBorder="1"/>
    <xf numFmtId="168" fontId="0" fillId="4" borderId="0" xfId="0" applyNumberFormat="1" applyFill="1"/>
    <xf numFmtId="0" fontId="0" fillId="4" borderId="21" xfId="0" applyFill="1" applyBorder="1"/>
    <xf numFmtId="43" fontId="0" fillId="4" borderId="22" xfId="0" applyNumberFormat="1" applyFill="1" applyBorder="1"/>
    <xf numFmtId="168" fontId="0" fillId="4" borderId="33" xfId="0" applyNumberFormat="1" applyFill="1" applyBorder="1"/>
    <xf numFmtId="168" fontId="0" fillId="4" borderId="15" xfId="0" applyNumberFormat="1" applyFill="1" applyBorder="1"/>
    <xf numFmtId="0" fontId="3" fillId="4" borderId="19" xfId="0" applyFont="1" applyFill="1" applyBorder="1"/>
    <xf numFmtId="167" fontId="3" fillId="4" borderId="34" xfId="0" applyNumberFormat="1" applyFont="1" applyFill="1" applyBorder="1"/>
    <xf numFmtId="167" fontId="3" fillId="4" borderId="17" xfId="0" applyNumberFormat="1" applyFont="1" applyFill="1" applyBorder="1"/>
    <xf numFmtId="167" fontId="3" fillId="4" borderId="31" xfId="0" applyNumberFormat="1" applyFont="1" applyFill="1" applyBorder="1"/>
    <xf numFmtId="167" fontId="10" fillId="0" borderId="24" xfId="0" applyNumberFormat="1" applyFont="1" applyBorder="1" applyAlignment="1">
      <alignment horizontal="right"/>
    </xf>
    <xf numFmtId="167" fontId="10" fillId="0" borderId="15" xfId="0" applyNumberFormat="1" applyFont="1" applyBorder="1" applyAlignment="1">
      <alignment horizontal="right"/>
    </xf>
    <xf numFmtId="0" fontId="9" fillId="3" borderId="18" xfId="0" applyFont="1" applyFill="1" applyBorder="1"/>
    <xf numFmtId="2" fontId="0" fillId="5" borderId="26" xfId="0" applyNumberFormat="1" applyFill="1" applyBorder="1"/>
    <xf numFmtId="0" fontId="2" fillId="0" borderId="0" xfId="0" applyFont="1"/>
    <xf numFmtId="0" fontId="11" fillId="0" borderId="0" xfId="0" applyFont="1" applyAlignment="1">
      <alignment vertical="center" textRotation="90"/>
    </xf>
    <xf numFmtId="167" fontId="0" fillId="0" borderId="0" xfId="1" applyNumberFormat="1" applyFont="1" applyBorder="1" applyAlignment="1">
      <alignment horizontal="center" vertical="center"/>
    </xf>
    <xf numFmtId="0" fontId="4" fillId="6" borderId="8" xfId="0" applyFont="1" applyFill="1" applyBorder="1"/>
    <xf numFmtId="0" fontId="4" fillId="6" borderId="7" xfId="0" applyFont="1" applyFill="1" applyBorder="1"/>
    <xf numFmtId="0" fontId="4" fillId="6" borderId="3" xfId="0" applyFont="1" applyFill="1" applyBorder="1"/>
    <xf numFmtId="0" fontId="4" fillId="6" borderId="3" xfId="0" applyFont="1" applyFill="1" applyBorder="1" applyAlignment="1">
      <alignment horizontal="center"/>
    </xf>
    <xf numFmtId="0" fontId="4" fillId="6" borderId="5" xfId="0" applyFont="1" applyFill="1" applyBorder="1"/>
    <xf numFmtId="0" fontId="4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166" fontId="4" fillId="6" borderId="7" xfId="0" applyNumberFormat="1" applyFont="1" applyFill="1" applyBorder="1" applyAlignment="1">
      <alignment horizontal="center" vertical="center"/>
    </xf>
    <xf numFmtId="166" fontId="4" fillId="6" borderId="8" xfId="0" applyNumberFormat="1" applyFont="1" applyFill="1" applyBorder="1" applyAlignment="1">
      <alignment horizontal="center" vertical="center"/>
    </xf>
    <xf numFmtId="166" fontId="4" fillId="6" borderId="9" xfId="0" applyNumberFormat="1" applyFont="1" applyFill="1" applyBorder="1" applyAlignment="1">
      <alignment horizontal="center" vertical="center"/>
    </xf>
    <xf numFmtId="0" fontId="4" fillId="6" borderId="2" xfId="0" applyFont="1" applyFill="1" applyBorder="1"/>
    <xf numFmtId="0" fontId="12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2" fillId="6" borderId="3" xfId="0" applyFont="1" applyFill="1" applyBorder="1"/>
    <xf numFmtId="0" fontId="12" fillId="6" borderId="5" xfId="0" applyFont="1" applyFill="1" applyBorder="1"/>
    <xf numFmtId="0" fontId="4" fillId="6" borderId="1" xfId="0" applyFont="1" applyFill="1" applyBorder="1"/>
    <xf numFmtId="0" fontId="4" fillId="6" borderId="4" xfId="0" applyFont="1" applyFill="1" applyBorder="1"/>
    <xf numFmtId="0" fontId="4" fillId="6" borderId="6" xfId="0" applyFont="1" applyFill="1" applyBorder="1"/>
    <xf numFmtId="0" fontId="14" fillId="6" borderId="8" xfId="0" applyFont="1" applyFill="1" applyBorder="1"/>
    <xf numFmtId="0" fontId="14" fillId="6" borderId="7" xfId="0" applyFont="1" applyFill="1" applyBorder="1"/>
    <xf numFmtId="167" fontId="0" fillId="7" borderId="13" xfId="1" applyNumberFormat="1" applyFont="1" applyFill="1" applyBorder="1" applyAlignment="1">
      <alignment horizontal="center"/>
    </xf>
    <xf numFmtId="167" fontId="0" fillId="7" borderId="14" xfId="1" applyNumberFormat="1" applyFont="1" applyFill="1" applyBorder="1" applyAlignment="1">
      <alignment horizontal="center"/>
    </xf>
    <xf numFmtId="167" fontId="0" fillId="7" borderId="23" xfId="1" applyNumberFormat="1" applyFont="1" applyFill="1" applyBorder="1" applyAlignment="1">
      <alignment horizontal="center"/>
    </xf>
    <xf numFmtId="167" fontId="0" fillId="7" borderId="2" xfId="1" applyNumberFormat="1" applyFont="1" applyFill="1" applyBorder="1" applyAlignment="1">
      <alignment horizontal="center"/>
    </xf>
    <xf numFmtId="167" fontId="0" fillId="7" borderId="3" xfId="1" applyNumberFormat="1" applyFont="1" applyFill="1" applyBorder="1" applyAlignment="1">
      <alignment horizontal="center"/>
    </xf>
    <xf numFmtId="167" fontId="0" fillId="7" borderId="20" xfId="1" applyNumberFormat="1" applyFont="1" applyFill="1" applyBorder="1" applyAlignment="1">
      <alignment horizontal="center"/>
    </xf>
    <xf numFmtId="167" fontId="0" fillId="7" borderId="4" xfId="1" applyNumberFormat="1" applyFont="1" applyFill="1" applyBorder="1" applyAlignment="1">
      <alignment horizontal="center"/>
    </xf>
    <xf numFmtId="167" fontId="0" fillId="7" borderId="8" xfId="1" applyNumberFormat="1" applyFont="1" applyFill="1" applyBorder="1" applyAlignment="1">
      <alignment horizontal="center"/>
    </xf>
    <xf numFmtId="167" fontId="0" fillId="7" borderId="7" xfId="1" applyNumberFormat="1" applyFont="1" applyFill="1" applyBorder="1" applyAlignment="1">
      <alignment horizontal="center"/>
    </xf>
    <xf numFmtId="167" fontId="0" fillId="7" borderId="37" xfId="1" applyNumberFormat="1" applyFont="1" applyFill="1" applyBorder="1" applyAlignment="1">
      <alignment horizontal="center"/>
    </xf>
    <xf numFmtId="167" fontId="0" fillId="7" borderId="38" xfId="1" applyNumberFormat="1" applyFont="1" applyFill="1" applyBorder="1" applyAlignment="1">
      <alignment horizontal="center"/>
    </xf>
    <xf numFmtId="167" fontId="0" fillId="7" borderId="29" xfId="1" applyNumberFormat="1" applyFont="1" applyFill="1" applyBorder="1" applyAlignment="1">
      <alignment horizontal="center"/>
    </xf>
    <xf numFmtId="167" fontId="0" fillId="7" borderId="6" xfId="1" applyNumberFormat="1" applyFont="1" applyFill="1" applyBorder="1" applyAlignment="1">
      <alignment horizontal="center"/>
    </xf>
    <xf numFmtId="0" fontId="12" fillId="6" borderId="0" xfId="0" applyFont="1" applyFill="1"/>
    <xf numFmtId="0" fontId="4" fillId="6" borderId="7" xfId="0" applyFont="1" applyFill="1" applyBorder="1" applyAlignment="1">
      <alignment horizontal="center"/>
    </xf>
    <xf numFmtId="167" fontId="0" fillId="8" borderId="7" xfId="1" applyNumberFormat="1" applyFont="1" applyFill="1" applyBorder="1" applyAlignment="1">
      <alignment horizontal="center"/>
    </xf>
    <xf numFmtId="167" fontId="0" fillId="8" borderId="14" xfId="1" applyNumberFormat="1" applyFont="1" applyFill="1" applyBorder="1" applyAlignment="1">
      <alignment horizontal="center"/>
    </xf>
    <xf numFmtId="167" fontId="0" fillId="8" borderId="2" xfId="1" applyNumberFormat="1" applyFont="1" applyFill="1" applyBorder="1" applyAlignment="1">
      <alignment horizontal="center"/>
    </xf>
    <xf numFmtId="167" fontId="0" fillId="8" borderId="4" xfId="1" applyNumberFormat="1" applyFont="1" applyFill="1" applyBorder="1" applyAlignment="1">
      <alignment horizontal="center"/>
    </xf>
    <xf numFmtId="167" fontId="0" fillId="8" borderId="6" xfId="1" applyNumberFormat="1" applyFont="1" applyFill="1" applyBorder="1" applyAlignment="1">
      <alignment horizontal="center"/>
    </xf>
    <xf numFmtId="167" fontId="0" fillId="8" borderId="10" xfId="1" applyNumberFormat="1" applyFont="1" applyFill="1" applyBorder="1" applyAlignment="1">
      <alignment horizontal="center"/>
    </xf>
    <xf numFmtId="167" fontId="0" fillId="8" borderId="25" xfId="1" applyNumberFormat="1" applyFont="1" applyFill="1" applyBorder="1" applyAlignment="1">
      <alignment horizontal="center"/>
    </xf>
    <xf numFmtId="167" fontId="7" fillId="8" borderId="18" xfId="1" quotePrefix="1" applyNumberFormat="1" applyFont="1" applyFill="1" applyBorder="1"/>
    <xf numFmtId="167" fontId="7" fillId="8" borderId="17" xfId="1" quotePrefix="1" applyNumberFormat="1" applyFont="1" applyFill="1" applyBorder="1"/>
    <xf numFmtId="167" fontId="7" fillId="8" borderId="26" xfId="1" quotePrefix="1" applyNumberFormat="1" applyFont="1" applyFill="1" applyBorder="1"/>
    <xf numFmtId="167" fontId="7" fillId="8" borderId="7" xfId="1" quotePrefix="1" applyNumberFormat="1" applyFont="1" applyFill="1" applyBorder="1"/>
    <xf numFmtId="167" fontId="0" fillId="8" borderId="29" xfId="1" applyNumberFormat="1" applyFont="1" applyFill="1" applyBorder="1" applyAlignment="1">
      <alignment horizontal="center" vertical="center"/>
    </xf>
    <xf numFmtId="167" fontId="0" fillId="8" borderId="27" xfId="1" applyNumberFormat="1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167" fontId="0" fillId="8" borderId="12" xfId="1" applyNumberFormat="1" applyFont="1" applyFill="1" applyBorder="1" applyAlignment="1">
      <alignment horizontal="center" vertical="center"/>
    </xf>
    <xf numFmtId="167" fontId="0" fillId="7" borderId="28" xfId="1" applyNumberFormat="1" applyFont="1" applyFill="1" applyBorder="1" applyAlignment="1">
      <alignment horizontal="center" vertical="center"/>
    </xf>
    <xf numFmtId="167" fontId="0" fillId="7" borderId="23" xfId="1" applyNumberFormat="1" applyFont="1" applyFill="1" applyBorder="1" applyAlignment="1">
      <alignment horizontal="center" vertical="center"/>
    </xf>
    <xf numFmtId="0" fontId="0" fillId="7" borderId="2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6" xfId="0" applyFont="1" applyFill="1" applyBorder="1"/>
    <xf numFmtId="0" fontId="4" fillId="6" borderId="0" xfId="0" applyFont="1" applyFill="1"/>
    <xf numFmtId="0" fontId="4" fillId="6" borderId="24" xfId="0" applyFont="1" applyFill="1" applyBorder="1"/>
    <xf numFmtId="0" fontId="4" fillId="6" borderId="20" xfId="0" applyFont="1" applyFill="1" applyBorder="1"/>
    <xf numFmtId="167" fontId="0" fillId="8" borderId="30" xfId="0" applyNumberFormat="1" applyFill="1" applyBorder="1"/>
    <xf numFmtId="167" fontId="0" fillId="8" borderId="35" xfId="0" applyNumberFormat="1" applyFill="1" applyBorder="1"/>
    <xf numFmtId="0" fontId="14" fillId="6" borderId="11" xfId="0" applyFont="1" applyFill="1" applyBorder="1" applyAlignment="1">
      <alignment horizontal="center"/>
    </xf>
    <xf numFmtId="167" fontId="15" fillId="8" borderId="35" xfId="0" applyNumberFormat="1" applyFont="1" applyFill="1" applyBorder="1"/>
    <xf numFmtId="167" fontId="15" fillId="8" borderId="11" xfId="0" applyNumberFormat="1" applyFont="1" applyFill="1" applyBorder="1"/>
    <xf numFmtId="167" fontId="15" fillId="8" borderId="36" xfId="0" applyNumberFormat="1" applyFont="1" applyFill="1" applyBorder="1"/>
    <xf numFmtId="167" fontId="15" fillId="8" borderId="37" xfId="0" applyNumberFormat="1" applyFont="1" applyFill="1" applyBorder="1"/>
    <xf numFmtId="167" fontId="0" fillId="7" borderId="14" xfId="0" applyNumberFormat="1" applyFill="1" applyBorder="1"/>
    <xf numFmtId="167" fontId="0" fillId="7" borderId="20" xfId="0" applyNumberFormat="1" applyFill="1" applyBorder="1"/>
    <xf numFmtId="167" fontId="0" fillId="7" borderId="30" xfId="0" applyNumberFormat="1" applyFill="1" applyBorder="1"/>
    <xf numFmtId="167" fontId="0" fillId="7" borderId="35" xfId="0" applyNumberFormat="1" applyFill="1" applyBorder="1"/>
    <xf numFmtId="168" fontId="0" fillId="7" borderId="17" xfId="0" applyNumberFormat="1" applyFill="1" applyBorder="1"/>
    <xf numFmtId="0" fontId="13" fillId="7" borderId="7" xfId="0" applyFont="1" applyFill="1" applyBorder="1" applyAlignment="1">
      <alignment horizontal="center"/>
    </xf>
    <xf numFmtId="166" fontId="13" fillId="7" borderId="7" xfId="0" applyNumberFormat="1" applyFont="1" applyFill="1" applyBorder="1" applyAlignment="1">
      <alignment horizontal="center"/>
    </xf>
    <xf numFmtId="165" fontId="4" fillId="6" borderId="27" xfId="1" applyFont="1" applyFill="1" applyBorder="1" applyAlignment="1">
      <alignment horizontal="center" vertical="center"/>
    </xf>
    <xf numFmtId="165" fontId="4" fillId="6" borderId="14" xfId="1" applyFont="1" applyFill="1" applyBorder="1" applyAlignment="1">
      <alignment horizontal="center" vertical="center"/>
    </xf>
    <xf numFmtId="165" fontId="4" fillId="6" borderId="11" xfId="1" applyFont="1" applyFill="1" applyBorder="1" applyAlignment="1">
      <alignment horizontal="center" vertical="center"/>
    </xf>
    <xf numFmtId="169" fontId="0" fillId="7" borderId="28" xfId="1" applyNumberFormat="1" applyFont="1" applyFill="1" applyBorder="1" applyAlignment="1">
      <alignment horizontal="center"/>
    </xf>
    <xf numFmtId="169" fontId="0" fillId="7" borderId="13" xfId="1" applyNumberFormat="1" applyFont="1" applyFill="1" applyBorder="1" applyAlignment="1">
      <alignment horizontal="center"/>
    </xf>
    <xf numFmtId="169" fontId="0" fillId="7" borderId="23" xfId="1" applyNumberFormat="1" applyFont="1" applyFill="1" applyBorder="1" applyAlignment="1">
      <alignment horizontal="center"/>
    </xf>
    <xf numFmtId="169" fontId="0" fillId="8" borderId="7" xfId="1" applyNumberFormat="1" applyFont="1" applyFill="1" applyBorder="1" applyAlignment="1">
      <alignment horizontal="center"/>
    </xf>
    <xf numFmtId="0" fontId="0" fillId="7" borderId="23" xfId="1" applyNumberFormat="1" applyFont="1" applyFill="1" applyBorder="1" applyAlignment="1">
      <alignment horizontal="center"/>
    </xf>
    <xf numFmtId="0" fontId="0" fillId="7" borderId="28" xfId="1" applyNumberFormat="1" applyFont="1" applyFill="1" applyBorder="1" applyAlignment="1">
      <alignment horizontal="center"/>
    </xf>
    <xf numFmtId="167" fontId="0" fillId="7" borderId="39" xfId="1" applyNumberFormat="1" applyFont="1" applyFill="1" applyBorder="1" applyAlignment="1">
      <alignment horizontal="center"/>
    </xf>
    <xf numFmtId="167" fontId="0" fillId="7" borderId="30" xfId="1" applyNumberFormat="1" applyFont="1" applyFill="1" applyBorder="1" applyAlignment="1">
      <alignment horizontal="center"/>
    </xf>
    <xf numFmtId="2" fontId="0" fillId="7" borderId="20" xfId="1" applyNumberFormat="1" applyFont="1" applyFill="1" applyBorder="1" applyAlignment="1">
      <alignment horizontal="center"/>
    </xf>
    <xf numFmtId="2" fontId="0" fillId="7" borderId="14" xfId="1" applyNumberFormat="1" applyFont="1" applyFill="1" applyBorder="1" applyAlignment="1">
      <alignment horizontal="center"/>
    </xf>
    <xf numFmtId="2" fontId="0" fillId="7" borderId="4" xfId="1" applyNumberFormat="1" applyFont="1" applyFill="1" applyBorder="1" applyAlignment="1">
      <alignment horizontal="center"/>
    </xf>
    <xf numFmtId="2" fontId="0" fillId="7" borderId="30" xfId="1" applyNumberFormat="1" applyFont="1" applyFill="1" applyBorder="1" applyAlignment="1">
      <alignment horizontal="center"/>
    </xf>
    <xf numFmtId="2" fontId="0" fillId="7" borderId="3" xfId="1" applyNumberFormat="1" applyFont="1" applyFill="1" applyBorder="1" applyAlignment="1">
      <alignment horizontal="center"/>
    </xf>
    <xf numFmtId="167" fontId="0" fillId="7" borderId="16" xfId="1" applyNumberFormat="1" applyFont="1" applyFill="1" applyBorder="1" applyAlignment="1">
      <alignment horizontal="center"/>
    </xf>
    <xf numFmtId="2" fontId="0" fillId="7" borderId="0" xfId="1" applyNumberFormat="1" applyFont="1" applyFill="1" applyBorder="1" applyAlignment="1">
      <alignment horizontal="center"/>
    </xf>
    <xf numFmtId="167" fontId="0" fillId="7" borderId="33" xfId="1" applyNumberFormat="1" applyFont="1" applyFill="1" applyBorder="1" applyAlignment="1">
      <alignment horizontal="center"/>
    </xf>
    <xf numFmtId="167" fontId="0" fillId="7" borderId="40" xfId="1" applyNumberFormat="1" applyFont="1" applyFill="1" applyBorder="1" applyAlignment="1">
      <alignment horizontal="center"/>
    </xf>
    <xf numFmtId="169" fontId="0" fillId="7" borderId="4" xfId="1" applyNumberFormat="1" applyFont="1" applyFill="1" applyBorder="1" applyAlignment="1">
      <alignment horizontal="center"/>
    </xf>
    <xf numFmtId="165" fontId="0" fillId="7" borderId="7" xfId="0" applyNumberFormat="1" applyFill="1" applyBorder="1"/>
    <xf numFmtId="167" fontId="7" fillId="8" borderId="18" xfId="1" applyNumberFormat="1" applyFont="1" applyFill="1" applyBorder="1"/>
    <xf numFmtId="0" fontId="0" fillId="7" borderId="0" xfId="0" applyFill="1"/>
    <xf numFmtId="167" fontId="0" fillId="7" borderId="0" xfId="1" applyNumberFormat="1" applyFont="1" applyFill="1"/>
    <xf numFmtId="165" fontId="0" fillId="7" borderId="0" xfId="1" applyFont="1" applyFill="1"/>
    <xf numFmtId="0" fontId="0" fillId="7" borderId="24" xfId="0" applyFill="1" applyBorder="1"/>
    <xf numFmtId="167" fontId="0" fillId="7" borderId="24" xfId="1" applyNumberFormat="1" applyFont="1" applyFill="1" applyBorder="1"/>
    <xf numFmtId="165" fontId="0" fillId="7" borderId="24" xfId="1" applyFont="1" applyFill="1" applyBorder="1"/>
    <xf numFmtId="165" fontId="3" fillId="7" borderId="0" xfId="1" applyFont="1" applyFill="1"/>
    <xf numFmtId="0" fontId="4" fillId="6" borderId="13" xfId="0" applyFont="1" applyFill="1" applyBorder="1"/>
    <xf numFmtId="0" fontId="0" fillId="7" borderId="3" xfId="0" applyFill="1" applyBorder="1"/>
    <xf numFmtId="167" fontId="0" fillId="7" borderId="0" xfId="1" applyNumberFormat="1" applyFont="1" applyFill="1" applyBorder="1"/>
    <xf numFmtId="165" fontId="3" fillId="7" borderId="0" xfId="1" applyFont="1" applyFill="1" applyBorder="1"/>
    <xf numFmtId="165" fontId="0" fillId="7" borderId="13" xfId="1" applyFont="1" applyFill="1" applyBorder="1"/>
    <xf numFmtId="165" fontId="0" fillId="7" borderId="0" xfId="1" applyFont="1" applyFill="1" applyBorder="1"/>
    <xf numFmtId="0" fontId="0" fillId="7" borderId="5" xfId="0" applyFill="1" applyBorder="1"/>
    <xf numFmtId="165" fontId="0" fillId="7" borderId="23" xfId="1" applyFont="1" applyFill="1" applyBorder="1"/>
    <xf numFmtId="165" fontId="3" fillId="7" borderId="23" xfId="1" applyFont="1" applyFill="1" applyBorder="1"/>
    <xf numFmtId="0" fontId="0" fillId="7" borderId="8" xfId="0" applyFill="1" applyBorder="1"/>
    <xf numFmtId="0" fontId="0" fillId="7" borderId="10" xfId="0" applyFill="1" applyBorder="1"/>
    <xf numFmtId="167" fontId="0" fillId="7" borderId="10" xfId="1" applyNumberFormat="1" applyFont="1" applyFill="1" applyBorder="1"/>
    <xf numFmtId="165" fontId="0" fillId="7" borderId="10" xfId="1" applyFont="1" applyFill="1" applyBorder="1"/>
    <xf numFmtId="165" fontId="3" fillId="7" borderId="25" xfId="1" applyFont="1" applyFill="1" applyBorder="1"/>
    <xf numFmtId="167" fontId="18" fillId="8" borderId="18" xfId="1" applyNumberFormat="1" applyFont="1" applyFill="1" applyBorder="1"/>
    <xf numFmtId="167" fontId="18" fillId="8" borderId="7" xfId="1" applyNumberFormat="1" applyFont="1" applyFill="1" applyBorder="1"/>
    <xf numFmtId="167" fontId="18" fillId="8" borderId="26" xfId="1" applyNumberFormat="1" applyFont="1" applyFill="1" applyBorder="1"/>
    <xf numFmtId="167" fontId="18" fillId="8" borderId="17" xfId="1" applyNumberFormat="1" applyFont="1" applyFill="1" applyBorder="1"/>
    <xf numFmtId="167" fontId="0" fillId="0" borderId="0" xfId="1" applyNumberFormat="1" applyFont="1" applyAlignment="1">
      <alignment horizontal="center" vertical="center"/>
    </xf>
    <xf numFmtId="167" fontId="0" fillId="7" borderId="5" xfId="1" applyNumberFormat="1" applyFont="1" applyFill="1" applyBorder="1" applyAlignment="1">
      <alignment horizontal="center"/>
    </xf>
    <xf numFmtId="167" fontId="3" fillId="4" borderId="15" xfId="0" applyNumberFormat="1" applyFont="1" applyFill="1" applyBorder="1"/>
    <xf numFmtId="2" fontId="0" fillId="7" borderId="0" xfId="1" applyNumberFormat="1" applyFont="1" applyFill="1" applyAlignment="1">
      <alignment horizontal="center"/>
    </xf>
    <xf numFmtId="168" fontId="0" fillId="4" borderId="41" xfId="0" applyNumberFormat="1" applyFill="1" applyBorder="1"/>
    <xf numFmtId="0" fontId="8" fillId="9" borderId="0" xfId="0" applyFont="1" applyFill="1" applyAlignment="1">
      <alignment horizontal="center" vertical="center" textRotation="90"/>
    </xf>
    <xf numFmtId="167" fontId="0" fillId="7" borderId="0" xfId="1" applyNumberFormat="1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6" borderId="17" xfId="0" applyFont="1" applyFill="1" applyBorder="1"/>
    <xf numFmtId="165" fontId="0" fillId="7" borderId="25" xfId="0" applyNumberFormat="1" applyFill="1" applyBorder="1"/>
    <xf numFmtId="10" fontId="0" fillId="8" borderId="18" xfId="1" applyNumberFormat="1" applyFont="1" applyFill="1" applyBorder="1" applyAlignment="1">
      <alignment horizontal="center"/>
    </xf>
    <xf numFmtId="10" fontId="0" fillId="7" borderId="17" xfId="1" applyNumberFormat="1" applyFont="1" applyFill="1" applyBorder="1" applyAlignment="1">
      <alignment horizontal="center"/>
    </xf>
    <xf numFmtId="168" fontId="0" fillId="4" borderId="43" xfId="0" applyNumberFormat="1" applyFill="1" applyBorder="1"/>
    <xf numFmtId="168" fontId="0" fillId="4" borderId="30" xfId="0" applyNumberFormat="1" applyFill="1" applyBorder="1"/>
    <xf numFmtId="168" fontId="0" fillId="4" borderId="44" xfId="0" applyNumberFormat="1" applyFill="1" applyBorder="1"/>
    <xf numFmtId="167" fontId="3" fillId="4" borderId="42" xfId="0" applyNumberFormat="1" applyFont="1" applyFill="1" applyBorder="1"/>
    <xf numFmtId="167" fontId="0" fillId="8" borderId="17" xfId="1" applyNumberFormat="1" applyFont="1" applyFill="1" applyBorder="1" applyAlignment="1">
      <alignment horizontal="center"/>
    </xf>
    <xf numFmtId="167" fontId="0" fillId="8" borderId="18" xfId="1" applyNumberFormat="1" applyFont="1" applyFill="1" applyBorder="1" applyAlignment="1">
      <alignment horizontal="center"/>
    </xf>
    <xf numFmtId="167" fontId="3" fillId="4" borderId="26" xfId="0" applyNumberFormat="1" applyFont="1" applyFill="1" applyBorder="1"/>
    <xf numFmtId="167" fontId="3" fillId="4" borderId="33" xfId="0" applyNumberFormat="1" applyFont="1" applyFill="1" applyBorder="1"/>
    <xf numFmtId="0" fontId="14" fillId="6" borderId="0" xfId="0" applyFont="1" applyFill="1"/>
    <xf numFmtId="10" fontId="0" fillId="8" borderId="42" xfId="1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4" fillId="6" borderId="26" xfId="0" applyFont="1" applyFill="1" applyBorder="1" applyAlignment="1">
      <alignment horizontal="center" vertical="center"/>
    </xf>
    <xf numFmtId="2" fontId="0" fillId="5" borderId="18" xfId="0" applyNumberFormat="1" applyFill="1" applyBorder="1"/>
    <xf numFmtId="2" fontId="0" fillId="5" borderId="31" xfId="0" applyNumberFormat="1" applyFill="1" applyBorder="1"/>
    <xf numFmtId="2" fontId="0" fillId="11" borderId="31" xfId="0" applyNumberFormat="1" applyFill="1" applyBorder="1"/>
    <xf numFmtId="2" fontId="0" fillId="5" borderId="17" xfId="0" applyNumberFormat="1" applyFill="1" applyBorder="1"/>
    <xf numFmtId="0" fontId="4" fillId="6" borderId="41" xfId="0" applyFont="1" applyFill="1" applyBorder="1" applyAlignment="1">
      <alignment horizontal="center"/>
    </xf>
    <xf numFmtId="10" fontId="0" fillId="8" borderId="20" xfId="1" applyNumberFormat="1" applyFont="1" applyFill="1" applyBorder="1" applyAlignment="1">
      <alignment horizontal="center"/>
    </xf>
    <xf numFmtId="10" fontId="0" fillId="7" borderId="12" xfId="1" applyNumberFormat="1" applyFont="1" applyFill="1" applyBorder="1" applyAlignment="1">
      <alignment horizontal="center"/>
    </xf>
    <xf numFmtId="10" fontId="0" fillId="8" borderId="7" xfId="1" applyNumberFormat="1" applyFont="1" applyFill="1" applyBorder="1" applyAlignment="1">
      <alignment horizontal="center"/>
    </xf>
    <xf numFmtId="10" fontId="0" fillId="7" borderId="7" xfId="1" applyNumberFormat="1" applyFont="1" applyFill="1" applyBorder="1" applyAlignment="1">
      <alignment horizontal="center"/>
    </xf>
    <xf numFmtId="167" fontId="0" fillId="7" borderId="28" xfId="1" applyNumberFormat="1" applyFont="1" applyFill="1" applyBorder="1" applyAlignment="1">
      <alignment horizontal="center" vertical="center" wrapText="1"/>
    </xf>
    <xf numFmtId="167" fontId="0" fillId="8" borderId="2" xfId="0" applyNumberFormat="1" applyFill="1" applyBorder="1" applyAlignment="1">
      <alignment horizontal="center"/>
    </xf>
    <xf numFmtId="167" fontId="0" fillId="7" borderId="28" xfId="1" applyNumberFormat="1" applyFont="1" applyFill="1" applyBorder="1" applyAlignment="1">
      <alignment horizontal="center"/>
    </xf>
    <xf numFmtId="2" fontId="0" fillId="7" borderId="13" xfId="1" applyNumberFormat="1" applyFont="1" applyFill="1" applyBorder="1" applyAlignment="1">
      <alignment horizontal="center"/>
    </xf>
    <xf numFmtId="167" fontId="0" fillId="7" borderId="45" xfId="1" applyNumberFormat="1" applyFont="1" applyFill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165" fontId="0" fillId="0" borderId="0" xfId="1" applyFont="1"/>
    <xf numFmtId="167" fontId="0" fillId="0" borderId="0" xfId="1" applyNumberFormat="1" applyFont="1"/>
    <xf numFmtId="0" fontId="5" fillId="7" borderId="7" xfId="0" applyFont="1" applyFill="1" applyBorder="1" applyAlignment="1">
      <alignment horizontal="center"/>
    </xf>
    <xf numFmtId="167" fontId="13" fillId="7" borderId="2" xfId="0" applyNumberFormat="1" applyFont="1" applyFill="1" applyBorder="1" applyAlignment="1">
      <alignment horizontal="center"/>
    </xf>
    <xf numFmtId="167" fontId="13" fillId="7" borderId="4" xfId="0" applyNumberFormat="1" applyFont="1" applyFill="1" applyBorder="1" applyAlignment="1">
      <alignment horizontal="center"/>
    </xf>
    <xf numFmtId="167" fontId="13" fillId="7" borderId="6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167" fontId="13" fillId="7" borderId="16" xfId="0" applyNumberFormat="1" applyFont="1" applyFill="1" applyBorder="1" applyAlignment="1">
      <alignment horizontal="center"/>
    </xf>
    <xf numFmtId="167" fontId="13" fillId="7" borderId="16" xfId="1" applyNumberFormat="1" applyFont="1" applyFill="1" applyBorder="1" applyAlignment="1">
      <alignment horizontal="center"/>
    </xf>
    <xf numFmtId="167" fontId="13" fillId="7" borderId="0" xfId="0" applyNumberFormat="1" applyFont="1" applyFill="1" applyAlignment="1">
      <alignment horizontal="center"/>
    </xf>
    <xf numFmtId="167" fontId="13" fillId="7" borderId="0" xfId="1" applyNumberFormat="1" applyFont="1" applyFill="1" applyBorder="1" applyAlignment="1">
      <alignment horizontal="center"/>
    </xf>
    <xf numFmtId="167" fontId="13" fillId="7" borderId="24" xfId="0" applyNumberFormat="1" applyFont="1" applyFill="1" applyBorder="1" applyAlignment="1">
      <alignment horizontal="center"/>
    </xf>
    <xf numFmtId="167" fontId="13" fillId="7" borderId="24" xfId="1" applyNumberFormat="1" applyFont="1" applyFill="1" applyBorder="1" applyAlignment="1">
      <alignment horizontal="center"/>
    </xf>
    <xf numFmtId="167" fontId="13" fillId="7" borderId="2" xfId="1" applyNumberFormat="1" applyFont="1" applyFill="1" applyBorder="1" applyAlignment="1">
      <alignment horizontal="center"/>
    </xf>
    <xf numFmtId="167" fontId="13" fillId="7" borderId="4" xfId="1" applyNumberFormat="1" applyFont="1" applyFill="1" applyBorder="1" applyAlignment="1">
      <alignment horizontal="center"/>
    </xf>
    <xf numFmtId="167" fontId="13" fillId="7" borderId="6" xfId="1" applyNumberFormat="1" applyFont="1" applyFill="1" applyBorder="1" applyAlignment="1">
      <alignment horizontal="center"/>
    </xf>
    <xf numFmtId="9" fontId="0" fillId="7" borderId="4" xfId="2" applyFont="1" applyFill="1" applyBorder="1" applyAlignment="1">
      <alignment horizontal="center"/>
    </xf>
    <xf numFmtId="9" fontId="0" fillId="7" borderId="6" xfId="2" applyFont="1" applyFill="1" applyBorder="1" applyAlignment="1">
      <alignment horizontal="center"/>
    </xf>
    <xf numFmtId="167" fontId="20" fillId="7" borderId="0" xfId="0" applyNumberFormat="1" applyFont="1" applyFill="1" applyAlignment="1">
      <alignment horizontal="center"/>
    </xf>
    <xf numFmtId="167" fontId="20" fillId="7" borderId="0" xfId="1" applyNumberFormat="1" applyFont="1" applyFill="1" applyBorder="1" applyAlignment="1">
      <alignment horizontal="center"/>
    </xf>
    <xf numFmtId="167" fontId="20" fillId="7" borderId="4" xfId="0" applyNumberFormat="1" applyFont="1" applyFill="1" applyBorder="1" applyAlignment="1">
      <alignment horizontal="center"/>
    </xf>
    <xf numFmtId="9" fontId="21" fillId="7" borderId="4" xfId="2" applyFont="1" applyFill="1" applyBorder="1" applyAlignment="1">
      <alignment horizontal="center"/>
    </xf>
    <xf numFmtId="9" fontId="0" fillId="5" borderId="26" xfId="0" applyNumberFormat="1" applyFill="1" applyBorder="1"/>
    <xf numFmtId="9" fontId="3" fillId="5" borderId="17" xfId="0" applyNumberFormat="1" applyFont="1" applyFill="1" applyBorder="1" applyAlignment="1">
      <alignment horizontal="center"/>
    </xf>
    <xf numFmtId="167" fontId="0" fillId="7" borderId="24" xfId="1" applyNumberFormat="1" applyFont="1" applyFill="1" applyBorder="1" applyAlignment="1">
      <alignment horizontal="center"/>
    </xf>
    <xf numFmtId="167" fontId="0" fillId="7" borderId="1" xfId="1" applyNumberFormat="1" applyFont="1" applyFill="1" applyBorder="1" applyAlignment="1">
      <alignment horizontal="center"/>
    </xf>
    <xf numFmtId="166" fontId="0" fillId="0" borderId="0" xfId="0" applyNumberFormat="1"/>
    <xf numFmtId="167" fontId="0" fillId="8" borderId="12" xfId="1" applyNumberFormat="1" applyFont="1" applyFill="1" applyBorder="1" applyAlignment="1">
      <alignment horizontal="center"/>
    </xf>
    <xf numFmtId="167" fontId="0" fillId="8" borderId="2" xfId="1" applyNumberFormat="1" applyFont="1" applyFill="1" applyBorder="1" applyAlignment="1">
      <alignment horizontal="center" vertical="center"/>
    </xf>
    <xf numFmtId="167" fontId="0" fillId="8" borderId="6" xfId="1" applyNumberFormat="1" applyFont="1" applyFill="1" applyBorder="1" applyAlignment="1">
      <alignment horizontal="center" vertical="center"/>
    </xf>
    <xf numFmtId="168" fontId="0" fillId="4" borderId="2" xfId="0" applyNumberFormat="1" applyFill="1" applyBorder="1"/>
    <xf numFmtId="168" fontId="0" fillId="4" borderId="4" xfId="0" applyNumberFormat="1" applyFill="1" applyBorder="1"/>
    <xf numFmtId="168" fontId="0" fillId="4" borderId="6" xfId="0" applyNumberFormat="1" applyFill="1" applyBorder="1"/>
    <xf numFmtId="169" fontId="0" fillId="7" borderId="1" xfId="1" applyNumberFormat="1" applyFont="1" applyFill="1" applyBorder="1" applyAlignment="1">
      <alignment horizontal="center"/>
    </xf>
    <xf numFmtId="169" fontId="0" fillId="7" borderId="3" xfId="1" applyNumberFormat="1" applyFont="1" applyFill="1" applyBorder="1" applyAlignment="1">
      <alignment horizontal="center"/>
    </xf>
    <xf numFmtId="169" fontId="0" fillId="7" borderId="5" xfId="1" applyNumberFormat="1" applyFont="1" applyFill="1" applyBorder="1" applyAlignment="1">
      <alignment horizontal="center"/>
    </xf>
    <xf numFmtId="165" fontId="4" fillId="6" borderId="0" xfId="1" applyFont="1" applyFill="1" applyAlignment="1">
      <alignment horizontal="center" vertical="center"/>
    </xf>
    <xf numFmtId="167" fontId="0" fillId="8" borderId="39" xfId="0" applyNumberFormat="1" applyFill="1" applyBorder="1"/>
    <xf numFmtId="167" fontId="0" fillId="7" borderId="39" xfId="0" applyNumberFormat="1" applyFill="1" applyBorder="1"/>
    <xf numFmtId="0" fontId="23" fillId="2" borderId="8" xfId="0" applyFont="1" applyFill="1" applyBorder="1"/>
    <xf numFmtId="9" fontId="0" fillId="8" borderId="7" xfId="2" applyFont="1" applyFill="1" applyBorder="1"/>
    <xf numFmtId="9" fontId="0" fillId="7" borderId="2" xfId="2" applyFont="1" applyFill="1" applyBorder="1"/>
    <xf numFmtId="2" fontId="22" fillId="2" borderId="7" xfId="0" applyNumberFormat="1" applyFont="1" applyFill="1" applyBorder="1"/>
    <xf numFmtId="2" fontId="23" fillId="2" borderId="11" xfId="1" applyNumberFormat="1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 vertical="center" textRotation="90"/>
    </xf>
    <xf numFmtId="0" fontId="4" fillId="6" borderId="26" xfId="0" applyFont="1" applyFill="1" applyBorder="1"/>
    <xf numFmtId="0" fontId="4" fillId="6" borderId="17" xfId="0" applyFont="1" applyFill="1" applyBorder="1" applyAlignment="1">
      <alignment horizontal="center"/>
    </xf>
    <xf numFmtId="10" fontId="0" fillId="8" borderId="17" xfId="1" applyNumberFormat="1" applyFont="1" applyFill="1" applyBorder="1" applyAlignment="1">
      <alignment horizontal="center"/>
    </xf>
    <xf numFmtId="165" fontId="0" fillId="7" borderId="17" xfId="1" applyFont="1" applyFill="1" applyBorder="1" applyAlignment="1">
      <alignment horizontal="center"/>
    </xf>
    <xf numFmtId="0" fontId="24" fillId="2" borderId="8" xfId="0" applyFont="1" applyFill="1" applyBorder="1"/>
    <xf numFmtId="165" fontId="24" fillId="2" borderId="11" xfId="1" applyFont="1" applyFill="1" applyBorder="1" applyAlignment="1">
      <alignment horizontal="center"/>
    </xf>
    <xf numFmtId="167" fontId="3" fillId="4" borderId="7" xfId="0" applyNumberFormat="1" applyFont="1" applyFill="1" applyBorder="1"/>
    <xf numFmtId="166" fontId="4" fillId="6" borderId="2" xfId="0" applyNumberFormat="1" applyFont="1" applyFill="1" applyBorder="1" applyAlignment="1">
      <alignment horizontal="center" vertical="center"/>
    </xf>
    <xf numFmtId="169" fontId="0" fillId="8" borderId="6" xfId="1" applyNumberFormat="1" applyFont="1" applyFill="1" applyBorder="1" applyAlignment="1">
      <alignment horizontal="center"/>
    </xf>
    <xf numFmtId="10" fontId="0" fillId="0" borderId="0" xfId="0" applyNumberFormat="1"/>
    <xf numFmtId="0" fontId="4" fillId="12" borderId="7" xfId="0" applyFont="1" applyFill="1" applyBorder="1"/>
    <xf numFmtId="0" fontId="4" fillId="6" borderId="12" xfId="0" applyFont="1" applyFill="1" applyBorder="1"/>
    <xf numFmtId="9" fontId="0" fillId="0" borderId="0" xfId="2" applyFont="1"/>
    <xf numFmtId="10" fontId="0" fillId="0" borderId="0" xfId="2" applyNumberFormat="1" applyFont="1"/>
    <xf numFmtId="167" fontId="3" fillId="4" borderId="6" xfId="0" applyNumberFormat="1" applyFont="1" applyFill="1" applyBorder="1"/>
    <xf numFmtId="0" fontId="0" fillId="8" borderId="0" xfId="0" applyFill="1"/>
    <xf numFmtId="10" fontId="0" fillId="7" borderId="26" xfId="1" applyNumberFormat="1" applyFont="1" applyFill="1" applyBorder="1" applyAlignment="1">
      <alignment horizontal="center"/>
    </xf>
    <xf numFmtId="165" fontId="4" fillId="6" borderId="36" xfId="1" applyFont="1" applyFill="1" applyBorder="1" applyAlignment="1">
      <alignment horizontal="center" vertical="center"/>
    </xf>
    <xf numFmtId="167" fontId="0" fillId="8" borderId="7" xfId="0" applyNumberFormat="1" applyFill="1" applyBorder="1"/>
    <xf numFmtId="0" fontId="17" fillId="7" borderId="8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7" fillId="7" borderId="24" xfId="0" applyFont="1" applyFill="1" applyBorder="1" applyAlignment="1">
      <alignment horizontal="center"/>
    </xf>
    <xf numFmtId="2" fontId="13" fillId="7" borderId="7" xfId="0" applyNumberFormat="1" applyFont="1" applyFill="1" applyBorder="1" applyAlignment="1">
      <alignment horizontal="center"/>
    </xf>
    <xf numFmtId="170" fontId="0" fillId="2" borderId="0" xfId="2" applyNumberFormat="1" applyFont="1" applyFill="1"/>
    <xf numFmtId="167" fontId="0" fillId="2" borderId="0" xfId="1" applyNumberFormat="1" applyFont="1" applyFill="1"/>
    <xf numFmtId="0" fontId="0" fillId="0" borderId="10" xfId="0" applyBorder="1"/>
    <xf numFmtId="167" fontId="0" fillId="0" borderId="10" xfId="1" applyNumberFormat="1" applyFont="1" applyBorder="1"/>
    <xf numFmtId="43" fontId="0" fillId="4" borderId="3" xfId="0" applyNumberFormat="1" applyFill="1" applyBorder="1"/>
    <xf numFmtId="167" fontId="3" fillId="0" borderId="0" xfId="1" applyNumberFormat="1" applyFont="1"/>
    <xf numFmtId="167" fontId="0" fillId="8" borderId="0" xfId="0" applyNumberFormat="1" applyFill="1"/>
    <xf numFmtId="167" fontId="0" fillId="7" borderId="0" xfId="0" applyNumberFormat="1" applyFill="1"/>
    <xf numFmtId="0" fontId="24" fillId="13" borderId="8" xfId="0" applyFont="1" applyFill="1" applyBorder="1"/>
    <xf numFmtId="165" fontId="24" fillId="13" borderId="11" xfId="1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4" fillId="14" borderId="24" xfId="0" applyFont="1" applyFill="1" applyBorder="1" applyAlignment="1">
      <alignment horizontal="center"/>
    </xf>
    <xf numFmtId="0" fontId="4" fillId="14" borderId="23" xfId="0" applyFont="1" applyFill="1" applyBorder="1" applyAlignment="1">
      <alignment horizontal="center"/>
    </xf>
    <xf numFmtId="0" fontId="0" fillId="7" borderId="2" xfId="0" applyFill="1" applyBorder="1"/>
    <xf numFmtId="164" fontId="0" fillId="7" borderId="2" xfId="3" applyFont="1" applyFill="1" applyBorder="1"/>
    <xf numFmtId="167" fontId="0" fillId="7" borderId="2" xfId="1" applyNumberFormat="1" applyFont="1" applyFill="1" applyBorder="1"/>
    <xf numFmtId="171" fontId="0" fillId="7" borderId="28" xfId="3" applyNumberFormat="1" applyFont="1" applyFill="1" applyBorder="1"/>
    <xf numFmtId="0" fontId="0" fillId="7" borderId="4" xfId="0" applyFill="1" applyBorder="1"/>
    <xf numFmtId="164" fontId="0" fillId="7" borderId="4" xfId="3" applyFont="1" applyFill="1" applyBorder="1"/>
    <xf numFmtId="167" fontId="0" fillId="7" borderId="4" xfId="1" applyNumberFormat="1" applyFont="1" applyFill="1" applyBorder="1"/>
    <xf numFmtId="171" fontId="0" fillId="7" borderId="13" xfId="3" applyNumberFormat="1" applyFont="1" applyFill="1" applyBorder="1"/>
    <xf numFmtId="0" fontId="0" fillId="7" borderId="6" xfId="0" applyFill="1" applyBorder="1"/>
    <xf numFmtId="164" fontId="0" fillId="7" borderId="6" xfId="3" applyFont="1" applyFill="1" applyBorder="1"/>
    <xf numFmtId="167" fontId="0" fillId="7" borderId="6" xfId="1" applyNumberFormat="1" applyFont="1" applyFill="1" applyBorder="1"/>
    <xf numFmtId="171" fontId="0" fillId="7" borderId="23" xfId="3" applyNumberFormat="1" applyFont="1" applyFill="1" applyBorder="1"/>
    <xf numFmtId="0" fontId="0" fillId="15" borderId="7" xfId="0" applyFill="1" applyBorder="1"/>
    <xf numFmtId="164" fontId="25" fillId="16" borderId="7" xfId="3" applyFont="1" applyFill="1" applyBorder="1"/>
    <xf numFmtId="167" fontId="0" fillId="15" borderId="7" xfId="1" applyNumberFormat="1" applyFont="1" applyFill="1" applyBorder="1"/>
    <xf numFmtId="171" fontId="0" fillId="15" borderId="25" xfId="3" applyNumberFormat="1" applyFont="1" applyFill="1" applyBorder="1"/>
    <xf numFmtId="167" fontId="0" fillId="7" borderId="32" xfId="1" applyNumberFormat="1" applyFont="1" applyFill="1" applyBorder="1" applyAlignment="1">
      <alignment horizontal="center"/>
    </xf>
    <xf numFmtId="43" fontId="0" fillId="0" borderId="0" xfId="0" applyNumberFormat="1" applyAlignment="1">
      <alignment horizontal="center" vertical="center"/>
    </xf>
    <xf numFmtId="167" fontId="0" fillId="7" borderId="2" xfId="0" applyNumberFormat="1" applyFill="1" applyBorder="1"/>
    <xf numFmtId="167" fontId="0" fillId="7" borderId="4" xfId="0" applyNumberFormat="1" applyFill="1" applyBorder="1"/>
    <xf numFmtId="0" fontId="0" fillId="7" borderId="7" xfId="0" applyFill="1" applyBorder="1"/>
    <xf numFmtId="167" fontId="0" fillId="7" borderId="7" xfId="0" applyNumberFormat="1" applyFill="1" applyBorder="1"/>
    <xf numFmtId="2" fontId="0" fillId="7" borderId="44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2" borderId="13" xfId="0" applyFill="1" applyBorder="1"/>
    <xf numFmtId="0" fontId="0" fillId="0" borderId="0" xfId="0" applyAlignment="1">
      <alignment wrapText="1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textRotation="90"/>
    </xf>
    <xf numFmtId="0" fontId="8" fillId="9" borderId="4" xfId="0" applyFont="1" applyFill="1" applyBorder="1" applyAlignment="1">
      <alignment horizontal="center" vertical="center" textRotation="90"/>
    </xf>
    <xf numFmtId="0" fontId="8" fillId="9" borderId="6" xfId="0" applyFont="1" applyFill="1" applyBorder="1" applyAlignment="1">
      <alignment horizontal="center" vertical="center" textRotation="90"/>
    </xf>
    <xf numFmtId="0" fontId="14" fillId="10" borderId="2" xfId="0" applyFont="1" applyFill="1" applyBorder="1" applyAlignment="1">
      <alignment horizontal="center" textRotation="90"/>
    </xf>
    <xf numFmtId="0" fontId="14" fillId="10" borderId="4" xfId="0" applyFont="1" applyFill="1" applyBorder="1" applyAlignment="1">
      <alignment horizontal="center" textRotation="90"/>
    </xf>
    <xf numFmtId="0" fontId="14" fillId="10" borderId="6" xfId="0" applyFont="1" applyFill="1" applyBorder="1" applyAlignment="1">
      <alignment horizontal="center" textRotation="90"/>
    </xf>
    <xf numFmtId="0" fontId="9" fillId="3" borderId="18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7" fillId="7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10" borderId="2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/>
    </xf>
    <xf numFmtId="0" fontId="16" fillId="10" borderId="16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7" fontId="0" fillId="7" borderId="0" xfId="1" applyNumberFormat="1" applyFont="1" applyFill="1" applyBorder="1" applyAlignment="1"/>
    <xf numFmtId="167" fontId="0" fillId="7" borderId="13" xfId="1" applyNumberFormat="1" applyFont="1" applyFill="1" applyBorder="1" applyAlignment="1"/>
    <xf numFmtId="167" fontId="0" fillId="7" borderId="24" xfId="1" applyNumberFormat="1" applyFont="1" applyFill="1" applyBorder="1" applyAlignment="1"/>
    <xf numFmtId="167" fontId="0" fillId="7" borderId="23" xfId="1" applyNumberFormat="1" applyFont="1" applyFill="1" applyBorder="1" applyAlignment="1"/>
    <xf numFmtId="167" fontId="0" fillId="7" borderId="3" xfId="1" applyNumberFormat="1" applyFont="1" applyFill="1" applyBorder="1" applyAlignment="1">
      <alignment horizontal="center"/>
    </xf>
    <xf numFmtId="167" fontId="0" fillId="7" borderId="0" xfId="1" applyNumberFormat="1" applyFont="1" applyFill="1" applyBorder="1" applyAlignment="1">
      <alignment horizontal="center"/>
    </xf>
    <xf numFmtId="167" fontId="0" fillId="7" borderId="13" xfId="1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167" fontId="0" fillId="7" borderId="16" xfId="1" applyNumberFormat="1" applyFont="1" applyFill="1" applyBorder="1" applyAlignment="1"/>
    <xf numFmtId="167" fontId="0" fillId="7" borderId="28" xfId="1" applyNumberFormat="1" applyFont="1" applyFill="1" applyBorder="1" applyAlignment="1"/>
    <xf numFmtId="0" fontId="0" fillId="5" borderId="18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167" fontId="0" fillId="7" borderId="5" xfId="1" applyNumberFormat="1" applyFont="1" applyFill="1" applyBorder="1" applyAlignment="1">
      <alignment horizontal="center"/>
    </xf>
    <xf numFmtId="167" fontId="0" fillId="7" borderId="24" xfId="1" applyNumberFormat="1" applyFont="1" applyFill="1" applyBorder="1" applyAlignment="1">
      <alignment horizontal="center"/>
    </xf>
    <xf numFmtId="167" fontId="0" fillId="7" borderId="23" xfId="1" applyNumberFormat="1" applyFont="1" applyFill="1" applyBorder="1" applyAlignment="1">
      <alignment horizontal="center"/>
    </xf>
    <xf numFmtId="0" fontId="14" fillId="6" borderId="24" xfId="0" applyFont="1" applyFill="1" applyBorder="1" applyAlignment="1">
      <alignment horizontal="center" vertical="center"/>
    </xf>
    <xf numFmtId="167" fontId="0" fillId="7" borderId="1" xfId="1" applyNumberFormat="1" applyFont="1" applyFill="1" applyBorder="1" applyAlignment="1">
      <alignment horizontal="center"/>
    </xf>
    <xf numFmtId="167" fontId="0" fillId="7" borderId="16" xfId="1" applyNumberFormat="1" applyFont="1" applyFill="1" applyBorder="1" applyAlignment="1">
      <alignment horizontal="center"/>
    </xf>
    <xf numFmtId="167" fontId="0" fillId="7" borderId="28" xfId="1" applyNumberFormat="1" applyFont="1" applyFill="1" applyBorder="1" applyAlignment="1">
      <alignment horizontal="center"/>
    </xf>
    <xf numFmtId="0" fontId="4" fillId="12" borderId="16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10" fontId="3" fillId="7" borderId="8" xfId="2" applyNumberFormat="1" applyFont="1" applyFill="1" applyBorder="1" applyAlignment="1">
      <alignment horizontal="center"/>
    </xf>
    <xf numFmtId="10" fontId="3" fillId="7" borderId="25" xfId="2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16" xfId="0" applyFont="1" applyFill="1" applyBorder="1" applyAlignment="1">
      <alignment horizontal="center"/>
    </xf>
    <xf numFmtId="0" fontId="4" fillId="14" borderId="28" xfId="0" applyFont="1" applyFill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2BA52AE9-98EC-47E0-BDE1-CE15DBD7F249}">
    <Anchor>
      <Comment id="{0A4976E5-B326-4442-9FDC-271645CAAF5A}"/>
    </Anchor>
    <History>
      <Event time="2023-06-19T09:28:10.91" id="{DEDB6541-EC13-4AB1-9B41-CAF860C3FD1C}">
        <Attribution userId="S::ner-kennethh@nergard.no::54b6dac4-46db-413e-a829-2d0a2e2306b7" userName="Kenneth Holmøy" userProvider="AD"/>
        <Anchor>
          <Comment id="{0A4976E5-B326-4442-9FDC-271645CAAF5A}"/>
        </Anchor>
        <Create/>
      </Event>
      <Event time="2023-06-19T09:28:10.91" id="{CB47A397-483A-4A8A-9698-23862A00F6C5}">
        <Attribution userId="S::ner-kennethh@nergard.no::54b6dac4-46db-413e-a829-2d0a2e2306b7" userName="Kenneth Holmøy" userProvider="AD"/>
        <Anchor>
          <Comment id="{0A4976E5-B326-4442-9FDC-271645CAAF5A}"/>
        </Anchor>
        <Assign userId="S::maskin.breidtind@nergard.no::7d744a06-ef86-4935-8cd7-06f8e7e53707" userName="Maskin Breidtind" userProvider="AD"/>
      </Event>
      <Event time="2023-06-19T09:28:10.91" id="{227A46FD-FE7B-4A42-87AC-76B76AACC095}">
        <Attribution userId="S::ner-kennethh@nergard.no::54b6dac4-46db-413e-a829-2d0a2e2306b7" userName="Kenneth Holmøy" userProvider="AD"/>
        <Anchor>
          <Comment id="{0A4976E5-B326-4442-9FDC-271645CAAF5A}"/>
        </Anchor>
        <SetTitle title="@Maskin Breidtind @Breidtind husk å fylle ut bunkersforbruk😊"/>
      </Event>
      <Event time="2023-07-01T06:18:30.80" id="{59602113-A863-48DD-9218-263785B063CF}">
        <Attribution userId="S::maskin.breidtind@nergard.no::7d744a06-ef86-4935-8cd7-06f8e7e53707" userName="Maskin Breidtind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356BA390-2400-4AE4-B21A-53C5A37DE7C9}">
    <Anchor>
      <Comment id="{C101F8CD-E174-47C4-8943-87396FC44C3D}"/>
    </Anchor>
    <History>
      <Event time="2024-04-14T14:39:53.01" id="{E8430CEA-01DC-4142-BFFD-BB9813734743}">
        <Attribution userId="S::ner-kennethh@nergard.no::54b6dac4-46db-413e-a829-2d0a2e2306b7" userName="Kenneth Holmøy" userProvider="AD"/>
        <Anchor>
          <Comment id="{C101F8CD-E174-47C4-8943-87396FC44C3D}"/>
        </Anchor>
        <Create/>
      </Event>
      <Event time="2024-04-14T14:39:53.01" id="{58BD9C05-9474-421D-B4B0-6B6B9F712375}">
        <Attribution userId="S::ner-kennethh@nergard.no::54b6dac4-46db-413e-a829-2d0a2e2306b7" userName="Kenneth Holmøy" userProvider="AD"/>
        <Anchor>
          <Comment id="{C101F8CD-E174-47C4-8943-87396FC44C3D}"/>
        </Anchor>
        <Assign userId="S::maskin.breidtind@nergard.no::7d744a06-ef86-4935-8cd7-06f8e7e53707" userName="Maskin Breidtind" userProvider="AD"/>
      </Event>
      <Event time="2024-04-14T14:39:53.01" id="{EFAA530D-C5E0-493D-9482-0C5B4536F69B}">
        <Attribution userId="S::ner-kennethh@nergard.no::54b6dac4-46db-413e-a829-2d0a2e2306b7" userName="Kenneth Holmøy" userProvider="AD"/>
        <Anchor>
          <Comment id="{C101F8CD-E174-47C4-8943-87396FC44C3D}"/>
        </Anchor>
        <SetTitle title="@Maskin Breidtind "/>
      </Event>
      <Event time="2024-04-30T03:28:32.55" id="{E8FF6A39-5720-4026-9564-32F02FC66802}">
        <Attribution userId="S::maskin.breidtind@nergard.no::7d744a06-ef86-4935-8cd7-06f8e7e53707" userName="Maskin Breidtind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2AE3C4B-0E16-4872-8E98-3F952E126789}">
    <Anchor>
      <Comment id="{3C8B0FD0-15D0-4CA0-80BE-D6430FA3CD56}"/>
    </Anchor>
    <History>
      <Event time="2025-01-28T11:13:23.0" id="{0FE06928-E624-4C45-AFFA-F2078BE5845E}">
        <Attribution userId="S::ner-kennethh@nergard.no::54b6dac4-46db-413e-a829-2d0a2e2306b7" userName="Kenneth Holmøy" userProvider="AD"/>
        <Anchor>
          <Comment id="{3C8B0FD0-15D0-4CA0-80BE-D6430FA3CD56}"/>
        </Anchor>
        <Create/>
      </Event>
      <Event time="2025-01-28T11:13:23.0" id="{60D9E87C-7A81-458C-BD46-3E4E1FED91F0}">
        <Attribution userId="S::ner-kennethh@nergard.no::54b6dac4-46db-413e-a829-2d0a2e2306b7" userName="Kenneth Holmøy" userProvider="AD"/>
        <Anchor>
          <Comment id="{3C8B0FD0-15D0-4CA0-80BE-D6430FA3CD56}"/>
        </Anchor>
        <Assign userId="S::ner-izvorr@nergard.no::13f3e9c4-297c-456f-aad4-81ff085cf436" userName="Izvor Radovic" userProvider="AD"/>
      </Event>
      <Event time="2025-01-28T11:13:23.0" id="{8F948FF6-8D25-4CE9-A297-9822FFFC77DD}">
        <Attribution userId="S::ner-kennethh@nergard.no::54b6dac4-46db-413e-a829-2d0a2e2306b7" userName="Kenneth Holmøy" userProvider="AD"/>
        <Anchor>
          <Comment id="{3C8B0FD0-15D0-4CA0-80BE-D6430FA3CD56}"/>
        </Anchor>
        <SetTitle title="@Izvor Radovic "/>
      </Event>
      <Event time="2025-01-28T16:02:30.11" id="{CCBA9B25-2CAD-4520-BA7C-15556FDF91CE}">
        <Attribution userId="S::maskin.breidtind@nergard.no::7d744a06-ef86-4935-8cd7-06f8e7e53707" userName="Maskin Breidtind" userProvider="AD"/>
        <Progress percentComplete="100"/>
      </Event>
      <Event time="2025-01-28T16:02:35.10" id="{16E29D8A-8608-4BE7-A256-947D2F7DD51B}">
        <Attribution userId="S::maskin.breidtind@nergard.no::7d744a06-ef86-4935-8cd7-06f8e7e53707" userName="Maskin Breidtind" userProvider="AD"/>
        <Progress percentComplete="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Breidtind" id="{2D35F1D3-B20E-4374-96D1-5CBE25F7B6CF}" userId="breidtind@Nergard.no" providerId="PeoplePicker"/>
  <person displayName="Izvor Radovic" id="{2FE72D1E-29CB-47AD-A2AC-F9C636A53282}" userId="ner-izvorr@nergard.no" providerId="PeoplePicker"/>
  <person displayName="Torgeir Mannvik" id="{927C7173-B493-4C9D-9445-DD191303518D}" userId="Torgeir.Mannvik@nergard.no" providerId="PeoplePicker"/>
  <person displayName="Maskin Breidtind" id="{B7AF719C-F1DA-4AB6-B448-1A4C87888CC0}" userId="maskin.breidtind@nergard.no" providerId="PeoplePicker"/>
  <person displayName="Fabrikk Breidtind" id="{DF2D6239-D204-47CE-A47C-20AE6E4A6833}" userId="fabrikk.breidtind@nergard.no" providerId="PeoplePicker"/>
  <person displayName="Sindre Bertheussen" id="{71A98AB4-C9D1-4CBB-A25F-705CB9B6A766}" userId="Sindre.Bertheussen@nergard.no" providerId="PeoplePicker"/>
  <person displayName="Marte Antonsen" id="{39DBE40D-02ED-4DA8-8849-5B99785FB41D}" userId="S::ner-martea@nergard.no::cf4f8352-bea0-4641-9ebf-896d44b23c28" providerId="AD"/>
  <person displayName="Kenneth Holmøy" id="{BDF89E57-7864-4913-A3E8-D89D7C720026}" userId="S::ner-kennethh@Nergard.no::54b6dac4-46db-413e-a829-2d0a2e2306b7" providerId="AD"/>
  <person displayName="Kenneth Holmøy" id="{4DB6E247-0BDB-449E-B2C4-F1248446F183}" userId="S::ner-kennethh@nergard.no::54b6dac4-46db-413e-a829-2d0a2e2306b7" providerId="AD"/>
  <person displayName="Maskin Breidtind" id="{58A3AAF4-C448-4D31-871A-7A5F1C1C6334}" userId="S::maskin.breidtind@nergard.no::7d744a06-ef86-4935-8cd7-06f8e7e53707" providerId="AD"/>
  <person displayName="Gjestebruker" id="{EA9ACE42-0A3F-4587-8BC6-6E02C1072C5D}" userId="S::urn:spo:anon#bd4d950495d90459527e19d82b210f623f92dbdaffcbff297b6957c27a0e3141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4" dT="2020-12-11T10:21:36.57" personId="{BDF89E57-7864-4913-A3E8-D89D7C720026}" id="{070514CB-9F02-4634-A868-18F0704F4D04}">
    <text>Hvor mange timer har man ikke produsert og hva skyldes det</text>
  </threadedComment>
  <threadedComment ref="B44" dT="2020-12-11T13:15:23.17" personId="{EA9ACE42-0A3F-4587-8BC6-6E02C1072C5D}" id="{A41868C8-5018-488B-B3E0-31CD7A0B6BE9}" parentId="{070514CB-9F02-4634-A868-18F0704F4D04}">
    <text>Er alt dette for å lage statestikk til andre?
Thomas</text>
  </threadedComment>
  <threadedComment ref="B44" dT="2020-12-11T13:27:52.24" personId="{4DB6E247-0BDB-449E-B2C4-F1248446F183}" id="{AC644C1B-1556-4E54-B450-B7AB94FBF3BC}" parentId="{070514CB-9F02-4634-A868-18F0704F4D04}">
    <text>@det er til internt bruk. Dokumentet kan deles med Fabrikk og Maskin, så kan de fylle ut data der i fra.</text>
  </threadedComment>
  <threadedComment ref="E48" dT="2022-02-15T14:44:54.24" personId="{4DB6E247-0BDB-449E-B2C4-F1248446F183}" id="{065F62FF-57F2-42E4-AFCB-B38F0286B8A1}">
    <text>@Sindre Bertheussen @Torgeir Mannvik fyller dere ut tall for ensilasje</text>
    <mentions>
      <mention mentionpersonId="{71A98AB4-C9D1-4CBB-A25F-705CB9B6A766}" mentionId="{0A60EEB9-88B7-4F80-9D6A-D0F90B24AB34}" startIndex="0" length="19"/>
      <mention mentionpersonId="{927C7173-B493-4C9D-9445-DD191303518D}" mentionId="{6C65CDF0-A9E4-4AE0-95FE-DE97888609F5}" startIndex="20" length="16"/>
    </mentions>
  </threadedComment>
  <threadedComment ref="U55" dT="2022-02-19T02:44:57.96" personId="{39DBE40D-02ED-4DA8-8849-5B99785FB41D}" id="{4B86C458-D18F-4DF0-932E-331D1E453DE5}">
    <text>revet stb bruk.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3" dT="2020-12-11T10:21:36.57" personId="{BDF89E57-7864-4913-A3E8-D89D7C720026}" id="{2FECA045-7D88-47A4-AF60-D196FE3286B0}">
    <text>Hvor mange timer har man ikke produsert og hva skyldes det</text>
  </threadedComment>
  <threadedComment ref="B43" dT="2020-12-11T13:15:23.17" personId="{EA9ACE42-0A3F-4587-8BC6-6E02C1072C5D}" id="{DB9880F1-AECB-4F1B-8B97-E42AF519AED2}" parentId="{2FECA045-7D88-47A4-AF60-D196FE3286B0}">
    <text>Er alt dette for å lage statestikk til andre?
Thomas</text>
  </threadedComment>
  <threadedComment ref="B43" dT="2020-12-11T13:27:52.24" personId="{4DB6E247-0BDB-449E-B2C4-F1248446F183}" id="{01D9DA7E-E0E5-4BFF-B250-BA83D750436C}" parentId="{2FECA045-7D88-47A4-AF60-D196FE3286B0}">
    <text>@det er til internt bruk. Dokumentet kan deles med Fabrikk og Maskin, så kan de fylle ut data der i fra.</text>
  </threadedComment>
  <threadedComment ref="E47" dT="2022-03-18T11:28:44.47" personId="{4DB6E247-0BDB-449E-B2C4-F1248446F183}" id="{55887775-356C-4B9E-9E24-65ECAF9DE8D7}">
    <text>@Fabrikk Breidtind @Breidtind Kan dere fylle inn tall for ensilasje</text>
    <mentions>
      <mention mentionpersonId="{DF2D6239-D204-47CE-A47C-20AE6E4A6833}" mentionId="{2383A90E-C163-4B4F-9F9F-8D2D84D438C0}" startIndex="0" length="18"/>
      <mention mentionpersonId="{2D35F1D3-B20E-4374-96D1-5CBE25F7B6CF}" mentionId="{1930F40C-1B4D-48CB-87C0-447020C34C70}" startIndex="19" length="10"/>
    </mentions>
  </threadedComment>
  <threadedComment ref="U54" dT="2022-02-19T02:44:57.96" personId="{39DBE40D-02ED-4DA8-8849-5B99785FB41D}" id="{77EC5C2F-B4B2-45BC-97EE-A92DC6CA5ED0}">
    <text>revet stb bruk.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5" dT="2020-12-11T10:21:36.57" personId="{BDF89E57-7864-4913-A3E8-D89D7C720026}" id="{CEC2D757-A6F8-41EE-8BAA-3947ABD3FD39}">
    <text>Hvor mange timer har man ikke produsert og hva skyldes det</text>
  </threadedComment>
  <threadedComment ref="B45" dT="2020-12-11T13:15:23.17" personId="{EA9ACE42-0A3F-4587-8BC6-6E02C1072C5D}" id="{75AEF9C5-0259-4259-A17C-26565AD758C6}" parentId="{CEC2D757-A6F8-41EE-8BAA-3947ABD3FD39}">
    <text>Er alt dette for å lage statestikk til andre?
Thomas</text>
  </threadedComment>
  <threadedComment ref="B45" dT="2020-12-11T13:27:52.24" personId="{4DB6E247-0BDB-449E-B2C4-F1248446F183}" id="{C13D20EA-F1E1-4A1A-BDE2-2045FEBCFCB4}" parentId="{CEC2D757-A6F8-41EE-8BAA-3947ABD3FD39}">
    <text>@det er til internt bruk. Dokumentet kan deles med Fabrikk og Maskin, så kan de fylle ut data der i fra.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5" dT="2020-12-11T10:21:36.57" personId="{BDF89E57-7864-4913-A3E8-D89D7C720026}" id="{8E7ADBCB-9420-446C-88DE-4F71DC4A0BA1}">
    <text>Hvor mange timer har man ikke produsert og hva skyldes det</text>
  </threadedComment>
  <threadedComment ref="B45" dT="2020-12-11T13:15:23.17" personId="{EA9ACE42-0A3F-4587-8BC6-6E02C1072C5D}" id="{C44A0CC9-096D-4AD8-B432-61A701CDC956}" parentId="{8E7ADBCB-9420-446C-88DE-4F71DC4A0BA1}">
    <text>Er alt dette for å lage statestikk til andre?
Thomas</text>
  </threadedComment>
  <threadedComment ref="B45" dT="2020-12-11T13:27:52.24" personId="{4DB6E247-0BDB-449E-B2C4-F1248446F183}" id="{1DF9EBF4-2D2B-4413-90E9-6E42CD4220E5}" parentId="{8E7ADBCB-9420-446C-88DE-4F71DC4A0BA1}">
    <text>@det er til internt bruk. Dokumentet kan deles med Fabrikk og Maskin, så kan de fylle ut data der i fra.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5" dT="2020-12-11T10:21:36.57" personId="{BDF89E57-7864-4913-A3E8-D89D7C720026}" id="{8BFB58D3-90E5-4861-BFCC-ADB4BDEF4DF4}">
    <text>Hvor mange timer har man ikke produsert og hva skyldes det</text>
  </threadedComment>
  <threadedComment ref="B45" dT="2020-12-11T13:15:23.17" personId="{EA9ACE42-0A3F-4587-8BC6-6E02C1072C5D}" id="{210064D5-8FD6-4776-9158-BF13EA9AB3A8}" parentId="{8BFB58D3-90E5-4861-BFCC-ADB4BDEF4DF4}">
    <text>Er alt dette for å lage statestikk til andre?
Thomas</text>
  </threadedComment>
  <threadedComment ref="B45" dT="2020-12-11T13:27:52.24" personId="{4DB6E247-0BDB-449E-B2C4-F1248446F183}" id="{250A51EB-F802-4CCE-980E-3D141AFE0BE7}" parentId="{8BFB58D3-90E5-4861-BFCC-ADB4BDEF4DF4}">
    <text>@det er til internt bruk. Dokumentet kan deles med Fabrikk og Maskin, så kan de fylle ut data der i fra.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44" dT="2020-12-11T10:21:36.57" personId="{BDF89E57-7864-4913-A3E8-D89D7C720026}" id="{FC43F9C8-D57F-4CAB-ABD7-C7DACEAAF269}">
    <text>Hvor mange timer har man ikke produsert og hva skyldes det</text>
  </threadedComment>
  <threadedComment ref="B44" dT="2020-12-11T13:15:23.17" personId="{EA9ACE42-0A3F-4587-8BC6-6E02C1072C5D}" id="{F7B7791E-8CD2-42F9-A3E8-A806BB8C77A7}" parentId="{FC43F9C8-D57F-4CAB-ABD7-C7DACEAAF269}">
    <text>Er alt dette for å lage statestikk til andre?
Thomas</text>
  </threadedComment>
  <threadedComment ref="B44" dT="2020-12-11T13:27:52.24" personId="{4DB6E247-0BDB-449E-B2C4-F1248446F183}" id="{59A4F119-DB61-4130-B25C-E613D7385886}" parentId="{FC43F9C8-D57F-4CAB-ABD7-C7DACEAAF269}">
    <text>@det er til internt bruk. Dokumentet kan deles med Fabrikk og Maskin, så kan de fylle ut data der i fra.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43" dT="2020-12-11T10:21:36.57" personId="{BDF89E57-7864-4913-A3E8-D89D7C720026}" id="{3C593A1E-15A9-4E36-BAA2-C8E65D8BABB0}">
    <text>Hvor mange timer har man ikke produsert og hva skyldes det</text>
  </threadedComment>
  <threadedComment ref="B43" dT="2020-12-11T13:15:23.17" personId="{EA9ACE42-0A3F-4587-8BC6-6E02C1072C5D}" id="{D3742205-380D-4EFE-81E0-CBE5362D81F1}" parentId="{3C593A1E-15A9-4E36-BAA2-C8E65D8BABB0}">
    <text>Er alt dette for å lage statestikk til andre?
Thomas</text>
  </threadedComment>
  <threadedComment ref="B43" dT="2020-12-11T13:27:52.24" personId="{4DB6E247-0BDB-449E-B2C4-F1248446F183}" id="{158A8C86-0373-46FF-A813-AC855CD2C549}" parentId="{3C593A1E-15A9-4E36-BAA2-C8E65D8BABB0}">
    <text>@det er til internt bruk. Dokumentet kan deles med Fabrikk og Maskin, så kan de fylle ut data der i fra.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4B6F973E-0081-418C-9CA9-73BA6827403A}">
    <text>Hvor mange timer har man ikke produsert og hva skyldes det</text>
  </threadedComment>
  <threadedComment ref="B46" dT="2020-12-11T13:15:23.17" personId="{EA9ACE42-0A3F-4587-8BC6-6E02C1072C5D}" id="{A90B5329-DA78-4ED3-ABF0-E671DA4DD1D4}" parentId="{4B6F973E-0081-418C-9CA9-73BA6827403A}">
    <text>Er alt dette for å lage statestikk til andre?
Thomas</text>
  </threadedComment>
  <threadedComment ref="B46" dT="2020-12-11T13:27:52.24" personId="{4DB6E247-0BDB-449E-B2C4-F1248446F183}" id="{AA8CC074-B802-4EE1-BE57-7047488A680F}" parentId="{4B6F973E-0081-418C-9CA9-73BA6827403A}">
    <text>@det er til internt bruk. Dokumentet kan deles med Fabrikk og Maskin, så kan de fylle ut data der i fra.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F86A0896-90F9-4184-BC82-E477A2A7A990}">
    <text>Hvor mange timer har man ikke produsert og hva skyldes det</text>
  </threadedComment>
  <threadedComment ref="B46" dT="2020-12-11T13:15:23.17" personId="{EA9ACE42-0A3F-4587-8BC6-6E02C1072C5D}" id="{A784B967-289D-4E7B-A017-2F3BB70F5B11}" parentId="{F86A0896-90F9-4184-BC82-E477A2A7A990}">
    <text>Er alt dette for å lage statestikk til andre?
Thomas</text>
  </threadedComment>
  <threadedComment ref="B46" dT="2020-12-11T13:27:52.24" personId="{4DB6E247-0BDB-449E-B2C4-F1248446F183}" id="{A61A4EFC-2B39-4DF7-BF9D-5C4AF7AB155A}" parentId="{F86A0896-90F9-4184-BC82-E477A2A7A990}">
    <text>@det er til internt bruk. Dokumentet kan deles med Fabrikk og Maskin, så kan de fylle ut data der i fra.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9DD83204-2189-4046-B9D1-C2C9E66A90E8}">
    <text>Hvor mange timer har man ikke produsert og hva skyldes det</text>
  </threadedComment>
  <threadedComment ref="B46" dT="2020-12-11T13:15:23.17" personId="{EA9ACE42-0A3F-4587-8BC6-6E02C1072C5D}" id="{1BC6C760-4852-4760-9405-FDCC2A29F16E}" parentId="{9DD83204-2189-4046-B9D1-C2C9E66A90E8}">
    <text>Er alt dette for å lage statestikk til andre?
Thomas</text>
  </threadedComment>
  <threadedComment ref="B46" dT="2020-12-11T13:27:52.24" personId="{4DB6E247-0BDB-449E-B2C4-F1248446F183}" id="{D117919D-DBCB-4B16-9EE3-0C5FE0B98EC9}" parentId="{9DD83204-2189-4046-B9D1-C2C9E66A90E8}">
    <text>@det er til internt bruk. Dokumentet kan deles med Fabrikk og Maskin, så kan de fylle ut data der i fra.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859B5AE5-8FD8-4449-B07E-79947E049D47}">
    <text>Hvor mange timer har man ikke produsert og hva skyldes det</text>
  </threadedComment>
  <threadedComment ref="B46" dT="2020-12-11T13:15:23.17" personId="{EA9ACE42-0A3F-4587-8BC6-6E02C1072C5D}" id="{A5A78ADC-7C8D-4450-966E-6AD4D87DAAAE}" parentId="{859B5AE5-8FD8-4449-B07E-79947E049D47}">
    <text>Er alt dette for å lage statestikk til andre?
Thomas</text>
  </threadedComment>
  <threadedComment ref="B46" dT="2020-12-11T13:27:52.24" personId="{4DB6E247-0BDB-449E-B2C4-F1248446F183}" id="{5ECF1A66-2FAB-46D4-8B95-45413FC7CB57}" parentId="{859B5AE5-8FD8-4449-B07E-79947E049D47}">
    <text>@det er til internt bruk. Dokumentet kan deles med Fabrikk og Maskin, så kan de fylle ut data der i fra.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75FE0E05-C365-4D45-985A-42F43051B55C}">
    <text>Hvor mange timer har man ikke produsert og hva skyldes det</text>
  </threadedComment>
  <threadedComment ref="B46" dT="2020-12-11T13:15:23.17" personId="{EA9ACE42-0A3F-4587-8BC6-6E02C1072C5D}" id="{C2861159-C54C-423B-BE4E-B58F98A2F505}" parentId="{75FE0E05-C365-4D45-985A-42F43051B55C}">
    <text>Er alt dette for å lage statestikk til andre?
Thomas</text>
  </threadedComment>
  <threadedComment ref="B46" dT="2020-12-11T13:27:52.24" personId="{4DB6E247-0BDB-449E-B2C4-F1248446F183}" id="{7F8FCD7F-1DA2-4A54-8BC6-660E0E7BA9E4}" parentId="{75FE0E05-C365-4D45-985A-42F43051B55C}">
    <text>@det er til internt bruk. Dokumentet kan deles med Fabrikk og Maskin, så kan de fylle ut data der i fra.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EC0B1857-0E1D-4B5F-9E1D-CEB6F3CFD2EA}">
    <text>Hvor mange timer har man ikke produsert og hva skyldes det</text>
  </threadedComment>
  <threadedComment ref="B46" dT="2020-12-11T13:15:23.17" personId="{EA9ACE42-0A3F-4587-8BC6-6E02C1072C5D}" id="{F284ED1E-9FD4-46C6-8E29-25A3163627B8}" parentId="{EC0B1857-0E1D-4B5F-9E1D-CEB6F3CFD2EA}">
    <text>Er alt dette for å lage statestikk til andre?
Thomas</text>
  </threadedComment>
  <threadedComment ref="B46" dT="2020-12-11T13:27:52.24" personId="{4DB6E247-0BDB-449E-B2C4-F1248446F183}" id="{49D7526F-EA4B-4FCB-8F3E-EDF471E5A6D7}" parentId="{EC0B1857-0E1D-4B5F-9E1D-CEB6F3CFD2EA}">
    <text>@det er til internt bruk. Dokumentet kan deles med Fabrikk og Maskin, så kan de fylle ut data der i fra.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026266CE-F4C3-4044-9EAC-19161725F0E2}">
    <text>Hvor mange timer har man ikke produsert og hva skyldes det</text>
  </threadedComment>
  <threadedComment ref="B46" dT="2020-12-11T13:15:23.17" personId="{EA9ACE42-0A3F-4587-8BC6-6E02C1072C5D}" id="{C95F7D46-C363-4791-A248-7F827C73A728}" parentId="{026266CE-F4C3-4044-9EAC-19161725F0E2}">
    <text>Er alt dette for å lage statestikk til andre?
Thomas</text>
  </threadedComment>
  <threadedComment ref="B46" dT="2020-12-11T13:27:52.24" personId="{4DB6E247-0BDB-449E-B2C4-F1248446F183}" id="{6C77CCEC-01FE-46AC-9D51-37FFDED76CDF}" parentId="{026266CE-F4C3-4044-9EAC-19161725F0E2}">
    <text>@det er til internt bruk. Dokumentet kan deles med Fabrikk og Maskin, så kan de fylle ut data der i fra.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47" dT="2020-12-11T10:21:36.57" personId="{BDF89E57-7864-4913-A3E8-D89D7C720026}" id="{F312C8ED-ECEF-4F21-9124-F336CA4CC880}">
    <text>Hvor mange timer har man ikke produsert og hva skyldes det</text>
  </threadedComment>
  <threadedComment ref="B47" dT="2020-12-11T13:15:23.17" personId="{EA9ACE42-0A3F-4587-8BC6-6E02C1072C5D}" id="{1C1BA563-4D29-4E91-9304-2E0BF4CBA461}" parentId="{F312C8ED-ECEF-4F21-9124-F336CA4CC880}">
    <text>Er alt dette for å lage statestikk til andre?
Thomas</text>
  </threadedComment>
  <threadedComment ref="B47" dT="2020-12-11T13:27:52.24" personId="{4DB6E247-0BDB-449E-B2C4-F1248446F183}" id="{4885D571-87FA-4BAC-B39B-FCA596870185}" parentId="{F312C8ED-ECEF-4F21-9124-F336CA4CC880}">
    <text>@det er til internt bruk. Dokumentet kan deles med Fabrikk og Maskin, så kan de fylle ut data der i fra.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F42" dT="2023-06-19T09:28:10.91" personId="{4DB6E247-0BDB-449E-B2C4-F1248446F183}" id="{0A4976E5-B326-4442-9FDC-271645CAAF5A}" done="1">
    <text>@Maskin Breidtind @Breidtind  husk å fylle ut bunkersforbruk😊</text>
    <mentions>
      <mention mentionpersonId="{B7AF719C-F1DA-4AB6-B448-1A4C87888CC0}" mentionId="{55E6731E-7F52-4DE3-9D98-8A90FA2F0EE0}" startIndex="0" length="17"/>
      <mention mentionpersonId="{2D35F1D3-B20E-4374-96D1-5CBE25F7B6CF}" mentionId="{68BCB39F-6936-4BDA-A898-C5690A94B5DF}" startIndex="18" length="10"/>
    </mentions>
  </threadedComment>
  <threadedComment ref="F42" dT="2023-06-19T09:33:33.91" personId="{58A3AAF4-C448-4D31-871A-7A5F1C1C6334}" id="{4609DF80-E938-4622-82C9-B4C63B705159}" parentId="{0A4976E5-B326-4442-9FDC-271645CAAF5A}">
    <text>Ja, beklager, det var en forglemmelse. 🙂</text>
  </threadedComment>
  <threadedComment ref="B47" dT="2020-12-11T10:21:36.57" personId="{BDF89E57-7864-4913-A3E8-D89D7C720026}" id="{AC7470BB-5B10-4801-AADC-89B1FCA9ABE3}">
    <text>Hvor mange timer har man ikke produsert og hva skyldes det</text>
  </threadedComment>
  <threadedComment ref="B47" dT="2020-12-11T13:15:23.17" personId="{EA9ACE42-0A3F-4587-8BC6-6E02C1072C5D}" id="{98D5FCF9-8976-4E2F-9093-7BC9E3A278B7}" parentId="{AC7470BB-5B10-4801-AADC-89B1FCA9ABE3}">
    <text>Er alt dette for å lage statestikk til andre?
Thomas</text>
  </threadedComment>
  <threadedComment ref="B47" dT="2020-12-11T13:27:52.24" personId="{4DB6E247-0BDB-449E-B2C4-F1248446F183}" id="{8A368150-696D-420E-BE3F-40AD3409D7B2}" parentId="{AC7470BB-5B10-4801-AADC-89B1FCA9ABE3}">
    <text>@det er til internt bruk. Dokumentet kan deles med Fabrikk og Maskin, så kan de fylle ut data der i fra.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48" dT="2020-12-11T10:21:36.57" personId="{BDF89E57-7864-4913-A3E8-D89D7C720026}" id="{71B7D6A9-4CE6-48B0-8AB6-C6121AC47038}">
    <text>Hvor mange timer har man ikke produsert og hva skyldes det</text>
  </threadedComment>
  <threadedComment ref="B48" dT="2020-12-11T13:15:23.17" personId="{EA9ACE42-0A3F-4587-8BC6-6E02C1072C5D}" id="{0A0B8156-DFBA-4A66-88C9-F4453814F83E}" parentId="{71B7D6A9-4CE6-48B0-8AB6-C6121AC47038}">
    <text>Er alt dette for å lage statestikk til andre?
Thomas</text>
  </threadedComment>
  <threadedComment ref="B48" dT="2020-12-11T13:27:52.24" personId="{4DB6E247-0BDB-449E-B2C4-F1248446F183}" id="{800DF6D7-F3D6-430A-8344-226544E121EE}" parentId="{71B7D6A9-4CE6-48B0-8AB6-C6121AC47038}">
    <text>@det er til internt bruk. Dokumentet kan deles med Fabrikk og Maskin, så kan de fylle ut data der i fra.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48" dT="2020-12-11T10:21:36.57" personId="{BDF89E57-7864-4913-A3E8-D89D7C720026}" id="{714DCACD-642A-41B4-B4E3-3602A0141E86}">
    <text>Hvor mange timer har man ikke produsert og hva skyldes det</text>
  </threadedComment>
  <threadedComment ref="B48" dT="2020-12-11T13:15:23.17" personId="{EA9ACE42-0A3F-4587-8BC6-6E02C1072C5D}" id="{BD0174A7-D463-4B15-9E1B-0D277565AAF0}" parentId="{714DCACD-642A-41B4-B4E3-3602A0141E86}">
    <text>Er alt dette for å lage statestikk til andre?
Thomas</text>
  </threadedComment>
  <threadedComment ref="B48" dT="2020-12-11T13:27:52.24" personId="{4DB6E247-0BDB-449E-B2C4-F1248446F183}" id="{3E655D99-3308-434E-8B8F-058ABC737469}" parentId="{714DCACD-642A-41B4-B4E3-3602A0141E86}">
    <text>@det er til internt bruk. Dokumentet kan deles med Fabrikk og Maskin, så kan de fylle ut data der i fra.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5C890DC0-635A-4800-88C6-CB95B6AEC054}">
    <text>Hvor mange timer har man ikke produsert og hva skyldes det</text>
  </threadedComment>
  <threadedComment ref="B46" dT="2020-12-11T13:15:23.17" personId="{EA9ACE42-0A3F-4587-8BC6-6E02C1072C5D}" id="{38915799-1D59-45CB-9355-FD57F0324E93}" parentId="{5C890DC0-635A-4800-88C6-CB95B6AEC054}">
    <text>Er alt dette for å lage statestikk til andre?
Thomas</text>
  </threadedComment>
  <threadedComment ref="B46" dT="2020-12-11T13:27:52.24" personId="{4DB6E247-0BDB-449E-B2C4-F1248446F183}" id="{BE8E35E1-0171-4006-A3D3-2F1ED05FE8F5}" parentId="{5C890DC0-635A-4800-88C6-CB95B6AEC054}">
    <text>@det er til internt bruk. Dokumentet kan deles med Fabrikk og Maskin, så kan de fylle ut data der i fra.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27DB72EF-F604-4F39-8D28-7EFF9742409E}">
    <text>Hvor mange timer har man ikke produsert og hva skyldes det</text>
  </threadedComment>
  <threadedComment ref="B46" dT="2020-12-11T13:15:23.17" personId="{EA9ACE42-0A3F-4587-8BC6-6E02C1072C5D}" id="{86D26653-E6F2-4E64-A57C-F5D98B11579B}" parentId="{27DB72EF-F604-4F39-8D28-7EFF9742409E}">
    <text>Er alt dette for å lage statestikk til andre?
Thomas</text>
  </threadedComment>
  <threadedComment ref="B46" dT="2020-12-11T13:27:52.24" personId="{4DB6E247-0BDB-449E-B2C4-F1248446F183}" id="{7F87EEBB-C03B-43BC-A6C4-04CEE2974938}" parentId="{27DB72EF-F604-4F39-8D28-7EFF9742409E}">
    <text>@det er til internt bruk. Dokumentet kan deles med Fabrikk og Maskin, så kan de fylle ut data der i fra.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A52D6FEC-90FC-4DDE-A91F-431AFC42D2BF}">
    <text>Hvor mange timer har man ikke produsert og hva skyldes det</text>
  </threadedComment>
  <threadedComment ref="B46" dT="2020-12-11T13:15:23.17" personId="{EA9ACE42-0A3F-4587-8BC6-6E02C1072C5D}" id="{10FF92B3-34F3-4C5B-BBCE-585FC281BBD0}" parentId="{A52D6FEC-90FC-4DDE-A91F-431AFC42D2BF}">
    <text>Er alt dette for å lage statestikk til andre?
Thomas</text>
  </threadedComment>
  <threadedComment ref="B46" dT="2020-12-11T13:27:52.24" personId="{4DB6E247-0BDB-449E-B2C4-F1248446F183}" id="{CAF22B25-6741-4F63-8BF1-50B26D85A63E}" parentId="{A52D6FEC-90FC-4DDE-A91F-431AFC42D2BF}">
    <text>@det er til internt bruk. Dokumentet kan deles med Fabrikk og Maskin, så kan de fylle ut data der i fra.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7259409B-B15B-4CEE-9275-58F6881E8050}">
    <text>Hvor mange timer har man ikke produsert og hva skyldes det</text>
  </threadedComment>
  <threadedComment ref="B46" dT="2020-12-11T13:15:23.17" personId="{EA9ACE42-0A3F-4587-8BC6-6E02C1072C5D}" id="{4ED96A55-E44E-4611-B49A-C6EB45E19024}" parentId="{7259409B-B15B-4CEE-9275-58F6881E8050}">
    <text>Er alt dette for å lage statestikk til andre?
Thomas</text>
  </threadedComment>
  <threadedComment ref="B46" dT="2020-12-11T13:27:52.24" personId="{4DB6E247-0BDB-449E-B2C4-F1248446F183}" id="{1A08D828-76B2-4CE9-92F7-CB931A167F66}" parentId="{7259409B-B15B-4CEE-9275-58F6881E8050}">
    <text>@det er til internt bruk. Dokumentet kan deles med Fabrikk og Maskin, så kan de fylle ut data der i fra.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2AC2DCB3-7C98-464C-B452-93EAD38D9C85}">
    <text>Hvor mange timer har man ikke produsert og hva skyldes det</text>
  </threadedComment>
  <threadedComment ref="B46" dT="2020-12-11T13:15:23.17" personId="{EA9ACE42-0A3F-4587-8BC6-6E02C1072C5D}" id="{D88B2757-1865-4DC3-9752-07767573D8FA}" parentId="{2AC2DCB3-7C98-464C-B452-93EAD38D9C85}">
    <text>Er alt dette for å lage statestikk til andre?
Thomas</text>
  </threadedComment>
  <threadedComment ref="B46" dT="2020-12-11T13:27:52.24" personId="{4DB6E247-0BDB-449E-B2C4-F1248446F183}" id="{209A41F9-7BE1-4FCF-B14F-64EC8E2300BD}" parentId="{2AC2DCB3-7C98-464C-B452-93EAD38D9C85}">
    <text>@det er til internt bruk. Dokumentet kan deles med Fabrikk og Maskin, så kan de fylle ut data der i fra.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E42" dT="2024-04-14T14:39:53.01" personId="{4DB6E247-0BDB-449E-B2C4-F1248446F183}" id="{C101F8CD-E174-47C4-8943-87396FC44C3D}" done="1">
    <text>@Maskin Breidtind kan dere fylle inn forbruk for 03.04</text>
    <mentions>
      <mention mentionpersonId="{B7AF719C-F1DA-4AB6-B448-1A4C87888CC0}" mentionId="{F4050F21-34AA-48CE-8925-D6AA4DF5D43A}" startIndex="0" length="17"/>
    </mentions>
  </threadedComment>
  <threadedComment ref="B47" dT="2020-12-11T10:21:36.57" personId="{BDF89E57-7864-4913-A3E8-D89D7C720026}" id="{F76114BF-89DB-463A-B15E-21C888B4DF87}">
    <text>Hvor mange timer har man ikke produsert og hva skyldes det</text>
  </threadedComment>
  <threadedComment ref="B47" dT="2020-12-11T13:15:23.17" personId="{EA9ACE42-0A3F-4587-8BC6-6E02C1072C5D}" id="{C092B6C3-7BE9-424D-8204-E76118B0E0BB}" parentId="{F76114BF-89DB-463A-B15E-21C888B4DF87}">
    <text>Er alt dette for å lage statestikk til andre?
Thomas</text>
  </threadedComment>
  <threadedComment ref="B47" dT="2020-12-11T13:27:52.24" personId="{4DB6E247-0BDB-449E-B2C4-F1248446F183}" id="{1F071AE8-A4F0-4AC2-AE6F-7827DDE9669D}" parentId="{F76114BF-89DB-463A-B15E-21C888B4DF87}">
    <text>@det er til internt bruk. Dokumentet kan deles med Fabrikk og Maskin, så kan de fylle ut data der i fra.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AN43" dT="2024-06-24T20:24:30.74" personId="{4DB6E247-0BDB-449E-B2C4-F1248446F183}" id="{BD5682C6-1BC4-42DB-BABC-F51502F1254F}">
    <text>@Maskin Breidtind Hei. Har dere mulighet for å finne forbruket for 12.6?</text>
    <mentions>
      <mention mentionpersonId="{B7AF719C-F1DA-4AB6-B448-1A4C87888CC0}" mentionId="{31B1E978-0B31-4E12-B48A-281110FFE1A7}" startIndex="0" length="17"/>
    </mentions>
  </threadedComment>
  <threadedComment ref="B48" dT="2020-12-11T10:21:36.57" personId="{BDF89E57-7864-4913-A3E8-D89D7C720026}" id="{5D87134A-A4BF-4080-918F-7AE00760A532}">
    <text>Hvor mange timer har man ikke produsert og hva skyldes det</text>
  </threadedComment>
  <threadedComment ref="B48" dT="2020-12-11T13:15:23.17" personId="{EA9ACE42-0A3F-4587-8BC6-6E02C1072C5D}" id="{B1584A92-40F6-411B-A424-09C72F2D888E}" parentId="{5D87134A-A4BF-4080-918F-7AE00760A532}">
    <text>Er alt dette for å lage statestikk til andre?
Thomas</text>
  </threadedComment>
  <threadedComment ref="B48" dT="2020-12-11T13:27:52.24" personId="{4DB6E247-0BDB-449E-B2C4-F1248446F183}" id="{7DFA7042-8036-4084-80F9-173263219623}" parentId="{5D87134A-A4BF-4080-918F-7AE00760A532}">
    <text>@det er til internt bruk. Dokumentet kan deles med Fabrikk og Maskin, så kan de fylle ut data der i fra.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410EE2B9-7AD5-4798-8943-38A986E858B2}">
    <text>Hvor mange timer har man ikke produsert og hva skyldes det</text>
  </threadedComment>
  <threadedComment ref="B46" dT="2020-12-11T13:15:23.17" personId="{EA9ACE42-0A3F-4587-8BC6-6E02C1072C5D}" id="{0F40D895-C6D5-4FCC-A858-FFE71DC2E0D6}" parentId="{410EE2B9-7AD5-4798-8943-38A986E858B2}">
    <text>Er alt dette for å lage statestikk til andre?
Thomas</text>
  </threadedComment>
  <threadedComment ref="B46" dT="2020-12-11T13:27:52.24" personId="{4DB6E247-0BDB-449E-B2C4-F1248446F183}" id="{4E56E651-0C09-468A-91E8-7103F2C408FD}" parentId="{410EE2B9-7AD5-4798-8943-38A986E858B2}">
    <text>@det er til internt bruk. Dokumentet kan deles med Fabrikk og Maskin, så kan de fylle ut data der i fra.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5D43BAD1-71A2-4154-B61A-B7F140F5B019}">
    <text>Hvor mange timer har man ikke produsert og hva skyldes det</text>
  </threadedComment>
  <threadedComment ref="B46" dT="2020-12-11T13:15:23.17" personId="{EA9ACE42-0A3F-4587-8BC6-6E02C1072C5D}" id="{88CDCDE9-06DD-4129-99B5-B9F0B7FFAB4D}" parentId="{5D43BAD1-71A2-4154-B61A-B7F140F5B019}">
    <text>Er alt dette for å lage statestikk til andre?
Thomas</text>
  </threadedComment>
  <threadedComment ref="B46" dT="2020-12-11T13:27:52.24" personId="{4DB6E247-0BDB-449E-B2C4-F1248446F183}" id="{092C6430-31ED-46E9-B282-A54E762FEA48}" parentId="{5D43BAD1-71A2-4154-B61A-B7F140F5B019}">
    <text>@det er til internt bruk. Dokumentet kan deles med Fabrikk og Maskin, så kan de fylle ut data der i fra.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14122A12-BEFC-46D0-BFE4-80D0560CCB6C}">
    <text>Hvor mange timer har man ikke produsert og hva skyldes det</text>
  </threadedComment>
  <threadedComment ref="B46" dT="2020-12-11T13:15:23.17" personId="{EA9ACE42-0A3F-4587-8BC6-6E02C1072C5D}" id="{CF5D7976-1C88-457B-A6D2-AE4EACDB1504}" parentId="{14122A12-BEFC-46D0-BFE4-80D0560CCB6C}">
    <text>Er alt dette for å lage statestikk til andre?
Thomas</text>
  </threadedComment>
  <threadedComment ref="B46" dT="2020-12-11T13:27:52.24" personId="{4DB6E247-0BDB-449E-B2C4-F1248446F183}" id="{ACAFA959-A718-4D7F-BFB4-025968906C7A}" parentId="{14122A12-BEFC-46D0-BFE4-80D0560CCB6C}">
    <text>@det er til internt bruk. Dokumentet kan deles med Fabrikk og Maskin, så kan de fylle ut data der i fra.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86E1BA3C-6917-49F6-9B7D-03CEA7B65063}">
    <text>Hvor mange timer har man ikke produsert og hva skyldes det</text>
  </threadedComment>
  <threadedComment ref="B46" dT="2020-12-11T13:15:23.17" personId="{EA9ACE42-0A3F-4587-8BC6-6E02C1072C5D}" id="{345D5490-DEF5-4DEC-B9CB-895818B481D1}" parentId="{86E1BA3C-6917-49F6-9B7D-03CEA7B65063}">
    <text>Er alt dette for å lage statestikk til andre?
Thomas</text>
  </threadedComment>
  <threadedComment ref="B46" dT="2020-12-11T13:27:52.24" personId="{4DB6E247-0BDB-449E-B2C4-F1248446F183}" id="{942C9355-5114-4FB2-9762-4200F781D392}" parentId="{86E1BA3C-6917-49F6-9B7D-03CEA7B65063}">
    <text>@det er til internt bruk. Dokumentet kan deles med Fabrikk og Maskin, så kan de fylle ut data der i fra.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B46" dT="2020-12-11T10:21:36.57" personId="{BDF89E57-7864-4913-A3E8-D89D7C720026}" id="{5E3C7C0E-681D-4CEB-9710-12261B0E0F99}">
    <text>Hvor mange timer har man ikke produsert og hva skyldes det</text>
  </threadedComment>
  <threadedComment ref="B46" dT="2020-12-11T13:15:23.17" personId="{EA9ACE42-0A3F-4587-8BC6-6E02C1072C5D}" id="{41608FB3-5F66-4D28-B236-AC49B9EBC037}" parentId="{5E3C7C0E-681D-4CEB-9710-12261B0E0F99}">
    <text>Er alt dette for å lage statestikk til andre?
Thomas</text>
  </threadedComment>
  <threadedComment ref="B46" dT="2020-12-11T13:27:52.24" personId="{4DB6E247-0BDB-449E-B2C4-F1248446F183}" id="{8D57F270-6D29-44D1-ABB7-387367A104E4}" parentId="{5E3C7C0E-681D-4CEB-9710-12261B0E0F99}">
    <text>@det er til internt bruk. Dokumentet kan deles med Fabrikk og Maskin, så kan de fylle ut data der i fra.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AH41" dT="2025-01-28T11:13:23.00" personId="{4DB6E247-0BDB-449E-B2C4-F1248446F183}" id="{3C8B0FD0-15D0-4CA0-80BE-D6430FA3CD56}">
    <text xml:space="preserve">@Izvor Radovic  </text>
    <mentions>
      <mention mentionpersonId="{2FE72D1E-29CB-47AD-A2AC-F9C636A53282}" mentionId="{0E3DBD5E-87CB-4096-B801-8BC584037728}" startIndex="0" length="14"/>
    </mentions>
  </threadedComment>
  <threadedComment ref="B46" dT="2020-12-11T10:21:36.57" personId="{BDF89E57-7864-4913-A3E8-D89D7C720026}" id="{9A437748-F43E-4F35-8AA9-3179A686CD24}">
    <text>Hvor mange timer har man ikke produsert og hva skyldes det</text>
  </threadedComment>
  <threadedComment ref="B46" dT="2020-12-11T13:15:23.17" personId="{EA9ACE42-0A3F-4587-8BC6-6E02C1072C5D}" id="{0495A42D-9028-41BD-86C0-A52343019DFD}" parentId="{9A437748-F43E-4F35-8AA9-3179A686CD24}">
    <text>Er alt dette for å lage statestikk til andre?
Thomas</text>
  </threadedComment>
  <threadedComment ref="B46" dT="2020-12-11T13:27:52.24" personId="{4DB6E247-0BDB-449E-B2C4-F1248446F183}" id="{2E25307B-9D08-4210-9AE2-F5882E76E86B}" parentId="{9A437748-F43E-4F35-8AA9-3179A686CD24}">
    <text>@det er til internt bruk. Dokumentet kan deles med Fabrikk og Maskin, så kan de fylle ut data der i fra.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Relationship Id="rId4" Type="http://schemas.microsoft.com/office/2019/04/relationships/documenttask" Target="../documenttasks/documenttask1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1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Relationship Id="rId4" Type="http://schemas.microsoft.com/office/2019/04/relationships/documenttask" Target="../documenttasks/documenttask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5.x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7.xml"/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8.xml"/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9.xml"/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0.xml"/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1.xml"/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Relationship Id="rId4" Type="http://schemas.microsoft.com/office/2019/04/relationships/documenttask" Target="../documenttasks/documenttask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7768-ED16-4C1B-B66C-B12409EE97FE}">
  <dimension ref="A2:AI102"/>
  <sheetViews>
    <sheetView topLeftCell="A2" workbookViewId="0">
      <selection activeCell="B39" sqref="B39"/>
    </sheetView>
  </sheetViews>
  <sheetFormatPr defaultColWidth="11.42578125" defaultRowHeight="15"/>
  <cols>
    <col min="1" max="1" width="15" customWidth="1"/>
    <col min="2" max="2" width="27.42578125" customWidth="1"/>
    <col min="3" max="3" width="16.42578125" bestFit="1" customWidth="1"/>
    <col min="4" max="4" width="19.28515625" customWidth="1"/>
    <col min="5" max="5" width="11" bestFit="1" customWidth="1"/>
    <col min="6" max="6" width="12.42578125" customWidth="1"/>
    <col min="8" max="8" width="11.85546875" customWidth="1"/>
    <col min="9" max="9" width="13.85546875" customWidth="1"/>
    <col min="12" max="12" width="12" customWidth="1"/>
    <col min="13" max="13" width="16" customWidth="1"/>
    <col min="14" max="14" width="14" customWidth="1"/>
    <col min="15" max="15" width="16" customWidth="1"/>
    <col min="16" max="18" width="11.7109375" customWidth="1"/>
    <col min="19" max="21" width="12.42578125" customWidth="1"/>
    <col min="22" max="22" width="12.140625" customWidth="1"/>
    <col min="23" max="23" width="12.42578125" bestFit="1" customWidth="1"/>
    <col min="24" max="24" width="12.42578125" customWidth="1"/>
  </cols>
  <sheetData>
    <row r="2" spans="2:35" ht="15.75">
      <c r="B2" s="54" t="s">
        <v>0</v>
      </c>
      <c r="C2" s="109" t="s">
        <v>1</v>
      </c>
    </row>
    <row r="3" spans="2:35" ht="15.75">
      <c r="B3" s="54" t="s">
        <v>2</v>
      </c>
      <c r="C3" s="109">
        <v>1</v>
      </c>
    </row>
    <row r="4" spans="2:35" ht="15.75">
      <c r="B4" s="54" t="s">
        <v>3</v>
      </c>
      <c r="C4" s="110">
        <v>44594</v>
      </c>
      <c r="M4" s="1"/>
    </row>
    <row r="5" spans="2:35" ht="15.75">
      <c r="B5" s="54" t="s">
        <v>4</v>
      </c>
      <c r="C5" s="110">
        <v>44623</v>
      </c>
    </row>
    <row r="6" spans="2:35" ht="15.75">
      <c r="B6" s="2"/>
      <c r="C6" s="2"/>
    </row>
    <row r="7" spans="2:35" ht="15.75">
      <c r="B7" s="54" t="s">
        <v>5</v>
      </c>
      <c r="D7" s="41" t="s">
        <v>6</v>
      </c>
      <c r="E7" s="42">
        <v>44594</v>
      </c>
      <c r="F7" s="42">
        <f>E7+1</f>
        <v>44595</v>
      </c>
      <c r="G7" s="42">
        <f>F7+1</f>
        <v>44596</v>
      </c>
      <c r="H7" s="42">
        <f>G7+1</f>
        <v>44597</v>
      </c>
      <c r="I7" s="42">
        <f t="shared" ref="I7:Y7" si="0">H7+1</f>
        <v>44598</v>
      </c>
      <c r="J7" s="42">
        <f t="shared" si="0"/>
        <v>44599</v>
      </c>
      <c r="K7" s="42">
        <f t="shared" si="0"/>
        <v>44600</v>
      </c>
      <c r="L7" s="42">
        <f t="shared" si="0"/>
        <v>44601</v>
      </c>
      <c r="M7" s="42">
        <f t="shared" si="0"/>
        <v>44602</v>
      </c>
      <c r="N7" s="42">
        <f t="shared" si="0"/>
        <v>44603</v>
      </c>
      <c r="O7" s="42">
        <f t="shared" si="0"/>
        <v>44604</v>
      </c>
      <c r="P7" s="42">
        <f t="shared" si="0"/>
        <v>44605</v>
      </c>
      <c r="Q7" s="42">
        <f t="shared" si="0"/>
        <v>44606</v>
      </c>
      <c r="R7" s="42">
        <f t="shared" si="0"/>
        <v>44607</v>
      </c>
      <c r="S7" s="42">
        <f t="shared" si="0"/>
        <v>44608</v>
      </c>
      <c r="T7" s="42">
        <f t="shared" si="0"/>
        <v>44609</v>
      </c>
      <c r="U7" s="42">
        <f t="shared" si="0"/>
        <v>44610</v>
      </c>
      <c r="V7" s="42">
        <f t="shared" si="0"/>
        <v>44611</v>
      </c>
      <c r="W7" s="42">
        <f t="shared" si="0"/>
        <v>44612</v>
      </c>
      <c r="X7" s="43">
        <f t="shared" si="0"/>
        <v>44613</v>
      </c>
      <c r="Y7" s="44">
        <f t="shared" si="0"/>
        <v>44614</v>
      </c>
      <c r="Z7" s="44">
        <f t="shared" ref="Z7" si="1">Y7+1</f>
        <v>44615</v>
      </c>
      <c r="AA7" s="44">
        <f t="shared" ref="AA7" si="2">Z7+1</f>
        <v>44616</v>
      </c>
      <c r="AB7" s="44">
        <f t="shared" ref="AB7" si="3">AA7+1</f>
        <v>44617</v>
      </c>
      <c r="AC7" s="44">
        <f t="shared" ref="AC7" si="4">AB7+1</f>
        <v>44618</v>
      </c>
      <c r="AD7" s="44">
        <f t="shared" ref="AD7" si="5">AC7+1</f>
        <v>44619</v>
      </c>
      <c r="AE7" s="44">
        <f t="shared" ref="AE7" si="6">AD7+1</f>
        <v>44620</v>
      </c>
      <c r="AF7" s="44">
        <f t="shared" ref="AF7" si="7">AE7+1</f>
        <v>44621</v>
      </c>
      <c r="AG7" s="44">
        <f t="shared" ref="AG7" si="8">AF7+1</f>
        <v>44622</v>
      </c>
      <c r="AH7" s="44">
        <f t="shared" ref="AH7" si="9">AG7+1</f>
        <v>44623</v>
      </c>
      <c r="AI7" s="44">
        <f t="shared" ref="AI7" si="10">AH7+1</f>
        <v>44624</v>
      </c>
    </row>
    <row r="8" spans="2:35">
      <c r="B8" s="46" t="s">
        <v>7</v>
      </c>
      <c r="C8" s="47" t="s">
        <v>8</v>
      </c>
      <c r="D8" s="71">
        <f t="shared" ref="D8:D9" si="11">SUM(E8:AI8)</f>
        <v>463.5</v>
      </c>
      <c r="E8" s="114">
        <v>0</v>
      </c>
      <c r="F8" s="114">
        <v>0</v>
      </c>
      <c r="G8" s="119">
        <v>3.5</v>
      </c>
      <c r="H8" s="114">
        <v>24</v>
      </c>
      <c r="I8" s="114">
        <v>24</v>
      </c>
      <c r="J8" s="114">
        <v>20</v>
      </c>
      <c r="K8" s="114">
        <v>4</v>
      </c>
      <c r="L8" s="114">
        <v>24</v>
      </c>
      <c r="M8" s="114">
        <v>16</v>
      </c>
      <c r="N8" s="114">
        <v>0</v>
      </c>
      <c r="O8" s="114">
        <v>11</v>
      </c>
      <c r="P8" s="114">
        <v>24</v>
      </c>
      <c r="Q8" s="114">
        <v>24</v>
      </c>
      <c r="R8" s="114">
        <v>24</v>
      </c>
      <c r="S8" s="114">
        <v>24</v>
      </c>
      <c r="T8" s="114">
        <v>24</v>
      </c>
      <c r="U8" s="114">
        <v>24</v>
      </c>
      <c r="V8" s="114">
        <v>24</v>
      </c>
      <c r="W8" s="114">
        <v>24</v>
      </c>
      <c r="X8" s="114">
        <v>24</v>
      </c>
      <c r="Y8" s="114">
        <v>18</v>
      </c>
      <c r="Z8" s="114">
        <v>19</v>
      </c>
      <c r="AA8" s="114">
        <v>20</v>
      </c>
      <c r="AB8" s="114">
        <v>24</v>
      </c>
      <c r="AC8" s="114">
        <v>24</v>
      </c>
      <c r="AD8" s="114">
        <v>16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</row>
    <row r="9" spans="2:35">
      <c r="B9" s="48" t="s">
        <v>9</v>
      </c>
      <c r="C9" s="38" t="s">
        <v>8</v>
      </c>
      <c r="D9" s="71">
        <f t="shared" si="11"/>
        <v>69</v>
      </c>
      <c r="E9" s="115">
        <v>0</v>
      </c>
      <c r="F9" s="115">
        <v>0</v>
      </c>
      <c r="G9" s="115">
        <v>3</v>
      </c>
      <c r="H9" s="115">
        <v>0</v>
      </c>
      <c r="I9" s="115">
        <v>0</v>
      </c>
      <c r="J9" s="115">
        <v>4</v>
      </c>
      <c r="K9" s="115">
        <v>0</v>
      </c>
      <c r="L9" s="115">
        <v>0</v>
      </c>
      <c r="M9" s="115">
        <v>8</v>
      </c>
      <c r="N9" s="115">
        <v>24</v>
      </c>
      <c r="O9" s="115">
        <v>13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5</v>
      </c>
      <c r="AA9" s="115">
        <v>4</v>
      </c>
      <c r="AB9" s="115">
        <v>0</v>
      </c>
      <c r="AC9" s="115">
        <v>0</v>
      </c>
      <c r="AD9" s="115">
        <v>8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</row>
    <row r="10" spans="2:35">
      <c r="B10" s="48" t="s">
        <v>10</v>
      </c>
      <c r="C10" s="38" t="s">
        <v>8</v>
      </c>
      <c r="D10" s="71">
        <f>SUM(E10:AI10)</f>
        <v>6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6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</row>
    <row r="11" spans="2:35">
      <c r="B11" s="48" t="s">
        <v>11</v>
      </c>
      <c r="C11" s="38" t="s">
        <v>8</v>
      </c>
      <c r="D11" s="71">
        <f t="shared" ref="D11:D14" si="12">SUM(E11:AI11)</f>
        <v>41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24</v>
      </c>
      <c r="AF11" s="115">
        <v>17</v>
      </c>
      <c r="AG11" s="115">
        <v>0</v>
      </c>
      <c r="AH11" s="115">
        <v>0</v>
      </c>
      <c r="AI11" s="115">
        <v>0</v>
      </c>
    </row>
    <row r="12" spans="2:35">
      <c r="B12" s="48" t="s">
        <v>12</v>
      </c>
      <c r="C12" s="38" t="s">
        <v>8</v>
      </c>
      <c r="D12" s="71">
        <f t="shared" si="12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</row>
    <row r="13" spans="2:35">
      <c r="B13" s="48" t="s">
        <v>13</v>
      </c>
      <c r="C13" s="38" t="s">
        <v>8</v>
      </c>
      <c r="D13" s="71">
        <f t="shared" si="12"/>
        <v>7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7</v>
      </c>
      <c r="AG13" s="115">
        <v>0</v>
      </c>
      <c r="AH13" s="115">
        <v>0</v>
      </c>
      <c r="AI13" s="115">
        <v>0</v>
      </c>
    </row>
    <row r="14" spans="2:35">
      <c r="B14" s="49" t="s">
        <v>14</v>
      </c>
      <c r="C14" s="40" t="s">
        <v>8</v>
      </c>
      <c r="D14" s="71">
        <f t="shared" si="12"/>
        <v>37.5</v>
      </c>
      <c r="E14" s="116">
        <v>0</v>
      </c>
      <c r="F14" s="116">
        <v>0</v>
      </c>
      <c r="G14" s="118">
        <v>17.5</v>
      </c>
      <c r="H14" s="116">
        <v>0</v>
      </c>
      <c r="I14" s="116">
        <v>0</v>
      </c>
      <c r="J14" s="116">
        <v>0</v>
      </c>
      <c r="K14" s="116">
        <v>20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</row>
    <row r="15" spans="2:35">
      <c r="B15" s="68" t="s">
        <v>15</v>
      </c>
      <c r="C15" s="69" t="s">
        <v>8</v>
      </c>
      <c r="D15" s="70">
        <f>SUM(E15:AI15)</f>
        <v>624</v>
      </c>
      <c r="E15" s="117">
        <f>SUM(E8:E14)</f>
        <v>0</v>
      </c>
      <c r="F15" s="117">
        <f t="shared" ref="F15:AI15" si="13">SUM(F8:F14)</f>
        <v>0</v>
      </c>
      <c r="G15" s="117">
        <f t="shared" si="13"/>
        <v>24</v>
      </c>
      <c r="H15" s="117">
        <f t="shared" si="13"/>
        <v>24</v>
      </c>
      <c r="I15" s="117">
        <f t="shared" si="13"/>
        <v>24</v>
      </c>
      <c r="J15" s="117">
        <f t="shared" si="13"/>
        <v>24</v>
      </c>
      <c r="K15" s="117">
        <f t="shared" si="13"/>
        <v>24</v>
      </c>
      <c r="L15" s="117">
        <f t="shared" si="13"/>
        <v>24</v>
      </c>
      <c r="M15" s="117">
        <f t="shared" si="13"/>
        <v>24</v>
      </c>
      <c r="N15" s="117">
        <f t="shared" si="13"/>
        <v>24</v>
      </c>
      <c r="O15" s="117">
        <f t="shared" si="13"/>
        <v>24</v>
      </c>
      <c r="P15" s="117">
        <f t="shared" si="13"/>
        <v>24</v>
      </c>
      <c r="Q15" s="117">
        <f t="shared" si="13"/>
        <v>24</v>
      </c>
      <c r="R15" s="117">
        <f t="shared" si="13"/>
        <v>24</v>
      </c>
      <c r="S15" s="117">
        <f t="shared" si="13"/>
        <v>24</v>
      </c>
      <c r="T15" s="117">
        <f t="shared" si="13"/>
        <v>24</v>
      </c>
      <c r="U15" s="117">
        <f t="shared" si="13"/>
        <v>24</v>
      </c>
      <c r="V15" s="117">
        <f t="shared" si="13"/>
        <v>24</v>
      </c>
      <c r="W15" s="117">
        <f t="shared" si="13"/>
        <v>24</v>
      </c>
      <c r="X15" s="117">
        <f t="shared" si="13"/>
        <v>24</v>
      </c>
      <c r="Y15" s="117">
        <f t="shared" si="13"/>
        <v>24</v>
      </c>
      <c r="Z15" s="117">
        <f t="shared" si="13"/>
        <v>24</v>
      </c>
      <c r="AA15" s="117">
        <f t="shared" si="13"/>
        <v>24</v>
      </c>
      <c r="AB15" s="117">
        <f t="shared" si="13"/>
        <v>24</v>
      </c>
      <c r="AC15" s="117">
        <f t="shared" si="13"/>
        <v>24</v>
      </c>
      <c r="AD15" s="117">
        <f t="shared" si="13"/>
        <v>24</v>
      </c>
      <c r="AE15" s="117">
        <f t="shared" si="13"/>
        <v>24</v>
      </c>
      <c r="AF15" s="117">
        <f t="shared" si="13"/>
        <v>24</v>
      </c>
      <c r="AG15" s="117">
        <f t="shared" si="13"/>
        <v>0</v>
      </c>
      <c r="AH15" s="117">
        <f t="shared" si="13"/>
        <v>0</v>
      </c>
      <c r="AI15" s="117">
        <f t="shared" si="13"/>
        <v>0</v>
      </c>
    </row>
    <row r="17" spans="1:35">
      <c r="B17" s="50" t="s">
        <v>16</v>
      </c>
      <c r="C17" s="50" t="s">
        <v>0</v>
      </c>
      <c r="D17" s="58">
        <f>SUM(E17:AI17)</f>
        <v>0</v>
      </c>
      <c r="E17" s="127"/>
      <c r="F17" s="66"/>
      <c r="G17" s="66"/>
      <c r="H17" s="66"/>
      <c r="I17" s="66" t="s">
        <v>17</v>
      </c>
      <c r="J17" s="66" t="s">
        <v>18</v>
      </c>
      <c r="K17" s="65" t="s">
        <v>19</v>
      </c>
      <c r="L17" s="58" t="s">
        <v>18</v>
      </c>
      <c r="M17" s="58" t="s">
        <v>18</v>
      </c>
      <c r="N17" s="120" t="s">
        <v>20</v>
      </c>
      <c r="O17" s="65" t="s">
        <v>21</v>
      </c>
      <c r="P17" s="58" t="s">
        <v>21</v>
      </c>
      <c r="Q17" s="120" t="s">
        <v>22</v>
      </c>
      <c r="R17" s="66" t="s">
        <v>23</v>
      </c>
      <c r="S17" s="66" t="s">
        <v>24</v>
      </c>
      <c r="T17" s="66" t="s">
        <v>25</v>
      </c>
      <c r="U17" s="66" t="s">
        <v>26</v>
      </c>
      <c r="V17" s="66" t="s">
        <v>26</v>
      </c>
      <c r="W17" s="66" t="s">
        <v>27</v>
      </c>
      <c r="X17" s="65" t="s">
        <v>28</v>
      </c>
      <c r="Y17" s="58" t="s">
        <v>29</v>
      </c>
      <c r="Z17" s="58" t="s">
        <v>29</v>
      </c>
      <c r="AA17" s="58" t="s">
        <v>30</v>
      </c>
      <c r="AB17" s="58" t="s">
        <v>30</v>
      </c>
      <c r="AC17" s="58" t="s">
        <v>30</v>
      </c>
      <c r="AD17" s="58" t="s">
        <v>21</v>
      </c>
      <c r="AE17" s="58"/>
      <c r="AF17" s="58"/>
      <c r="AG17" s="58"/>
      <c r="AH17" s="58"/>
      <c r="AI17" s="58"/>
    </row>
    <row r="18" spans="1:35">
      <c r="B18" s="37" t="s">
        <v>31</v>
      </c>
      <c r="C18" s="37" t="s">
        <v>32</v>
      </c>
      <c r="D18" s="131">
        <f>SUM(E18:AI18)</f>
        <v>257</v>
      </c>
      <c r="E18" s="128"/>
      <c r="F18" s="123"/>
      <c r="G18" s="123"/>
      <c r="H18" s="123"/>
      <c r="I18" s="123">
        <v>8.5</v>
      </c>
      <c r="J18" s="123">
        <v>13</v>
      </c>
      <c r="K18" s="122">
        <v>0</v>
      </c>
      <c r="L18" s="124">
        <v>16.5</v>
      </c>
      <c r="M18" s="124">
        <v>9</v>
      </c>
      <c r="N18" s="125"/>
      <c r="O18" s="122">
        <v>5.5</v>
      </c>
      <c r="P18" s="124">
        <v>22</v>
      </c>
      <c r="Q18" s="125">
        <v>18</v>
      </c>
      <c r="R18" s="123">
        <v>19</v>
      </c>
      <c r="S18" s="123">
        <v>21</v>
      </c>
      <c r="T18" s="123">
        <v>16.5</v>
      </c>
      <c r="U18" s="123">
        <v>21</v>
      </c>
      <c r="V18" s="123">
        <v>19</v>
      </c>
      <c r="W18" s="123">
        <v>13</v>
      </c>
      <c r="X18" s="126">
        <v>12</v>
      </c>
      <c r="Y18" s="124">
        <v>16</v>
      </c>
      <c r="Z18" s="124" t="s">
        <v>33</v>
      </c>
      <c r="AA18" s="124">
        <v>15</v>
      </c>
      <c r="AB18" s="124" t="s">
        <v>34</v>
      </c>
      <c r="AC18" s="124" t="s">
        <v>34</v>
      </c>
      <c r="AD18" s="124">
        <v>12</v>
      </c>
      <c r="AE18" s="124"/>
      <c r="AF18" s="124"/>
      <c r="AG18" s="124"/>
      <c r="AH18" s="124"/>
      <c r="AI18" s="124"/>
    </row>
    <row r="19" spans="1:35">
      <c r="B19" s="37" t="s">
        <v>35</v>
      </c>
      <c r="C19" s="37" t="s">
        <v>36</v>
      </c>
      <c r="D19" s="131">
        <f t="shared" ref="D19:D20" si="14">SUM(E19:AI19)</f>
        <v>72</v>
      </c>
      <c r="E19" s="128">
        <v>1</v>
      </c>
      <c r="F19" s="123">
        <v>3</v>
      </c>
      <c r="G19" s="123"/>
      <c r="H19" s="123"/>
      <c r="I19" s="123">
        <v>3</v>
      </c>
      <c r="J19" s="123">
        <v>4</v>
      </c>
      <c r="K19" s="122">
        <v>0</v>
      </c>
      <c r="L19" s="124">
        <v>4</v>
      </c>
      <c r="M19" s="124">
        <v>2</v>
      </c>
      <c r="N19" s="125"/>
      <c r="O19" s="122">
        <v>2</v>
      </c>
      <c r="P19" s="124">
        <v>4</v>
      </c>
      <c r="Q19" s="125">
        <v>4</v>
      </c>
      <c r="R19" s="123">
        <v>4</v>
      </c>
      <c r="S19" s="123">
        <v>4</v>
      </c>
      <c r="T19" s="123">
        <v>3</v>
      </c>
      <c r="U19" s="123">
        <v>4</v>
      </c>
      <c r="V19" s="123">
        <v>4</v>
      </c>
      <c r="W19" s="123">
        <v>3</v>
      </c>
      <c r="X19" s="126">
        <v>3</v>
      </c>
      <c r="Y19" s="124">
        <v>3</v>
      </c>
      <c r="Z19" s="124">
        <v>3</v>
      </c>
      <c r="AA19" s="124">
        <v>3</v>
      </c>
      <c r="AB19" s="124">
        <v>4</v>
      </c>
      <c r="AC19" s="124">
        <v>4</v>
      </c>
      <c r="AD19" s="124">
        <v>3</v>
      </c>
      <c r="AE19" s="124"/>
      <c r="AF19" s="124"/>
      <c r="AG19" s="124"/>
      <c r="AH19" s="124"/>
      <c r="AI19" s="124"/>
    </row>
    <row r="20" spans="1:35">
      <c r="B20" s="39" t="s">
        <v>37</v>
      </c>
      <c r="C20" s="39" t="s">
        <v>38</v>
      </c>
      <c r="D20" s="67">
        <f t="shared" si="14"/>
        <v>0</v>
      </c>
      <c r="E20" s="129" t="s">
        <v>39</v>
      </c>
      <c r="F20" s="56" t="s">
        <v>40</v>
      </c>
      <c r="G20" s="56"/>
      <c r="H20" s="56"/>
      <c r="I20" s="56" t="s">
        <v>40</v>
      </c>
      <c r="J20" s="56" t="s">
        <v>40</v>
      </c>
      <c r="K20" s="60">
        <v>0</v>
      </c>
      <c r="L20" s="67" t="s">
        <v>40</v>
      </c>
      <c r="M20" s="67" t="s">
        <v>40</v>
      </c>
      <c r="N20" s="121"/>
      <c r="O20" s="60" t="s">
        <v>40</v>
      </c>
      <c r="P20" s="67" t="s">
        <v>40</v>
      </c>
      <c r="Q20" s="121" t="s">
        <v>40</v>
      </c>
      <c r="R20" s="56" t="s">
        <v>40</v>
      </c>
      <c r="S20" s="56" t="s">
        <v>40</v>
      </c>
      <c r="T20" s="56" t="s">
        <v>40</v>
      </c>
      <c r="U20" s="56" t="s">
        <v>40</v>
      </c>
      <c r="V20" s="56" t="s">
        <v>40</v>
      </c>
      <c r="W20" s="56" t="s">
        <v>40</v>
      </c>
      <c r="X20" s="59" t="s">
        <v>40</v>
      </c>
      <c r="Y20" s="61" t="s">
        <v>40</v>
      </c>
      <c r="Z20" s="61" t="s">
        <v>40</v>
      </c>
      <c r="AA20" s="61" t="s">
        <v>40</v>
      </c>
      <c r="AB20" s="61" t="s">
        <v>40</v>
      </c>
      <c r="AC20" s="61" t="s">
        <v>40</v>
      </c>
      <c r="AD20" s="61" t="s">
        <v>40</v>
      </c>
      <c r="AE20" s="61"/>
      <c r="AF20" s="61"/>
      <c r="AG20" s="61"/>
      <c r="AH20" s="61"/>
      <c r="AI20" s="61"/>
    </row>
    <row r="21" spans="1:35">
      <c r="B21" s="39" t="s">
        <v>41</v>
      </c>
      <c r="C21" s="39" t="s">
        <v>42</v>
      </c>
      <c r="D21" s="130"/>
      <c r="E21" s="57"/>
      <c r="F21" s="62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</row>
    <row r="23" spans="1:35">
      <c r="B23" s="36" t="s">
        <v>43</v>
      </c>
      <c r="C23" s="132">
        <f>D25/D18</f>
        <v>3024.6731517509729</v>
      </c>
    </row>
    <row r="24" spans="1:35">
      <c r="D24" s="10"/>
    </row>
    <row r="25" spans="1:35">
      <c r="A25" s="312" t="s">
        <v>44</v>
      </c>
      <c r="B25" s="35" t="s">
        <v>45</v>
      </c>
      <c r="C25" s="36" t="s">
        <v>46</v>
      </c>
      <c r="D25" s="70">
        <f>SUM(E25:AI25)</f>
        <v>777341</v>
      </c>
      <c r="E25" s="75">
        <f t="shared" ref="E25:S25" si="15">SUM(E26:E37)</f>
        <v>4464</v>
      </c>
      <c r="F25" s="70">
        <f t="shared" si="15"/>
        <v>18400</v>
      </c>
      <c r="G25" s="76">
        <f t="shared" si="15"/>
        <v>0</v>
      </c>
      <c r="H25" s="75">
        <f t="shared" si="15"/>
        <v>0</v>
      </c>
      <c r="I25" s="70">
        <f t="shared" si="15"/>
        <v>44487</v>
      </c>
      <c r="J25" s="75">
        <f>SUM(J26:J37)</f>
        <v>64954</v>
      </c>
      <c r="K25" s="70">
        <f t="shared" si="15"/>
        <v>0</v>
      </c>
      <c r="L25" s="75">
        <f t="shared" si="15"/>
        <v>63434</v>
      </c>
      <c r="M25" s="70">
        <f t="shared" si="15"/>
        <v>29485</v>
      </c>
      <c r="N25" s="75">
        <f t="shared" si="15"/>
        <v>0</v>
      </c>
      <c r="O25" s="70">
        <f t="shared" si="15"/>
        <v>14644</v>
      </c>
      <c r="P25" s="75">
        <f t="shared" si="15"/>
        <v>40685</v>
      </c>
      <c r="Q25" s="70">
        <f t="shared" si="15"/>
        <v>48494</v>
      </c>
      <c r="R25" s="75">
        <f t="shared" si="15"/>
        <v>46735</v>
      </c>
      <c r="S25" s="77">
        <f t="shared" si="15"/>
        <v>31703</v>
      </c>
      <c r="T25" s="133">
        <f t="shared" ref="T25:Y25" si="16">SUM(T26:T37)</f>
        <v>34500</v>
      </c>
      <c r="U25" s="80">
        <f t="shared" si="16"/>
        <v>29593</v>
      </c>
      <c r="V25" s="79">
        <f t="shared" si="16"/>
        <v>34749</v>
      </c>
      <c r="W25" s="79">
        <f t="shared" si="16"/>
        <v>47611</v>
      </c>
      <c r="X25" s="77">
        <f t="shared" si="16"/>
        <v>33907</v>
      </c>
      <c r="Y25" s="78">
        <f t="shared" si="16"/>
        <v>32745</v>
      </c>
      <c r="Z25" s="78">
        <f t="shared" ref="Z25:AI25" si="17">SUM(Z26:Z37)</f>
        <v>27016</v>
      </c>
      <c r="AA25" s="78">
        <f t="shared" si="17"/>
        <v>21710</v>
      </c>
      <c r="AB25" s="78">
        <f t="shared" si="17"/>
        <v>42678</v>
      </c>
      <c r="AC25" s="78">
        <f t="shared" si="17"/>
        <v>43746</v>
      </c>
      <c r="AD25" s="78">
        <f t="shared" si="17"/>
        <v>21601</v>
      </c>
      <c r="AE25" s="78">
        <f t="shared" si="17"/>
        <v>0</v>
      </c>
      <c r="AF25" s="78">
        <f t="shared" si="17"/>
        <v>0</v>
      </c>
      <c r="AG25" s="78">
        <f t="shared" si="17"/>
        <v>0</v>
      </c>
      <c r="AH25" s="78">
        <f t="shared" si="17"/>
        <v>0</v>
      </c>
      <c r="AI25" s="78">
        <f t="shared" si="17"/>
        <v>0</v>
      </c>
    </row>
    <row r="26" spans="1:35">
      <c r="A26" s="313"/>
      <c r="B26" s="37" t="s">
        <v>47</v>
      </c>
      <c r="C26" s="38" t="s">
        <v>48</v>
      </c>
      <c r="D26" s="72">
        <f>SUM(E26:AI26)</f>
        <v>191878</v>
      </c>
      <c r="E26" s="55"/>
      <c r="F26" s="55"/>
      <c r="G26" s="55"/>
      <c r="H26" s="55"/>
      <c r="I26" s="55">
        <v>92</v>
      </c>
      <c r="J26" s="55">
        <v>46</v>
      </c>
      <c r="K26" s="55">
        <v>0</v>
      </c>
      <c r="L26" s="55">
        <v>138</v>
      </c>
      <c r="M26" s="55">
        <v>368</v>
      </c>
      <c r="N26" s="55">
        <v>0</v>
      </c>
      <c r="O26" s="55">
        <v>10740</v>
      </c>
      <c r="P26" s="55">
        <v>25721</v>
      </c>
      <c r="Q26" s="55">
        <v>18175</v>
      </c>
      <c r="R26" s="55">
        <v>14762</v>
      </c>
      <c r="S26" s="55">
        <v>5796</v>
      </c>
      <c r="T26" s="55">
        <v>8351</v>
      </c>
      <c r="U26" s="55">
        <v>5912</v>
      </c>
      <c r="V26" s="55">
        <v>4520</v>
      </c>
      <c r="W26" s="55">
        <v>4479</v>
      </c>
      <c r="X26" s="55">
        <v>3184</v>
      </c>
      <c r="Y26" s="55">
        <v>2794</v>
      </c>
      <c r="Z26" s="55">
        <v>8129</v>
      </c>
      <c r="AA26" s="55">
        <v>12167</v>
      </c>
      <c r="AB26" s="55">
        <v>30364</v>
      </c>
      <c r="AC26" s="55">
        <v>29739</v>
      </c>
      <c r="AD26" s="55">
        <v>6401</v>
      </c>
      <c r="AE26" s="55"/>
      <c r="AF26" s="55"/>
      <c r="AG26" s="55"/>
      <c r="AH26" s="55"/>
      <c r="AI26" s="55"/>
    </row>
    <row r="27" spans="1:35">
      <c r="A27" s="313"/>
      <c r="B27" s="37" t="s">
        <v>49</v>
      </c>
      <c r="C27" s="38" t="s">
        <v>48</v>
      </c>
      <c r="D27" s="73">
        <f>SUM(E27:AI27)</f>
        <v>288681</v>
      </c>
      <c r="E27" s="55"/>
      <c r="F27" s="55">
        <v>47</v>
      </c>
      <c r="G27" s="55"/>
      <c r="H27" s="55"/>
      <c r="I27" s="55">
        <v>231</v>
      </c>
      <c r="J27" s="55">
        <v>324</v>
      </c>
      <c r="K27" s="55"/>
      <c r="L27" s="55">
        <v>368</v>
      </c>
      <c r="M27" s="55">
        <v>1152</v>
      </c>
      <c r="N27" s="55"/>
      <c r="O27" s="55">
        <v>1012</v>
      </c>
      <c r="P27" s="55">
        <v>4278</v>
      </c>
      <c r="Q27" s="55">
        <v>21022</v>
      </c>
      <c r="R27" s="55">
        <v>28015</v>
      </c>
      <c r="S27" s="55">
        <v>18124</v>
      </c>
      <c r="T27" s="55">
        <v>24104</v>
      </c>
      <c r="U27" s="55">
        <v>21533</v>
      </c>
      <c r="V27" s="55">
        <v>27465</v>
      </c>
      <c r="W27" s="55">
        <v>40919</v>
      </c>
      <c r="X27" s="55">
        <v>24525</v>
      </c>
      <c r="Y27" s="55">
        <v>25447</v>
      </c>
      <c r="Z27" s="55">
        <v>16889</v>
      </c>
      <c r="AA27" s="55">
        <v>5843</v>
      </c>
      <c r="AB27" s="55">
        <v>6625</v>
      </c>
      <c r="AC27" s="55">
        <v>7547</v>
      </c>
      <c r="AD27" s="55">
        <v>13211</v>
      </c>
      <c r="AE27" s="55"/>
      <c r="AF27" s="55"/>
      <c r="AG27" s="55"/>
      <c r="AH27" s="55"/>
      <c r="AI27" s="55"/>
    </row>
    <row r="28" spans="1:35">
      <c r="A28" s="313"/>
      <c r="B28" s="37" t="s">
        <v>50</v>
      </c>
      <c r="C28" s="38" t="s">
        <v>48</v>
      </c>
      <c r="D28" s="73">
        <f>SUM(E28:AI28)</f>
        <v>263010</v>
      </c>
      <c r="E28" s="55">
        <v>4368</v>
      </c>
      <c r="F28" s="55">
        <v>17222</v>
      </c>
      <c r="G28" s="55"/>
      <c r="H28" s="55"/>
      <c r="I28" s="55">
        <v>43792</v>
      </c>
      <c r="J28" s="55">
        <v>64120</v>
      </c>
      <c r="K28" s="55"/>
      <c r="L28" s="55">
        <v>61552</v>
      </c>
      <c r="M28" s="55">
        <v>27094</v>
      </c>
      <c r="N28" s="55"/>
      <c r="O28" s="55">
        <v>2484</v>
      </c>
      <c r="P28" s="55">
        <v>9906</v>
      </c>
      <c r="Q28" s="55">
        <v>8050</v>
      </c>
      <c r="R28" s="55">
        <v>2581</v>
      </c>
      <c r="S28" s="55">
        <v>4208</v>
      </c>
      <c r="T28" s="55">
        <v>552</v>
      </c>
      <c r="U28" s="55">
        <v>554</v>
      </c>
      <c r="V28" s="55">
        <v>646</v>
      </c>
      <c r="W28" s="55">
        <v>139</v>
      </c>
      <c r="X28" s="55">
        <v>278</v>
      </c>
      <c r="Y28" s="55">
        <v>374</v>
      </c>
      <c r="Z28" s="55">
        <v>1154</v>
      </c>
      <c r="AA28" s="55">
        <v>2397</v>
      </c>
      <c r="AB28" s="55">
        <v>4482</v>
      </c>
      <c r="AC28" s="55">
        <v>5572</v>
      </c>
      <c r="AD28" s="55">
        <v>1485</v>
      </c>
      <c r="AE28" s="55"/>
      <c r="AF28" s="55"/>
      <c r="AG28" s="55"/>
      <c r="AH28" s="55"/>
      <c r="AI28" s="55"/>
    </row>
    <row r="29" spans="1:35">
      <c r="A29" s="313"/>
      <c r="B29" s="37" t="s">
        <v>51</v>
      </c>
      <c r="C29" s="38" t="s">
        <v>48</v>
      </c>
      <c r="D29" s="73">
        <f t="shared" ref="D29" si="18">SUM(E29:Y29)</f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</row>
    <row r="30" spans="1:35">
      <c r="A30" s="313"/>
      <c r="B30" s="37" t="s">
        <v>52</v>
      </c>
      <c r="C30" s="38" t="s">
        <v>48</v>
      </c>
      <c r="D30" s="73">
        <f t="shared" ref="D30:D37" si="19">SUM(E30:AI30)</f>
        <v>16798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>
        <v>408</v>
      </c>
      <c r="P30" s="55">
        <v>578</v>
      </c>
      <c r="Q30" s="55">
        <v>1207</v>
      </c>
      <c r="R30" s="55">
        <v>1377</v>
      </c>
      <c r="S30" s="55">
        <v>3009</v>
      </c>
      <c r="T30" s="55">
        <v>1428</v>
      </c>
      <c r="U30" s="55">
        <v>1088</v>
      </c>
      <c r="V30" s="55">
        <v>1700</v>
      </c>
      <c r="W30" s="55">
        <v>1105</v>
      </c>
      <c r="X30" s="55">
        <v>1258</v>
      </c>
      <c r="Y30" s="55">
        <v>408</v>
      </c>
      <c r="Z30" s="55">
        <v>799</v>
      </c>
      <c r="AA30" s="55">
        <v>1018</v>
      </c>
      <c r="AB30" s="55">
        <v>378</v>
      </c>
      <c r="AC30" s="55">
        <v>578</v>
      </c>
      <c r="AD30" s="55">
        <v>459</v>
      </c>
      <c r="AE30" s="55"/>
      <c r="AF30" s="55"/>
      <c r="AG30" s="55"/>
      <c r="AH30" s="55"/>
      <c r="AI30" s="55"/>
    </row>
    <row r="31" spans="1:35">
      <c r="A31" s="313"/>
      <c r="B31" s="37" t="s">
        <v>53</v>
      </c>
      <c r="C31" s="38" t="s">
        <v>48</v>
      </c>
      <c r="D31" s="73">
        <f t="shared" si="19"/>
        <v>5414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>
        <v>3760</v>
      </c>
      <c r="Y31" s="55">
        <v>1280</v>
      </c>
      <c r="Z31" s="55"/>
      <c r="AA31" s="55"/>
      <c r="AB31" s="55">
        <v>374</v>
      </c>
      <c r="AC31" s="55"/>
      <c r="AD31" s="55"/>
      <c r="AE31" s="55"/>
      <c r="AF31" s="55"/>
      <c r="AG31" s="55"/>
      <c r="AH31" s="55"/>
      <c r="AI31" s="55"/>
    </row>
    <row r="32" spans="1:35">
      <c r="A32" s="313"/>
      <c r="B32" s="37" t="s">
        <v>54</v>
      </c>
      <c r="C32" s="38" t="s">
        <v>48</v>
      </c>
      <c r="D32" s="73">
        <f t="shared" si="19"/>
        <v>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</row>
    <row r="33" spans="1:35">
      <c r="A33" s="313"/>
      <c r="B33" s="37" t="s">
        <v>55</v>
      </c>
      <c r="C33" s="38" t="s">
        <v>48</v>
      </c>
      <c r="D33" s="73">
        <f t="shared" si="19"/>
        <v>5698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>
        <v>396</v>
      </c>
      <c r="T33" s="55"/>
      <c r="U33" s="55">
        <v>506</v>
      </c>
      <c r="V33" s="55">
        <v>418</v>
      </c>
      <c r="W33" s="55">
        <v>924</v>
      </c>
      <c r="X33" s="55">
        <v>902</v>
      </c>
      <c r="Y33" s="55">
        <v>2442</v>
      </c>
      <c r="Z33" s="55"/>
      <c r="AA33" s="55">
        <v>110</v>
      </c>
      <c r="AB33" s="55"/>
      <c r="AC33" s="55"/>
      <c r="AD33" s="55"/>
      <c r="AE33" s="55"/>
      <c r="AF33" s="55"/>
      <c r="AG33" s="55"/>
      <c r="AH33" s="55"/>
      <c r="AI33" s="55"/>
    </row>
    <row r="34" spans="1:35">
      <c r="A34" s="313"/>
      <c r="B34" s="37" t="s">
        <v>56</v>
      </c>
      <c r="C34" s="38" t="s">
        <v>48</v>
      </c>
      <c r="D34" s="73">
        <f t="shared" si="19"/>
        <v>0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>
      <c r="A35" s="313"/>
      <c r="B35" s="37" t="s">
        <v>57</v>
      </c>
      <c r="C35" s="38" t="s">
        <v>48</v>
      </c>
      <c r="D35" s="73">
        <f t="shared" si="19"/>
        <v>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</row>
    <row r="36" spans="1:35">
      <c r="A36" s="313"/>
      <c r="B36" s="37" t="s">
        <v>58</v>
      </c>
      <c r="C36" s="38" t="s">
        <v>48</v>
      </c>
      <c r="D36" s="73">
        <f t="shared" si="19"/>
        <v>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</row>
    <row r="37" spans="1:35">
      <c r="A37" s="314"/>
      <c r="B37" s="39" t="s">
        <v>59</v>
      </c>
      <c r="C37" s="40" t="s">
        <v>48</v>
      </c>
      <c r="D37" s="74">
        <f t="shared" si="19"/>
        <v>5862</v>
      </c>
      <c r="E37" s="57">
        <v>96</v>
      </c>
      <c r="F37" s="57">
        <v>1131</v>
      </c>
      <c r="G37" s="57"/>
      <c r="H37" s="57"/>
      <c r="I37" s="57">
        <v>372</v>
      </c>
      <c r="J37" s="57">
        <v>464</v>
      </c>
      <c r="K37" s="57"/>
      <c r="L37" s="57">
        <v>1376</v>
      </c>
      <c r="M37" s="57">
        <v>871</v>
      </c>
      <c r="N37" s="57"/>
      <c r="O37" s="57"/>
      <c r="P37" s="57">
        <v>202</v>
      </c>
      <c r="Q37" s="57">
        <v>40</v>
      </c>
      <c r="R37" s="57"/>
      <c r="S37" s="57">
        <v>170</v>
      </c>
      <c r="T37" s="57">
        <v>65</v>
      </c>
      <c r="U37" s="57"/>
      <c r="V37" s="57"/>
      <c r="W37" s="57">
        <v>45</v>
      </c>
      <c r="X37" s="57"/>
      <c r="Y37" s="57"/>
      <c r="Z37" s="57">
        <v>45</v>
      </c>
      <c r="AA37" s="57">
        <v>175</v>
      </c>
      <c r="AB37" s="57">
        <v>455</v>
      </c>
      <c r="AC37" s="57">
        <v>310</v>
      </c>
      <c r="AD37" s="57">
        <v>45</v>
      </c>
      <c r="AE37" s="57"/>
      <c r="AF37" s="57"/>
      <c r="AG37" s="57"/>
      <c r="AH37" s="57"/>
      <c r="AI37" s="57"/>
    </row>
    <row r="38" spans="1:35">
      <c r="A38" s="33"/>
      <c r="C38" s="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</row>
    <row r="39" spans="1:35">
      <c r="A39" s="324" t="s">
        <v>60</v>
      </c>
      <c r="B39" s="50" t="s">
        <v>61</v>
      </c>
      <c r="C39" s="91" t="s">
        <v>62</v>
      </c>
      <c r="D39" s="81">
        <f>SUM(E39:AI39)</f>
        <v>326000</v>
      </c>
      <c r="E39" s="86">
        <v>7000</v>
      </c>
      <c r="F39" s="86">
        <v>8000</v>
      </c>
      <c r="G39" s="86">
        <v>3000</v>
      </c>
      <c r="H39" s="86">
        <v>6000</v>
      </c>
      <c r="I39" s="86">
        <v>11000</v>
      </c>
      <c r="J39" s="86">
        <v>8000</v>
      </c>
      <c r="K39" s="86">
        <v>9000</v>
      </c>
      <c r="L39" s="86">
        <v>12000</v>
      </c>
      <c r="M39" s="86">
        <v>13000</v>
      </c>
      <c r="N39" s="86">
        <v>16000</v>
      </c>
      <c r="O39" s="86">
        <v>13000</v>
      </c>
      <c r="P39" s="86">
        <v>13000</v>
      </c>
      <c r="Q39" s="86">
        <v>15000</v>
      </c>
      <c r="R39" s="86">
        <v>14000</v>
      </c>
      <c r="S39" s="86">
        <v>14000</v>
      </c>
      <c r="T39" s="86">
        <v>15000</v>
      </c>
      <c r="U39" s="86">
        <v>14000</v>
      </c>
      <c r="V39" s="86">
        <v>14000</v>
      </c>
      <c r="W39" s="86">
        <v>13000</v>
      </c>
      <c r="X39" s="86">
        <v>13000</v>
      </c>
      <c r="Y39" s="86">
        <v>11000</v>
      </c>
      <c r="Z39" s="86">
        <v>14000</v>
      </c>
      <c r="AA39" s="86">
        <v>14000</v>
      </c>
      <c r="AB39" s="86">
        <v>15000</v>
      </c>
      <c r="AC39" s="86">
        <v>15000</v>
      </c>
      <c r="AD39" s="86">
        <v>14000</v>
      </c>
      <c r="AE39" s="86">
        <v>5000</v>
      </c>
      <c r="AF39" s="86">
        <v>4000</v>
      </c>
      <c r="AG39" s="86">
        <v>3000</v>
      </c>
      <c r="AH39" s="86">
        <v>0</v>
      </c>
      <c r="AI39" s="86">
        <v>0</v>
      </c>
    </row>
    <row r="40" spans="1:35">
      <c r="A40" s="325"/>
      <c r="B40" s="39" t="s">
        <v>63</v>
      </c>
      <c r="C40" s="92" t="s">
        <v>62</v>
      </c>
      <c r="D40" s="82">
        <f>SUM(E40:AI40)</f>
        <v>1200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0</v>
      </c>
      <c r="L40" s="87">
        <v>0</v>
      </c>
      <c r="M40" s="87">
        <v>300</v>
      </c>
      <c r="N40" s="87">
        <v>0</v>
      </c>
      <c r="O40" s="87">
        <v>0</v>
      </c>
      <c r="P40" s="87">
        <v>200</v>
      </c>
      <c r="Q40" s="87">
        <v>0</v>
      </c>
      <c r="R40" s="87">
        <v>0</v>
      </c>
      <c r="S40" s="87">
        <v>0</v>
      </c>
      <c r="T40" s="87">
        <v>0</v>
      </c>
      <c r="U40" s="87">
        <v>200</v>
      </c>
      <c r="V40" s="87"/>
      <c r="W40" s="87"/>
      <c r="X40" s="87"/>
      <c r="Y40" s="87">
        <v>0</v>
      </c>
      <c r="Z40" s="87">
        <v>300</v>
      </c>
      <c r="AA40" s="87">
        <v>0</v>
      </c>
      <c r="AB40" s="87">
        <v>0</v>
      </c>
      <c r="AC40" s="87">
        <v>0</v>
      </c>
      <c r="AD40" s="87">
        <v>200</v>
      </c>
      <c r="AE40" s="87">
        <v>0</v>
      </c>
      <c r="AF40" s="87">
        <v>0</v>
      </c>
      <c r="AG40" s="87">
        <v>0</v>
      </c>
      <c r="AH40" s="87">
        <v>0</v>
      </c>
      <c r="AI40" s="87">
        <v>0</v>
      </c>
    </row>
    <row r="42" spans="1:35">
      <c r="N42">
        <v>15000</v>
      </c>
      <c r="O42">
        <v>15000</v>
      </c>
      <c r="P42">
        <v>16000</v>
      </c>
      <c r="Q42">
        <v>15000</v>
      </c>
      <c r="R42">
        <v>15000</v>
      </c>
      <c r="S42">
        <v>15000</v>
      </c>
      <c r="T42">
        <v>16000</v>
      </c>
      <c r="U42">
        <v>16000</v>
      </c>
      <c r="V42">
        <v>17000</v>
      </c>
      <c r="W42">
        <v>16000</v>
      </c>
      <c r="X42">
        <v>15000</v>
      </c>
      <c r="Y42">
        <v>15000</v>
      </c>
      <c r="Z42">
        <v>15000</v>
      </c>
      <c r="AA42">
        <v>13000</v>
      </c>
    </row>
    <row r="43" spans="1:35" ht="13.5" customHeight="1"/>
    <row r="44" spans="1:35" ht="15" customHeight="1">
      <c r="A44" s="312" t="s">
        <v>64</v>
      </c>
      <c r="B44" s="93" t="s">
        <v>65</v>
      </c>
      <c r="C44" s="47" t="s">
        <v>8</v>
      </c>
      <c r="D44" s="83">
        <f>SUM(E44:AI44)</f>
        <v>66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7</v>
      </c>
      <c r="P44" s="88">
        <v>5</v>
      </c>
      <c r="Q44" s="88">
        <v>0</v>
      </c>
      <c r="R44" s="88">
        <v>3</v>
      </c>
      <c r="S44" s="88">
        <v>6</v>
      </c>
      <c r="T44" s="88">
        <v>6</v>
      </c>
      <c r="U44" s="88">
        <v>9</v>
      </c>
      <c r="V44" s="88">
        <v>0</v>
      </c>
      <c r="W44" s="88">
        <v>0</v>
      </c>
      <c r="X44" s="88">
        <v>6</v>
      </c>
      <c r="Y44" s="88">
        <v>4</v>
      </c>
      <c r="Z44" s="88">
        <v>8</v>
      </c>
      <c r="AA44" s="88">
        <v>7</v>
      </c>
      <c r="AB44" s="88">
        <v>5</v>
      </c>
      <c r="AC44" s="88">
        <v>0</v>
      </c>
      <c r="AD44" s="88">
        <v>0</v>
      </c>
      <c r="AE44" s="88">
        <v>0</v>
      </c>
      <c r="AF44" s="88">
        <v>0</v>
      </c>
      <c r="AG44" s="88">
        <v>0</v>
      </c>
      <c r="AH44" s="88">
        <v>0</v>
      </c>
      <c r="AI44" s="88">
        <v>0</v>
      </c>
    </row>
    <row r="45" spans="1:35">
      <c r="A45" s="313"/>
      <c r="B45" s="94" t="s">
        <v>66</v>
      </c>
      <c r="C45" s="38" t="s">
        <v>8</v>
      </c>
      <c r="D45" s="84">
        <f>SUM(E45:AI45)</f>
        <v>51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7</v>
      </c>
      <c r="P45" s="89">
        <v>4</v>
      </c>
      <c r="Q45" s="89">
        <v>0</v>
      </c>
      <c r="R45" s="89">
        <v>0</v>
      </c>
      <c r="S45" s="89">
        <v>5</v>
      </c>
      <c r="T45" s="89">
        <v>6</v>
      </c>
      <c r="U45" s="89">
        <v>8</v>
      </c>
      <c r="V45" s="89">
        <v>0</v>
      </c>
      <c r="W45" s="89">
        <v>0</v>
      </c>
      <c r="X45" s="89">
        <v>0</v>
      </c>
      <c r="Y45" s="89">
        <v>4</v>
      </c>
      <c r="Z45" s="89">
        <v>5</v>
      </c>
      <c r="AA45" s="89">
        <v>7</v>
      </c>
      <c r="AB45" s="89">
        <v>5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</row>
    <row r="46" spans="1:35">
      <c r="A46" s="313"/>
      <c r="B46" s="94" t="s">
        <v>67</v>
      </c>
      <c r="C46" s="38" t="s">
        <v>8</v>
      </c>
      <c r="D46" s="84">
        <f t="shared" ref="D46:D47" si="20">SUM(E46:AI46)</f>
        <v>15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1</v>
      </c>
      <c r="Q46" s="89">
        <v>0</v>
      </c>
      <c r="R46" s="89">
        <v>3</v>
      </c>
      <c r="S46" s="89">
        <v>1</v>
      </c>
      <c r="T46" s="89">
        <v>0</v>
      </c>
      <c r="U46" s="89">
        <v>1</v>
      </c>
      <c r="V46" s="89">
        <v>0</v>
      </c>
      <c r="W46" s="89">
        <v>0</v>
      </c>
      <c r="X46" s="89">
        <v>6</v>
      </c>
      <c r="Y46" s="89">
        <v>0</v>
      </c>
      <c r="Z46" s="89">
        <v>3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</row>
    <row r="47" spans="1:35">
      <c r="A47" s="313"/>
      <c r="B47" s="95" t="s">
        <v>68</v>
      </c>
      <c r="C47" s="40" t="s">
        <v>8</v>
      </c>
      <c r="D47" s="84">
        <f t="shared" si="20"/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0</v>
      </c>
      <c r="AC47" s="90">
        <v>0</v>
      </c>
      <c r="AD47" s="90">
        <v>0</v>
      </c>
      <c r="AE47" s="90">
        <v>0</v>
      </c>
      <c r="AF47" s="90">
        <v>0</v>
      </c>
      <c r="AG47" s="90">
        <v>0</v>
      </c>
      <c r="AH47" s="90">
        <v>0</v>
      </c>
      <c r="AI47" s="90">
        <v>0</v>
      </c>
    </row>
    <row r="48" spans="1:35" ht="15" hidden="1" customHeight="1">
      <c r="A48" s="313"/>
      <c r="B48" s="93" t="s">
        <v>69</v>
      </c>
      <c r="C48" s="91" t="s">
        <v>48</v>
      </c>
      <c r="D48" s="85">
        <f t="shared" ref="D48:D49" si="21">SUM(E48:Y48)</f>
        <v>227000</v>
      </c>
      <c r="E48" s="86">
        <v>0</v>
      </c>
      <c r="F48" s="86">
        <v>0</v>
      </c>
      <c r="G48" s="86">
        <v>0</v>
      </c>
      <c r="H48" s="86">
        <v>0</v>
      </c>
      <c r="I48" s="86">
        <v>17000</v>
      </c>
      <c r="J48" s="86">
        <v>15000</v>
      </c>
      <c r="K48" s="86">
        <v>0</v>
      </c>
      <c r="L48" s="86">
        <v>15000</v>
      </c>
      <c r="M48" s="86">
        <v>7000</v>
      </c>
      <c r="N48" s="86">
        <v>0</v>
      </c>
      <c r="O48" s="86">
        <v>6000</v>
      </c>
      <c r="P48" s="86">
        <v>18000</v>
      </c>
      <c r="Q48" s="86">
        <v>20000</v>
      </c>
      <c r="R48" s="86">
        <v>20000</v>
      </c>
      <c r="S48" s="86">
        <v>17000</v>
      </c>
      <c r="T48" s="86">
        <v>15000</v>
      </c>
      <c r="U48" s="86">
        <v>15000</v>
      </c>
      <c r="V48" s="86">
        <v>15000</v>
      </c>
      <c r="W48" s="86">
        <v>20000</v>
      </c>
      <c r="X48" s="86">
        <v>17000</v>
      </c>
      <c r="Y48" s="86">
        <v>10000</v>
      </c>
      <c r="Z48" s="86">
        <v>21000</v>
      </c>
      <c r="AA48" s="86">
        <v>12000</v>
      </c>
      <c r="AB48" s="86">
        <v>19000</v>
      </c>
      <c r="AC48" s="86">
        <v>20000</v>
      </c>
      <c r="AD48" s="86">
        <v>10000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</row>
    <row r="49" spans="1:35">
      <c r="A49" s="314"/>
      <c r="B49" s="95" t="s">
        <v>70</v>
      </c>
      <c r="C49" s="92" t="s">
        <v>48</v>
      </c>
      <c r="D49" s="82">
        <f t="shared" si="21"/>
        <v>6800</v>
      </c>
      <c r="E49" s="87">
        <v>0</v>
      </c>
      <c r="F49" s="87">
        <v>0</v>
      </c>
      <c r="G49" s="87">
        <v>0</v>
      </c>
      <c r="H49" s="87">
        <v>0</v>
      </c>
      <c r="I49" s="87">
        <v>500</v>
      </c>
      <c r="J49" s="87">
        <v>500</v>
      </c>
      <c r="K49" s="87">
        <v>0</v>
      </c>
      <c r="L49" s="87">
        <v>500</v>
      </c>
      <c r="M49" s="87">
        <v>300</v>
      </c>
      <c r="N49" s="87">
        <v>0</v>
      </c>
      <c r="O49" s="87">
        <v>200</v>
      </c>
      <c r="P49" s="87">
        <v>500</v>
      </c>
      <c r="Q49" s="87">
        <v>600</v>
      </c>
      <c r="R49" s="87">
        <v>600</v>
      </c>
      <c r="S49" s="87">
        <v>500</v>
      </c>
      <c r="T49" s="87">
        <v>400</v>
      </c>
      <c r="U49" s="87">
        <v>400</v>
      </c>
      <c r="V49" s="87">
        <v>400</v>
      </c>
      <c r="W49" s="87">
        <v>600</v>
      </c>
      <c r="X49" s="87">
        <v>500</v>
      </c>
      <c r="Y49" s="87">
        <v>300</v>
      </c>
      <c r="Z49" s="87">
        <v>600</v>
      </c>
      <c r="AA49" s="87">
        <v>300</v>
      </c>
      <c r="AB49" s="87">
        <v>570</v>
      </c>
      <c r="AC49" s="87">
        <v>600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7">
        <v>0</v>
      </c>
    </row>
    <row r="50" spans="1:35">
      <c r="B50" s="4"/>
      <c r="C50" s="4"/>
      <c r="D50" s="3"/>
      <c r="E50" s="3"/>
      <c r="G50" s="3"/>
      <c r="I50" s="3"/>
      <c r="K50" s="3"/>
      <c r="M50" s="3"/>
      <c r="O50" s="3"/>
      <c r="Q50" s="3"/>
      <c r="S50" s="3"/>
      <c r="U50" s="3"/>
      <c r="W50" s="3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>
      <c r="A51" s="315" t="s">
        <v>71</v>
      </c>
      <c r="B51" s="50" t="s">
        <v>72</v>
      </c>
      <c r="C51" s="45" t="s">
        <v>73</v>
      </c>
      <c r="D51" s="7" t="s">
        <v>73</v>
      </c>
      <c r="E51" s="7" t="s">
        <v>73</v>
      </c>
      <c r="F51" s="7" t="s">
        <v>73</v>
      </c>
      <c r="G51" s="7" t="s">
        <v>73</v>
      </c>
      <c r="H51" s="7" t="s">
        <v>73</v>
      </c>
      <c r="I51" s="7" t="s">
        <v>73</v>
      </c>
      <c r="J51" s="7" t="s">
        <v>73</v>
      </c>
      <c r="K51" s="7" t="s">
        <v>73</v>
      </c>
      <c r="L51" s="7" t="s">
        <v>73</v>
      </c>
      <c r="M51" s="7" t="s">
        <v>73</v>
      </c>
      <c r="N51" s="7" t="s">
        <v>73</v>
      </c>
      <c r="O51" s="7" t="s">
        <v>73</v>
      </c>
      <c r="P51" s="7" t="s">
        <v>73</v>
      </c>
      <c r="Q51" s="7" t="s">
        <v>73</v>
      </c>
      <c r="R51" s="7" t="s">
        <v>73</v>
      </c>
      <c r="S51" s="7" t="s">
        <v>73</v>
      </c>
      <c r="T51" s="7" t="s">
        <v>73</v>
      </c>
      <c r="U51" s="7" t="s">
        <v>73</v>
      </c>
      <c r="V51" s="7" t="s">
        <v>73</v>
      </c>
      <c r="W51" s="7" t="s">
        <v>73</v>
      </c>
      <c r="X51" s="7" t="s">
        <v>73</v>
      </c>
      <c r="Y51" s="7" t="s">
        <v>73</v>
      </c>
      <c r="Z51" s="7" t="s">
        <v>73</v>
      </c>
      <c r="AA51" s="7" t="s">
        <v>73</v>
      </c>
      <c r="AB51" s="7" t="s">
        <v>73</v>
      </c>
      <c r="AC51" s="7" t="s">
        <v>73</v>
      </c>
      <c r="AD51" s="7" t="s">
        <v>73</v>
      </c>
      <c r="AE51" s="7" t="s">
        <v>73</v>
      </c>
      <c r="AF51" s="7" t="s">
        <v>73</v>
      </c>
      <c r="AG51" s="7" t="s">
        <v>73</v>
      </c>
      <c r="AH51" s="7" t="s">
        <v>73</v>
      </c>
      <c r="AI51" s="7" t="s">
        <v>73</v>
      </c>
    </row>
    <row r="52" spans="1:35">
      <c r="A52" s="316"/>
      <c r="B52" s="37" t="s">
        <v>74</v>
      </c>
      <c r="C52" s="51" t="s">
        <v>75</v>
      </c>
      <c r="D52" s="8" t="s">
        <v>75</v>
      </c>
      <c r="E52" s="8" t="s">
        <v>75</v>
      </c>
      <c r="F52" s="8" t="s">
        <v>75</v>
      </c>
      <c r="G52" s="8" t="s">
        <v>75</v>
      </c>
      <c r="H52" s="8" t="s">
        <v>75</v>
      </c>
      <c r="I52" s="8" t="s">
        <v>75</v>
      </c>
      <c r="J52" s="8" t="s">
        <v>75</v>
      </c>
      <c r="K52" s="8" t="s">
        <v>75</v>
      </c>
      <c r="L52" s="8" t="s">
        <v>75</v>
      </c>
      <c r="M52" s="8" t="s">
        <v>75</v>
      </c>
      <c r="N52" s="8" t="s">
        <v>75</v>
      </c>
      <c r="O52" s="8" t="s">
        <v>75</v>
      </c>
      <c r="P52" s="8" t="s">
        <v>75</v>
      </c>
      <c r="Q52" s="8" t="s">
        <v>75</v>
      </c>
      <c r="R52" s="8" t="s">
        <v>75</v>
      </c>
      <c r="S52" s="8" t="s">
        <v>75</v>
      </c>
      <c r="T52" s="8" t="s">
        <v>75</v>
      </c>
      <c r="U52" s="8" t="s">
        <v>75</v>
      </c>
      <c r="V52" s="8" t="s">
        <v>75</v>
      </c>
      <c r="W52" s="8" t="s">
        <v>75</v>
      </c>
      <c r="X52" s="8" t="s">
        <v>75</v>
      </c>
      <c r="Y52" s="8" t="s">
        <v>75</v>
      </c>
      <c r="Z52" s="8" t="s">
        <v>75</v>
      </c>
      <c r="AA52" s="8" t="s">
        <v>75</v>
      </c>
      <c r="AB52" s="8" t="s">
        <v>75</v>
      </c>
      <c r="AC52" s="8" t="s">
        <v>75</v>
      </c>
      <c r="AD52" s="8" t="s">
        <v>75</v>
      </c>
      <c r="AE52" s="8" t="s">
        <v>75</v>
      </c>
      <c r="AF52" s="8" t="s">
        <v>75</v>
      </c>
      <c r="AG52" s="8" t="s">
        <v>75</v>
      </c>
      <c r="AH52" s="8" t="s">
        <v>75</v>
      </c>
      <c r="AI52" s="8" t="s">
        <v>75</v>
      </c>
    </row>
    <row r="53" spans="1:35">
      <c r="A53" s="316"/>
      <c r="B53" s="37" t="s">
        <v>7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75</v>
      </c>
      <c r="N53" s="8" t="s">
        <v>75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</row>
    <row r="54" spans="1:35">
      <c r="A54" s="316"/>
      <c r="B54" s="37" t="s">
        <v>76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77</v>
      </c>
      <c r="Q54" s="8" t="s">
        <v>75</v>
      </c>
      <c r="R54" s="8" t="s">
        <v>78</v>
      </c>
      <c r="S54" s="8" t="s">
        <v>79</v>
      </c>
      <c r="T54" s="8" t="s">
        <v>75</v>
      </c>
      <c r="U54" s="8" t="s">
        <v>80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81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</row>
    <row r="55" spans="1:35">
      <c r="A55" s="317"/>
      <c r="B55" s="39" t="s">
        <v>82</v>
      </c>
      <c r="C55" s="52" t="s">
        <v>75</v>
      </c>
      <c r="D55" s="9" t="s">
        <v>75</v>
      </c>
      <c r="E55" s="9" t="s">
        <v>75</v>
      </c>
      <c r="F55" s="9" t="s">
        <v>75</v>
      </c>
      <c r="G55" s="9" t="s">
        <v>75</v>
      </c>
      <c r="H55" s="9" t="s">
        <v>75</v>
      </c>
      <c r="I55" s="9" t="s">
        <v>75</v>
      </c>
      <c r="J55" s="9" t="s">
        <v>75</v>
      </c>
      <c r="K55" s="9" t="s">
        <v>75</v>
      </c>
      <c r="L55" s="9" t="s">
        <v>75</v>
      </c>
      <c r="M55" s="9" t="s">
        <v>75</v>
      </c>
      <c r="N55" s="9" t="s">
        <v>75</v>
      </c>
      <c r="O55" s="9" t="s">
        <v>75</v>
      </c>
      <c r="P55" s="9" t="s">
        <v>75</v>
      </c>
      <c r="Q55" s="9" t="s">
        <v>75</v>
      </c>
      <c r="R55" s="9" t="s">
        <v>75</v>
      </c>
      <c r="S55" s="9" t="s">
        <v>75</v>
      </c>
      <c r="T55" s="9" t="s">
        <v>75</v>
      </c>
      <c r="U55" s="9" t="s">
        <v>75</v>
      </c>
      <c r="V55" s="9" t="s">
        <v>75</v>
      </c>
      <c r="W55" s="9" t="s">
        <v>75</v>
      </c>
      <c r="X55" s="9" t="s">
        <v>75</v>
      </c>
      <c r="Y55" s="9" t="s">
        <v>75</v>
      </c>
      <c r="Z55" s="9" t="s">
        <v>75</v>
      </c>
      <c r="AA55" s="9" t="s">
        <v>75</v>
      </c>
      <c r="AB55" s="9" t="s">
        <v>75</v>
      </c>
      <c r="AC55" s="9" t="s">
        <v>75</v>
      </c>
      <c r="AD55" s="9" t="s">
        <v>75</v>
      </c>
      <c r="AE55" s="9" t="s">
        <v>75</v>
      </c>
      <c r="AF55" s="9" t="s">
        <v>75</v>
      </c>
      <c r="AG55" s="9" t="s">
        <v>75</v>
      </c>
      <c r="AH55" s="9" t="s">
        <v>75</v>
      </c>
      <c r="AI55" s="9" t="s">
        <v>75</v>
      </c>
    </row>
    <row r="57" spans="1:35" ht="15.75">
      <c r="B57" s="53" t="s">
        <v>83</v>
      </c>
      <c r="C57" s="99" t="s">
        <v>84</v>
      </c>
      <c r="D57" s="100">
        <f>SUM(D58:D70)</f>
        <v>22825426.400000002</v>
      </c>
      <c r="E57" s="101">
        <f t="shared" ref="E57:Y57" si="22">SUM(E58:E70)</f>
        <v>92163.839999999997</v>
      </c>
      <c r="F57" s="101">
        <f>SUM(F58:F70)</f>
        <v>372267.42</v>
      </c>
      <c r="G57" s="101">
        <f t="shared" si="22"/>
        <v>0</v>
      </c>
      <c r="H57" s="101">
        <f t="shared" si="22"/>
        <v>0</v>
      </c>
      <c r="I57" s="101">
        <f t="shared" si="22"/>
        <v>928645.22</v>
      </c>
      <c r="J57" s="101">
        <f t="shared" si="22"/>
        <v>1354782.0599999998</v>
      </c>
      <c r="K57" s="101">
        <f t="shared" si="22"/>
        <v>0</v>
      </c>
      <c r="L57" s="101">
        <f t="shared" si="22"/>
        <v>1315411.22</v>
      </c>
      <c r="M57" s="101">
        <f t="shared" si="22"/>
        <v>623233.19999999995</v>
      </c>
      <c r="N57" s="101">
        <f t="shared" si="22"/>
        <v>0</v>
      </c>
      <c r="O57" s="101">
        <f t="shared" si="22"/>
        <v>533540.28</v>
      </c>
      <c r="P57" s="101">
        <f>SUM(P58:P70)</f>
        <v>1413754.41</v>
      </c>
      <c r="Q57" s="101">
        <f t="shared" si="22"/>
        <v>1546294.31</v>
      </c>
      <c r="R57" s="102">
        <f t="shared" si="22"/>
        <v>1492408.1600000001</v>
      </c>
      <c r="S57" s="101">
        <f>SUM(S58:S70)</f>
        <v>894494.6</v>
      </c>
      <c r="T57" s="100">
        <f t="shared" si="22"/>
        <v>1069101.07</v>
      </c>
      <c r="U57" s="101">
        <f t="shared" si="22"/>
        <v>913861.14</v>
      </c>
      <c r="V57" s="101">
        <f>SUM(V58:V70)</f>
        <v>1028863.78</v>
      </c>
      <c r="W57" s="101">
        <f t="shared" si="22"/>
        <v>1427422.6500000001</v>
      </c>
      <c r="X57" s="102">
        <f t="shared" si="22"/>
        <v>945520.1</v>
      </c>
      <c r="Y57" s="101">
        <f t="shared" si="22"/>
        <v>996351.04</v>
      </c>
      <c r="Z57" s="101">
        <f t="shared" ref="Z57:AI57" si="23">SUM(Z58:Z70)</f>
        <v>859306.55</v>
      </c>
      <c r="AA57" s="101">
        <f t="shared" si="23"/>
        <v>742149.13</v>
      </c>
      <c r="AB57" s="101">
        <f t="shared" si="23"/>
        <v>1568830.6199999999</v>
      </c>
      <c r="AC57" s="101">
        <f t="shared" si="23"/>
        <v>1587390.1300000001</v>
      </c>
      <c r="AD57" s="101">
        <f t="shared" si="23"/>
        <v>685203.47000000009</v>
      </c>
      <c r="AE57" s="101">
        <f t="shared" si="23"/>
        <v>0</v>
      </c>
      <c r="AF57" s="101">
        <f t="shared" si="23"/>
        <v>0</v>
      </c>
      <c r="AG57" s="101">
        <f t="shared" si="23"/>
        <v>0</v>
      </c>
      <c r="AH57" s="101">
        <f t="shared" si="23"/>
        <v>0</v>
      </c>
      <c r="AI57" s="103">
        <f t="shared" si="23"/>
        <v>0</v>
      </c>
    </row>
    <row r="58" spans="1:35">
      <c r="B58" s="96" t="s">
        <v>47</v>
      </c>
      <c r="C58" s="111">
        <v>41.89</v>
      </c>
      <c r="D58" s="97">
        <f>D26*$C58</f>
        <v>8037769.4199999999</v>
      </c>
      <c r="E58" s="104">
        <f t="shared" ref="E58:AI58" si="24">E26*$C58</f>
        <v>0</v>
      </c>
      <c r="F58" s="104">
        <f t="shared" si="24"/>
        <v>0</v>
      </c>
      <c r="G58" s="104">
        <f t="shared" si="24"/>
        <v>0</v>
      </c>
      <c r="H58" s="104">
        <f t="shared" si="24"/>
        <v>0</v>
      </c>
      <c r="I58" s="104">
        <f t="shared" si="24"/>
        <v>3853.88</v>
      </c>
      <c r="J58" s="104">
        <f t="shared" si="24"/>
        <v>1926.94</v>
      </c>
      <c r="K58" s="104">
        <f t="shared" si="24"/>
        <v>0</v>
      </c>
      <c r="L58" s="104">
        <f t="shared" si="24"/>
        <v>5780.82</v>
      </c>
      <c r="M58" s="104">
        <f t="shared" si="24"/>
        <v>15415.52</v>
      </c>
      <c r="N58" s="104">
        <f t="shared" si="24"/>
        <v>0</v>
      </c>
      <c r="O58" s="104">
        <f t="shared" si="24"/>
        <v>449898.60000000003</v>
      </c>
      <c r="P58" s="104">
        <f t="shared" si="24"/>
        <v>1077452.69</v>
      </c>
      <c r="Q58" s="104">
        <f t="shared" si="24"/>
        <v>761350.75</v>
      </c>
      <c r="R58" s="104">
        <f t="shared" si="24"/>
        <v>618380.18000000005</v>
      </c>
      <c r="S58" s="104">
        <f t="shared" si="24"/>
        <v>242794.44</v>
      </c>
      <c r="T58" s="104">
        <f t="shared" si="24"/>
        <v>349823.39</v>
      </c>
      <c r="U58" s="104">
        <f t="shared" si="24"/>
        <v>247653.68</v>
      </c>
      <c r="V58" s="104">
        <f t="shared" si="24"/>
        <v>189342.8</v>
      </c>
      <c r="W58" s="104">
        <f t="shared" si="24"/>
        <v>187625.31</v>
      </c>
      <c r="X58" s="105">
        <f t="shared" si="24"/>
        <v>133377.76</v>
      </c>
      <c r="Y58" s="104">
        <f t="shared" si="24"/>
        <v>117040.66</v>
      </c>
      <c r="Z58" s="104">
        <f t="shared" si="24"/>
        <v>340523.81</v>
      </c>
      <c r="AA58" s="104">
        <f t="shared" si="24"/>
        <v>509675.63</v>
      </c>
      <c r="AB58" s="104">
        <f t="shared" si="24"/>
        <v>1271947.96</v>
      </c>
      <c r="AC58" s="104">
        <f t="shared" si="24"/>
        <v>1245766.71</v>
      </c>
      <c r="AD58" s="104">
        <f t="shared" si="24"/>
        <v>268137.89</v>
      </c>
      <c r="AE58" s="104">
        <f t="shared" si="24"/>
        <v>0</v>
      </c>
      <c r="AF58" s="104">
        <f t="shared" si="24"/>
        <v>0</v>
      </c>
      <c r="AG58" s="104">
        <f t="shared" si="24"/>
        <v>0</v>
      </c>
      <c r="AH58" s="104">
        <f t="shared" si="24"/>
        <v>0</v>
      </c>
      <c r="AI58" s="104">
        <f t="shared" si="24"/>
        <v>0</v>
      </c>
    </row>
    <row r="59" spans="1:35">
      <c r="B59" s="96" t="s">
        <v>49</v>
      </c>
      <c r="C59" s="111">
        <v>28.98</v>
      </c>
      <c r="D59" s="97">
        <f t="shared" ref="D59:AI59" si="25">D27*$C59</f>
        <v>8365975.3799999999</v>
      </c>
      <c r="E59" s="104">
        <f t="shared" si="25"/>
        <v>0</v>
      </c>
      <c r="F59" s="104">
        <f t="shared" si="25"/>
        <v>1362.06</v>
      </c>
      <c r="G59" s="104">
        <f t="shared" si="25"/>
        <v>0</v>
      </c>
      <c r="H59" s="104">
        <f t="shared" si="25"/>
        <v>0</v>
      </c>
      <c r="I59" s="104">
        <f t="shared" si="25"/>
        <v>6694.38</v>
      </c>
      <c r="J59" s="104">
        <f t="shared" si="25"/>
        <v>9389.52</v>
      </c>
      <c r="K59" s="104">
        <f t="shared" si="25"/>
        <v>0</v>
      </c>
      <c r="L59" s="104">
        <f t="shared" si="25"/>
        <v>10664.64</v>
      </c>
      <c r="M59" s="104">
        <f t="shared" si="25"/>
        <v>33384.959999999999</v>
      </c>
      <c r="N59" s="104">
        <f t="shared" si="25"/>
        <v>0</v>
      </c>
      <c r="O59" s="104">
        <f t="shared" si="25"/>
        <v>29327.760000000002</v>
      </c>
      <c r="P59" s="104">
        <f t="shared" si="25"/>
        <v>123976.44</v>
      </c>
      <c r="Q59" s="104">
        <f t="shared" si="25"/>
        <v>609217.56000000006</v>
      </c>
      <c r="R59" s="105">
        <f t="shared" si="25"/>
        <v>811874.70000000007</v>
      </c>
      <c r="S59" s="104">
        <f t="shared" si="25"/>
        <v>525233.52</v>
      </c>
      <c r="T59" s="106">
        <f t="shared" si="25"/>
        <v>698533.92</v>
      </c>
      <c r="U59" s="104">
        <f t="shared" si="25"/>
        <v>624026.34</v>
      </c>
      <c r="V59" s="104">
        <f t="shared" si="25"/>
        <v>795935.70000000007</v>
      </c>
      <c r="W59" s="104">
        <f t="shared" si="25"/>
        <v>1185832.6200000001</v>
      </c>
      <c r="X59" s="105">
        <f t="shared" si="25"/>
        <v>710734.5</v>
      </c>
      <c r="Y59" s="104">
        <f t="shared" si="25"/>
        <v>737454.06</v>
      </c>
      <c r="Z59" s="104">
        <f t="shared" si="25"/>
        <v>489443.22000000003</v>
      </c>
      <c r="AA59" s="104">
        <f t="shared" si="25"/>
        <v>169330.14</v>
      </c>
      <c r="AB59" s="104">
        <f t="shared" si="25"/>
        <v>191992.5</v>
      </c>
      <c r="AC59" s="104">
        <f t="shared" si="25"/>
        <v>218712.06</v>
      </c>
      <c r="AD59" s="104">
        <f t="shared" si="25"/>
        <v>382854.78</v>
      </c>
      <c r="AE59" s="104">
        <f t="shared" si="25"/>
        <v>0</v>
      </c>
      <c r="AF59" s="104">
        <f t="shared" si="25"/>
        <v>0</v>
      </c>
      <c r="AG59" s="104">
        <f t="shared" si="25"/>
        <v>0</v>
      </c>
      <c r="AH59" s="104">
        <f t="shared" si="25"/>
        <v>0</v>
      </c>
      <c r="AI59" s="104">
        <f t="shared" si="25"/>
        <v>0</v>
      </c>
    </row>
    <row r="60" spans="1:35">
      <c r="B60" s="96" t="s">
        <v>50</v>
      </c>
      <c r="C60" s="111">
        <v>20.88</v>
      </c>
      <c r="D60" s="97">
        <f t="shared" ref="D60:AI60" si="26">D28*$C60</f>
        <v>5491648.7999999998</v>
      </c>
      <c r="E60" s="104">
        <f t="shared" si="26"/>
        <v>91203.839999999997</v>
      </c>
      <c r="F60" s="104">
        <f t="shared" si="26"/>
        <v>359595.36</v>
      </c>
      <c r="G60" s="104">
        <f t="shared" si="26"/>
        <v>0</v>
      </c>
      <c r="H60" s="104">
        <f t="shared" si="26"/>
        <v>0</v>
      </c>
      <c r="I60" s="104">
        <f t="shared" si="26"/>
        <v>914376.96</v>
      </c>
      <c r="J60" s="104">
        <f t="shared" si="26"/>
        <v>1338825.5999999999</v>
      </c>
      <c r="K60" s="104">
        <f t="shared" si="26"/>
        <v>0</v>
      </c>
      <c r="L60" s="104">
        <f t="shared" si="26"/>
        <v>1285205.76</v>
      </c>
      <c r="M60" s="104">
        <f t="shared" si="26"/>
        <v>565722.72</v>
      </c>
      <c r="N60" s="104">
        <f t="shared" si="26"/>
        <v>0</v>
      </c>
      <c r="O60" s="104">
        <f t="shared" si="26"/>
        <v>51865.919999999998</v>
      </c>
      <c r="P60" s="104">
        <f t="shared" si="26"/>
        <v>206837.28</v>
      </c>
      <c r="Q60" s="104">
        <f t="shared" si="26"/>
        <v>168084</v>
      </c>
      <c r="R60" s="105">
        <f t="shared" si="26"/>
        <v>53891.28</v>
      </c>
      <c r="S60" s="104">
        <f t="shared" si="26"/>
        <v>87863.039999999994</v>
      </c>
      <c r="T60" s="106">
        <f t="shared" si="26"/>
        <v>11525.76</v>
      </c>
      <c r="U60" s="104">
        <f t="shared" si="26"/>
        <v>11567.519999999999</v>
      </c>
      <c r="V60" s="104">
        <f t="shared" si="26"/>
        <v>13488.48</v>
      </c>
      <c r="W60" s="104">
        <f t="shared" si="26"/>
        <v>2902.3199999999997</v>
      </c>
      <c r="X60" s="105">
        <f t="shared" si="26"/>
        <v>5804.6399999999994</v>
      </c>
      <c r="Y60" s="104">
        <f t="shared" si="26"/>
        <v>7809.12</v>
      </c>
      <c r="Z60" s="104">
        <f t="shared" si="26"/>
        <v>24095.52</v>
      </c>
      <c r="AA60" s="104">
        <f t="shared" si="26"/>
        <v>50049.36</v>
      </c>
      <c r="AB60" s="104">
        <f t="shared" si="26"/>
        <v>93584.159999999989</v>
      </c>
      <c r="AC60" s="104">
        <f t="shared" si="26"/>
        <v>116343.36</v>
      </c>
      <c r="AD60" s="104">
        <f t="shared" si="26"/>
        <v>31006.799999999999</v>
      </c>
      <c r="AE60" s="104">
        <f t="shared" si="26"/>
        <v>0</v>
      </c>
      <c r="AF60" s="104">
        <f t="shared" si="26"/>
        <v>0</v>
      </c>
      <c r="AG60" s="104">
        <f t="shared" si="26"/>
        <v>0</v>
      </c>
      <c r="AH60" s="104">
        <f t="shared" si="26"/>
        <v>0</v>
      </c>
      <c r="AI60" s="104">
        <f t="shared" si="26"/>
        <v>0</v>
      </c>
    </row>
    <row r="61" spans="1:35">
      <c r="B61" s="96" t="s">
        <v>51</v>
      </c>
      <c r="C61" s="111">
        <v>15</v>
      </c>
      <c r="D61" s="97">
        <f t="shared" ref="D61:AI61" si="27">D29*$C61</f>
        <v>0</v>
      </c>
      <c r="E61" s="104">
        <f t="shared" si="27"/>
        <v>0</v>
      </c>
      <c r="F61" s="104">
        <f t="shared" si="27"/>
        <v>0</v>
      </c>
      <c r="G61" s="104">
        <f t="shared" si="27"/>
        <v>0</v>
      </c>
      <c r="H61" s="104">
        <f t="shared" si="27"/>
        <v>0</v>
      </c>
      <c r="I61" s="104">
        <f t="shared" si="27"/>
        <v>0</v>
      </c>
      <c r="J61" s="104">
        <f t="shared" si="27"/>
        <v>0</v>
      </c>
      <c r="K61" s="104">
        <f t="shared" si="27"/>
        <v>0</v>
      </c>
      <c r="L61" s="104">
        <f t="shared" si="27"/>
        <v>0</v>
      </c>
      <c r="M61" s="104">
        <f t="shared" si="27"/>
        <v>0</v>
      </c>
      <c r="N61" s="104">
        <f t="shared" si="27"/>
        <v>0</v>
      </c>
      <c r="O61" s="104">
        <f t="shared" si="27"/>
        <v>0</v>
      </c>
      <c r="P61" s="104">
        <f t="shared" si="27"/>
        <v>0</v>
      </c>
      <c r="Q61" s="104">
        <f t="shared" si="27"/>
        <v>0</v>
      </c>
      <c r="R61" s="105">
        <f t="shared" si="27"/>
        <v>0</v>
      </c>
      <c r="S61" s="104">
        <f t="shared" si="27"/>
        <v>0</v>
      </c>
      <c r="T61" s="106">
        <f t="shared" si="27"/>
        <v>0</v>
      </c>
      <c r="U61" s="104">
        <f t="shared" si="27"/>
        <v>0</v>
      </c>
      <c r="V61" s="104">
        <f t="shared" si="27"/>
        <v>0</v>
      </c>
      <c r="W61" s="104">
        <f t="shared" si="27"/>
        <v>0</v>
      </c>
      <c r="X61" s="105">
        <f t="shared" si="27"/>
        <v>0</v>
      </c>
      <c r="Y61" s="104">
        <f t="shared" si="27"/>
        <v>0</v>
      </c>
      <c r="Z61" s="104">
        <f t="shared" si="27"/>
        <v>0</v>
      </c>
      <c r="AA61" s="104">
        <f t="shared" si="27"/>
        <v>0</v>
      </c>
      <c r="AB61" s="104">
        <f t="shared" si="27"/>
        <v>0</v>
      </c>
      <c r="AC61" s="104">
        <f t="shared" si="27"/>
        <v>0</v>
      </c>
      <c r="AD61" s="104">
        <f t="shared" si="27"/>
        <v>0</v>
      </c>
      <c r="AE61" s="104">
        <f t="shared" si="27"/>
        <v>0</v>
      </c>
      <c r="AF61" s="104">
        <f t="shared" si="27"/>
        <v>0</v>
      </c>
      <c r="AG61" s="104">
        <f t="shared" si="27"/>
        <v>0</v>
      </c>
      <c r="AH61" s="104">
        <f t="shared" si="27"/>
        <v>0</v>
      </c>
      <c r="AI61" s="104">
        <f t="shared" si="27"/>
        <v>0</v>
      </c>
    </row>
    <row r="62" spans="1:35">
      <c r="B62" s="96" t="s">
        <v>52</v>
      </c>
      <c r="C62" s="111">
        <v>6</v>
      </c>
      <c r="D62" s="97">
        <f t="shared" ref="D62:AI62" si="28">D30*$C62</f>
        <v>100788</v>
      </c>
      <c r="E62" s="104">
        <f t="shared" si="28"/>
        <v>0</v>
      </c>
      <c r="F62" s="104">
        <f t="shared" si="28"/>
        <v>0</v>
      </c>
      <c r="G62" s="104">
        <f t="shared" si="28"/>
        <v>0</v>
      </c>
      <c r="H62" s="104">
        <f t="shared" si="28"/>
        <v>0</v>
      </c>
      <c r="I62" s="104">
        <f t="shared" si="28"/>
        <v>0</v>
      </c>
      <c r="J62" s="104">
        <f t="shared" si="28"/>
        <v>0</v>
      </c>
      <c r="K62" s="104">
        <f t="shared" si="28"/>
        <v>0</v>
      </c>
      <c r="L62" s="104">
        <f t="shared" si="28"/>
        <v>0</v>
      </c>
      <c r="M62" s="104">
        <f t="shared" si="28"/>
        <v>0</v>
      </c>
      <c r="N62" s="104">
        <f t="shared" si="28"/>
        <v>0</v>
      </c>
      <c r="O62" s="104">
        <f t="shared" si="28"/>
        <v>2448</v>
      </c>
      <c r="P62" s="104">
        <f t="shared" si="28"/>
        <v>3468</v>
      </c>
      <c r="Q62" s="104">
        <f t="shared" si="28"/>
        <v>7242</v>
      </c>
      <c r="R62" s="105">
        <f t="shared" si="28"/>
        <v>8262</v>
      </c>
      <c r="S62" s="104">
        <f t="shared" si="28"/>
        <v>18054</v>
      </c>
      <c r="T62" s="106">
        <f t="shared" si="28"/>
        <v>8568</v>
      </c>
      <c r="U62" s="104">
        <f t="shared" si="28"/>
        <v>6528</v>
      </c>
      <c r="V62" s="104">
        <f t="shared" si="28"/>
        <v>10200</v>
      </c>
      <c r="W62" s="104">
        <f t="shared" si="28"/>
        <v>6630</v>
      </c>
      <c r="X62" s="105">
        <f t="shared" si="28"/>
        <v>7548</v>
      </c>
      <c r="Y62" s="104">
        <f t="shared" si="28"/>
        <v>2448</v>
      </c>
      <c r="Z62" s="104">
        <f t="shared" si="28"/>
        <v>4794</v>
      </c>
      <c r="AA62" s="104">
        <f t="shared" si="28"/>
        <v>6108</v>
      </c>
      <c r="AB62" s="104">
        <f t="shared" si="28"/>
        <v>2268</v>
      </c>
      <c r="AC62" s="104">
        <f t="shared" si="28"/>
        <v>3468</v>
      </c>
      <c r="AD62" s="104">
        <f t="shared" si="28"/>
        <v>2754</v>
      </c>
      <c r="AE62" s="104">
        <f t="shared" si="28"/>
        <v>0</v>
      </c>
      <c r="AF62" s="104">
        <f t="shared" si="28"/>
        <v>0</v>
      </c>
      <c r="AG62" s="104">
        <f t="shared" si="28"/>
        <v>0</v>
      </c>
      <c r="AH62" s="104">
        <f t="shared" si="28"/>
        <v>0</v>
      </c>
      <c r="AI62" s="104">
        <f t="shared" si="28"/>
        <v>0</v>
      </c>
    </row>
    <row r="63" spans="1:35">
      <c r="B63" s="96" t="s">
        <v>53</v>
      </c>
      <c r="C63" s="111">
        <v>12</v>
      </c>
      <c r="D63" s="97"/>
      <c r="E63" s="104">
        <f t="shared" ref="E63:AI63" si="29">E31*$C63</f>
        <v>0</v>
      </c>
      <c r="F63" s="104">
        <f t="shared" si="29"/>
        <v>0</v>
      </c>
      <c r="G63" s="104">
        <f t="shared" si="29"/>
        <v>0</v>
      </c>
      <c r="H63" s="104">
        <f t="shared" si="29"/>
        <v>0</v>
      </c>
      <c r="I63" s="104">
        <f t="shared" si="29"/>
        <v>0</v>
      </c>
      <c r="J63" s="104">
        <f t="shared" si="29"/>
        <v>0</v>
      </c>
      <c r="K63" s="104">
        <f t="shared" si="29"/>
        <v>0</v>
      </c>
      <c r="L63" s="104">
        <f t="shared" si="29"/>
        <v>0</v>
      </c>
      <c r="M63" s="104">
        <f t="shared" si="29"/>
        <v>0</v>
      </c>
      <c r="N63" s="104">
        <f t="shared" si="29"/>
        <v>0</v>
      </c>
      <c r="O63" s="104">
        <f t="shared" si="29"/>
        <v>0</v>
      </c>
      <c r="P63" s="104">
        <f t="shared" si="29"/>
        <v>0</v>
      </c>
      <c r="Q63" s="104">
        <f t="shared" si="29"/>
        <v>0</v>
      </c>
      <c r="R63" s="105">
        <f t="shared" si="29"/>
        <v>0</v>
      </c>
      <c r="S63" s="104">
        <f t="shared" si="29"/>
        <v>0</v>
      </c>
      <c r="T63" s="106">
        <f t="shared" si="29"/>
        <v>0</v>
      </c>
      <c r="U63" s="104">
        <f t="shared" si="29"/>
        <v>0</v>
      </c>
      <c r="V63" s="104">
        <f t="shared" si="29"/>
        <v>0</v>
      </c>
      <c r="W63" s="104">
        <f t="shared" si="29"/>
        <v>0</v>
      </c>
      <c r="X63" s="105">
        <f t="shared" si="29"/>
        <v>45120</v>
      </c>
      <c r="Y63" s="104">
        <f t="shared" si="29"/>
        <v>15360</v>
      </c>
      <c r="Z63" s="104">
        <f t="shared" si="29"/>
        <v>0</v>
      </c>
      <c r="AA63" s="104">
        <f t="shared" si="29"/>
        <v>0</v>
      </c>
      <c r="AB63" s="104">
        <f t="shared" si="29"/>
        <v>4488</v>
      </c>
      <c r="AC63" s="104">
        <f t="shared" si="29"/>
        <v>0</v>
      </c>
      <c r="AD63" s="104">
        <f t="shared" si="29"/>
        <v>0</v>
      </c>
      <c r="AE63" s="104">
        <f t="shared" si="29"/>
        <v>0</v>
      </c>
      <c r="AF63" s="104">
        <f t="shared" si="29"/>
        <v>0</v>
      </c>
      <c r="AG63" s="104">
        <f t="shared" si="29"/>
        <v>0</v>
      </c>
      <c r="AH63" s="104">
        <f t="shared" si="29"/>
        <v>0</v>
      </c>
      <c r="AI63" s="104">
        <f t="shared" si="29"/>
        <v>0</v>
      </c>
    </row>
    <row r="64" spans="1:35">
      <c r="B64" s="96" t="s">
        <v>54</v>
      </c>
      <c r="C64" s="111">
        <v>4</v>
      </c>
      <c r="D64" s="97">
        <f t="shared" ref="D64:D69" si="30">D32*$C64</f>
        <v>0</v>
      </c>
      <c r="E64" s="104">
        <f t="shared" ref="E64:AI64" si="31">E32*$C64</f>
        <v>0</v>
      </c>
      <c r="F64" s="104">
        <f t="shared" si="31"/>
        <v>0</v>
      </c>
      <c r="G64" s="104">
        <f t="shared" si="31"/>
        <v>0</v>
      </c>
      <c r="H64" s="104">
        <f t="shared" si="31"/>
        <v>0</v>
      </c>
      <c r="I64" s="104">
        <f t="shared" si="31"/>
        <v>0</v>
      </c>
      <c r="J64" s="104">
        <f t="shared" si="31"/>
        <v>0</v>
      </c>
      <c r="K64" s="104">
        <f t="shared" si="31"/>
        <v>0</v>
      </c>
      <c r="L64" s="104">
        <f t="shared" si="31"/>
        <v>0</v>
      </c>
      <c r="M64" s="104">
        <f t="shared" si="31"/>
        <v>0</v>
      </c>
      <c r="N64" s="104">
        <f t="shared" si="31"/>
        <v>0</v>
      </c>
      <c r="O64" s="104">
        <f t="shared" si="31"/>
        <v>0</v>
      </c>
      <c r="P64" s="104">
        <f t="shared" si="31"/>
        <v>0</v>
      </c>
      <c r="Q64" s="104">
        <f t="shared" si="31"/>
        <v>0</v>
      </c>
      <c r="R64" s="105">
        <f t="shared" si="31"/>
        <v>0</v>
      </c>
      <c r="S64" s="104">
        <f t="shared" si="31"/>
        <v>0</v>
      </c>
      <c r="T64" s="106">
        <f t="shared" si="31"/>
        <v>0</v>
      </c>
      <c r="U64" s="104">
        <f t="shared" si="31"/>
        <v>0</v>
      </c>
      <c r="V64" s="104">
        <f t="shared" si="31"/>
        <v>0</v>
      </c>
      <c r="W64" s="104">
        <f t="shared" si="31"/>
        <v>0</v>
      </c>
      <c r="X64" s="105">
        <f t="shared" si="31"/>
        <v>0</v>
      </c>
      <c r="Y64" s="104">
        <f t="shared" si="31"/>
        <v>0</v>
      </c>
      <c r="Z64" s="104">
        <f t="shared" si="31"/>
        <v>0</v>
      </c>
      <c r="AA64" s="104">
        <f t="shared" si="31"/>
        <v>0</v>
      </c>
      <c r="AB64" s="104">
        <f t="shared" si="31"/>
        <v>0</v>
      </c>
      <c r="AC64" s="104">
        <f t="shared" si="31"/>
        <v>0</v>
      </c>
      <c r="AD64" s="104">
        <f t="shared" si="31"/>
        <v>0</v>
      </c>
      <c r="AE64" s="104">
        <f t="shared" si="31"/>
        <v>0</v>
      </c>
      <c r="AF64" s="104">
        <f t="shared" si="31"/>
        <v>0</v>
      </c>
      <c r="AG64" s="104">
        <f t="shared" si="31"/>
        <v>0</v>
      </c>
      <c r="AH64" s="104">
        <f t="shared" si="31"/>
        <v>0</v>
      </c>
      <c r="AI64" s="104">
        <f t="shared" si="31"/>
        <v>0</v>
      </c>
    </row>
    <row r="65" spans="2:35">
      <c r="B65" s="96" t="s">
        <v>55</v>
      </c>
      <c r="C65" s="111">
        <v>47.6</v>
      </c>
      <c r="D65" s="97">
        <f t="shared" si="30"/>
        <v>271224.8</v>
      </c>
      <c r="E65" s="104">
        <f t="shared" ref="E65:AI65" si="32">E33*$C65</f>
        <v>0</v>
      </c>
      <c r="F65" s="104">
        <f t="shared" si="32"/>
        <v>0</v>
      </c>
      <c r="G65" s="104">
        <f t="shared" si="32"/>
        <v>0</v>
      </c>
      <c r="H65" s="104">
        <f t="shared" si="32"/>
        <v>0</v>
      </c>
      <c r="I65" s="104">
        <f t="shared" si="32"/>
        <v>0</v>
      </c>
      <c r="J65" s="104">
        <f t="shared" si="32"/>
        <v>0</v>
      </c>
      <c r="K65" s="104">
        <f t="shared" si="32"/>
        <v>0</v>
      </c>
      <c r="L65" s="104">
        <f t="shared" si="32"/>
        <v>0</v>
      </c>
      <c r="M65" s="104">
        <f t="shared" si="32"/>
        <v>0</v>
      </c>
      <c r="N65" s="104">
        <f t="shared" si="32"/>
        <v>0</v>
      </c>
      <c r="O65" s="104">
        <f t="shared" si="32"/>
        <v>0</v>
      </c>
      <c r="P65" s="104">
        <f t="shared" si="32"/>
        <v>0</v>
      </c>
      <c r="Q65" s="104">
        <f t="shared" si="32"/>
        <v>0</v>
      </c>
      <c r="R65" s="105">
        <f t="shared" si="32"/>
        <v>0</v>
      </c>
      <c r="S65" s="104">
        <f t="shared" si="32"/>
        <v>18849.600000000002</v>
      </c>
      <c r="T65" s="106">
        <f t="shared" si="32"/>
        <v>0</v>
      </c>
      <c r="U65" s="104">
        <f t="shared" si="32"/>
        <v>24085.600000000002</v>
      </c>
      <c r="V65" s="104">
        <f t="shared" si="32"/>
        <v>19896.8</v>
      </c>
      <c r="W65" s="104">
        <f t="shared" si="32"/>
        <v>43982.400000000001</v>
      </c>
      <c r="X65" s="105">
        <f t="shared" si="32"/>
        <v>42935.200000000004</v>
      </c>
      <c r="Y65" s="104">
        <f t="shared" si="32"/>
        <v>116239.2</v>
      </c>
      <c r="Z65" s="104">
        <f t="shared" si="32"/>
        <v>0</v>
      </c>
      <c r="AA65" s="104">
        <f t="shared" si="32"/>
        <v>5236</v>
      </c>
      <c r="AB65" s="104">
        <f t="shared" si="32"/>
        <v>0</v>
      </c>
      <c r="AC65" s="104">
        <f t="shared" si="32"/>
        <v>0</v>
      </c>
      <c r="AD65" s="104">
        <f t="shared" si="32"/>
        <v>0</v>
      </c>
      <c r="AE65" s="104">
        <f t="shared" si="32"/>
        <v>0</v>
      </c>
      <c r="AF65" s="104">
        <f t="shared" si="32"/>
        <v>0</v>
      </c>
      <c r="AG65" s="104">
        <f t="shared" si="32"/>
        <v>0</v>
      </c>
      <c r="AH65" s="104">
        <f t="shared" si="32"/>
        <v>0</v>
      </c>
      <c r="AI65" s="104">
        <f t="shared" si="32"/>
        <v>0</v>
      </c>
    </row>
    <row r="66" spans="2:35">
      <c r="B66" s="96" t="s">
        <v>56</v>
      </c>
      <c r="C66" s="111">
        <v>27.39</v>
      </c>
      <c r="D66" s="97">
        <f t="shared" si="30"/>
        <v>0</v>
      </c>
      <c r="E66" s="104">
        <f t="shared" ref="E66:AI66" si="33">E34*$C66</f>
        <v>0</v>
      </c>
      <c r="F66" s="104">
        <f t="shared" si="33"/>
        <v>0</v>
      </c>
      <c r="G66" s="104">
        <f t="shared" si="33"/>
        <v>0</v>
      </c>
      <c r="H66" s="104">
        <f t="shared" si="33"/>
        <v>0</v>
      </c>
      <c r="I66" s="104">
        <f t="shared" si="33"/>
        <v>0</v>
      </c>
      <c r="J66" s="104">
        <f t="shared" si="33"/>
        <v>0</v>
      </c>
      <c r="K66" s="104">
        <f t="shared" si="33"/>
        <v>0</v>
      </c>
      <c r="L66" s="104">
        <f t="shared" si="33"/>
        <v>0</v>
      </c>
      <c r="M66" s="104">
        <f t="shared" si="33"/>
        <v>0</v>
      </c>
      <c r="N66" s="104">
        <f t="shared" si="33"/>
        <v>0</v>
      </c>
      <c r="O66" s="104">
        <f t="shared" si="33"/>
        <v>0</v>
      </c>
      <c r="P66" s="104">
        <f t="shared" si="33"/>
        <v>0</v>
      </c>
      <c r="Q66" s="104">
        <f t="shared" si="33"/>
        <v>0</v>
      </c>
      <c r="R66" s="105">
        <f t="shared" si="33"/>
        <v>0</v>
      </c>
      <c r="S66" s="104">
        <f t="shared" si="33"/>
        <v>0</v>
      </c>
      <c r="T66" s="106">
        <f t="shared" si="33"/>
        <v>0</v>
      </c>
      <c r="U66" s="104">
        <f t="shared" si="33"/>
        <v>0</v>
      </c>
      <c r="V66" s="104">
        <f t="shared" si="33"/>
        <v>0</v>
      </c>
      <c r="W66" s="104">
        <f t="shared" si="33"/>
        <v>0</v>
      </c>
      <c r="X66" s="105">
        <f t="shared" si="33"/>
        <v>0</v>
      </c>
      <c r="Y66" s="104">
        <f t="shared" si="33"/>
        <v>0</v>
      </c>
      <c r="Z66" s="104">
        <f t="shared" si="33"/>
        <v>0</v>
      </c>
      <c r="AA66" s="104">
        <f t="shared" si="33"/>
        <v>0</v>
      </c>
      <c r="AB66" s="104">
        <f t="shared" si="33"/>
        <v>0</v>
      </c>
      <c r="AC66" s="104">
        <f t="shared" si="33"/>
        <v>0</v>
      </c>
      <c r="AD66" s="104">
        <f t="shared" si="33"/>
        <v>0</v>
      </c>
      <c r="AE66" s="104">
        <f t="shared" si="33"/>
        <v>0</v>
      </c>
      <c r="AF66" s="104">
        <f t="shared" si="33"/>
        <v>0</v>
      </c>
      <c r="AG66" s="104">
        <f t="shared" si="33"/>
        <v>0</v>
      </c>
      <c r="AH66" s="104">
        <f t="shared" si="33"/>
        <v>0</v>
      </c>
      <c r="AI66" s="104">
        <f t="shared" si="33"/>
        <v>0</v>
      </c>
    </row>
    <row r="67" spans="2:35">
      <c r="B67" s="96" t="s">
        <v>57</v>
      </c>
      <c r="C67" s="111">
        <v>24</v>
      </c>
      <c r="D67" s="97">
        <f t="shared" si="30"/>
        <v>0</v>
      </c>
      <c r="E67" s="104">
        <f t="shared" ref="E67:AI67" si="34">E35*$C67</f>
        <v>0</v>
      </c>
      <c r="F67" s="104">
        <f t="shared" si="34"/>
        <v>0</v>
      </c>
      <c r="G67" s="104">
        <f t="shared" si="34"/>
        <v>0</v>
      </c>
      <c r="H67" s="104">
        <f t="shared" si="34"/>
        <v>0</v>
      </c>
      <c r="I67" s="104">
        <f t="shared" si="34"/>
        <v>0</v>
      </c>
      <c r="J67" s="104">
        <f t="shared" si="34"/>
        <v>0</v>
      </c>
      <c r="K67" s="104">
        <f t="shared" si="34"/>
        <v>0</v>
      </c>
      <c r="L67" s="104">
        <f t="shared" si="34"/>
        <v>0</v>
      </c>
      <c r="M67" s="104">
        <f t="shared" si="34"/>
        <v>0</v>
      </c>
      <c r="N67" s="104">
        <f t="shared" si="34"/>
        <v>0</v>
      </c>
      <c r="O67" s="104">
        <f t="shared" si="34"/>
        <v>0</v>
      </c>
      <c r="P67" s="104">
        <f t="shared" si="34"/>
        <v>0</v>
      </c>
      <c r="Q67" s="104">
        <f t="shared" si="34"/>
        <v>0</v>
      </c>
      <c r="R67" s="105">
        <f t="shared" si="34"/>
        <v>0</v>
      </c>
      <c r="S67" s="104">
        <f t="shared" si="34"/>
        <v>0</v>
      </c>
      <c r="T67" s="106">
        <f t="shared" si="34"/>
        <v>0</v>
      </c>
      <c r="U67" s="104">
        <f t="shared" si="34"/>
        <v>0</v>
      </c>
      <c r="V67" s="104">
        <f t="shared" si="34"/>
        <v>0</v>
      </c>
      <c r="W67" s="104">
        <f t="shared" si="34"/>
        <v>0</v>
      </c>
      <c r="X67" s="105">
        <f t="shared" si="34"/>
        <v>0</v>
      </c>
      <c r="Y67" s="104">
        <f t="shared" si="34"/>
        <v>0</v>
      </c>
      <c r="Z67" s="104">
        <f t="shared" si="34"/>
        <v>0</v>
      </c>
      <c r="AA67" s="104">
        <f t="shared" si="34"/>
        <v>0</v>
      </c>
      <c r="AB67" s="104">
        <f t="shared" si="34"/>
        <v>0</v>
      </c>
      <c r="AC67" s="104">
        <f t="shared" si="34"/>
        <v>0</v>
      </c>
      <c r="AD67" s="104">
        <f t="shared" si="34"/>
        <v>0</v>
      </c>
      <c r="AE67" s="104">
        <f t="shared" si="34"/>
        <v>0</v>
      </c>
      <c r="AF67" s="104">
        <f t="shared" si="34"/>
        <v>0</v>
      </c>
      <c r="AG67" s="104">
        <f t="shared" si="34"/>
        <v>0</v>
      </c>
      <c r="AH67" s="104">
        <f t="shared" si="34"/>
        <v>0</v>
      </c>
      <c r="AI67" s="104">
        <f t="shared" si="34"/>
        <v>0</v>
      </c>
    </row>
    <row r="68" spans="2:35">
      <c r="B68" s="96" t="s">
        <v>58</v>
      </c>
      <c r="C68" s="111">
        <v>35</v>
      </c>
      <c r="D68" s="97">
        <f t="shared" si="30"/>
        <v>0</v>
      </c>
      <c r="E68" s="104">
        <f t="shared" ref="E68:AI68" si="35">E36*$C68</f>
        <v>0</v>
      </c>
      <c r="F68" s="104">
        <f t="shared" si="35"/>
        <v>0</v>
      </c>
      <c r="G68" s="104">
        <f t="shared" si="35"/>
        <v>0</v>
      </c>
      <c r="H68" s="104">
        <f t="shared" si="35"/>
        <v>0</v>
      </c>
      <c r="I68" s="104">
        <f t="shared" si="35"/>
        <v>0</v>
      </c>
      <c r="J68" s="104">
        <f t="shared" si="35"/>
        <v>0</v>
      </c>
      <c r="K68" s="104">
        <f t="shared" si="35"/>
        <v>0</v>
      </c>
      <c r="L68" s="104">
        <f t="shared" si="35"/>
        <v>0</v>
      </c>
      <c r="M68" s="104">
        <f t="shared" si="35"/>
        <v>0</v>
      </c>
      <c r="N68" s="104">
        <f t="shared" si="35"/>
        <v>0</v>
      </c>
      <c r="O68" s="104">
        <f t="shared" si="35"/>
        <v>0</v>
      </c>
      <c r="P68" s="104">
        <f t="shared" si="35"/>
        <v>0</v>
      </c>
      <c r="Q68" s="104">
        <f t="shared" si="35"/>
        <v>0</v>
      </c>
      <c r="R68" s="105">
        <f t="shared" si="35"/>
        <v>0</v>
      </c>
      <c r="S68" s="104">
        <f t="shared" si="35"/>
        <v>0</v>
      </c>
      <c r="T68" s="106">
        <f t="shared" si="35"/>
        <v>0</v>
      </c>
      <c r="U68" s="104">
        <f t="shared" si="35"/>
        <v>0</v>
      </c>
      <c r="V68" s="104">
        <f t="shared" si="35"/>
        <v>0</v>
      </c>
      <c r="W68" s="104">
        <f t="shared" si="35"/>
        <v>0</v>
      </c>
      <c r="X68" s="105">
        <f t="shared" si="35"/>
        <v>0</v>
      </c>
      <c r="Y68" s="104">
        <f t="shared" si="35"/>
        <v>0</v>
      </c>
      <c r="Z68" s="104">
        <f t="shared" si="35"/>
        <v>0</v>
      </c>
      <c r="AA68" s="104">
        <f t="shared" si="35"/>
        <v>0</v>
      </c>
      <c r="AB68" s="104">
        <f t="shared" si="35"/>
        <v>0</v>
      </c>
      <c r="AC68" s="104">
        <f t="shared" si="35"/>
        <v>0</v>
      </c>
      <c r="AD68" s="104">
        <f t="shared" si="35"/>
        <v>0</v>
      </c>
      <c r="AE68" s="104">
        <f t="shared" si="35"/>
        <v>0</v>
      </c>
      <c r="AF68" s="104">
        <f t="shared" si="35"/>
        <v>0</v>
      </c>
      <c r="AG68" s="104">
        <f t="shared" si="35"/>
        <v>0</v>
      </c>
      <c r="AH68" s="104">
        <f t="shared" si="35"/>
        <v>0</v>
      </c>
      <c r="AI68" s="104">
        <f t="shared" si="35"/>
        <v>0</v>
      </c>
    </row>
    <row r="69" spans="2:35">
      <c r="B69" s="96" t="s">
        <v>59</v>
      </c>
      <c r="C69" s="112">
        <v>10</v>
      </c>
      <c r="D69" s="97">
        <f t="shared" si="30"/>
        <v>58620</v>
      </c>
      <c r="E69" s="104">
        <f t="shared" ref="E69:AI69" si="36">E37*$C69</f>
        <v>960</v>
      </c>
      <c r="F69" s="104">
        <f t="shared" si="36"/>
        <v>11310</v>
      </c>
      <c r="G69" s="104">
        <f t="shared" si="36"/>
        <v>0</v>
      </c>
      <c r="H69" s="104">
        <f t="shared" si="36"/>
        <v>0</v>
      </c>
      <c r="I69" s="104">
        <f t="shared" si="36"/>
        <v>3720</v>
      </c>
      <c r="J69" s="104">
        <f t="shared" si="36"/>
        <v>4640</v>
      </c>
      <c r="K69" s="104">
        <f t="shared" si="36"/>
        <v>0</v>
      </c>
      <c r="L69" s="104">
        <f t="shared" si="36"/>
        <v>13760</v>
      </c>
      <c r="M69" s="104">
        <f t="shared" si="36"/>
        <v>8710</v>
      </c>
      <c r="N69" s="104">
        <f t="shared" si="36"/>
        <v>0</v>
      </c>
      <c r="O69" s="104">
        <f t="shared" si="36"/>
        <v>0</v>
      </c>
      <c r="P69" s="104">
        <f t="shared" si="36"/>
        <v>2020</v>
      </c>
      <c r="Q69" s="104">
        <f t="shared" si="36"/>
        <v>400</v>
      </c>
      <c r="R69" s="105">
        <f t="shared" si="36"/>
        <v>0</v>
      </c>
      <c r="S69" s="104">
        <f t="shared" si="36"/>
        <v>1700</v>
      </c>
      <c r="T69" s="106">
        <f t="shared" si="36"/>
        <v>650</v>
      </c>
      <c r="U69" s="104">
        <f t="shared" si="36"/>
        <v>0</v>
      </c>
      <c r="V69" s="104">
        <f t="shared" si="36"/>
        <v>0</v>
      </c>
      <c r="W69" s="104">
        <f t="shared" si="36"/>
        <v>450</v>
      </c>
      <c r="X69" s="105">
        <f t="shared" si="36"/>
        <v>0</v>
      </c>
      <c r="Y69" s="104">
        <f t="shared" si="36"/>
        <v>0</v>
      </c>
      <c r="Z69" s="104">
        <f t="shared" si="36"/>
        <v>450</v>
      </c>
      <c r="AA69" s="104">
        <f t="shared" si="36"/>
        <v>1750</v>
      </c>
      <c r="AB69" s="104">
        <f t="shared" si="36"/>
        <v>4550</v>
      </c>
      <c r="AC69" s="104">
        <f t="shared" si="36"/>
        <v>3100</v>
      </c>
      <c r="AD69" s="104">
        <f t="shared" si="36"/>
        <v>450</v>
      </c>
      <c r="AE69" s="104">
        <f t="shared" si="36"/>
        <v>0</v>
      </c>
      <c r="AF69" s="104">
        <f t="shared" si="36"/>
        <v>0</v>
      </c>
      <c r="AG69" s="104">
        <f t="shared" si="36"/>
        <v>0</v>
      </c>
      <c r="AH69" s="104">
        <f t="shared" si="36"/>
        <v>0</v>
      </c>
      <c r="AI69" s="104">
        <f t="shared" si="36"/>
        <v>0</v>
      </c>
    </row>
    <row r="70" spans="2:35">
      <c r="B70" s="35" t="s">
        <v>85</v>
      </c>
      <c r="C70" s="113">
        <v>2.2000000000000002</v>
      </c>
      <c r="D70" s="98">
        <f>D48*C70</f>
        <v>499400.00000000006</v>
      </c>
      <c r="E70" s="107">
        <f t="shared" ref="E70:Y70" si="37">E48*D70</f>
        <v>0</v>
      </c>
      <c r="F70" s="107">
        <f t="shared" si="37"/>
        <v>0</v>
      </c>
      <c r="G70" s="107">
        <f t="shared" si="37"/>
        <v>0</v>
      </c>
      <c r="H70" s="107">
        <f t="shared" si="37"/>
        <v>0</v>
      </c>
      <c r="I70" s="107">
        <f t="shared" si="37"/>
        <v>0</v>
      </c>
      <c r="J70" s="107">
        <f t="shared" si="37"/>
        <v>0</v>
      </c>
      <c r="K70" s="107">
        <f t="shared" si="37"/>
        <v>0</v>
      </c>
      <c r="L70" s="107">
        <f t="shared" si="37"/>
        <v>0</v>
      </c>
      <c r="M70" s="107">
        <f t="shared" si="37"/>
        <v>0</v>
      </c>
      <c r="N70" s="107">
        <f t="shared" si="37"/>
        <v>0</v>
      </c>
      <c r="O70" s="107">
        <f t="shared" si="37"/>
        <v>0</v>
      </c>
      <c r="P70" s="107">
        <f t="shared" si="37"/>
        <v>0</v>
      </c>
      <c r="Q70" s="107">
        <f t="shared" si="37"/>
        <v>0</v>
      </c>
      <c r="R70" s="107">
        <f t="shared" si="37"/>
        <v>0</v>
      </c>
      <c r="S70" s="107">
        <f t="shared" si="37"/>
        <v>0</v>
      </c>
      <c r="T70" s="107">
        <f t="shared" si="37"/>
        <v>0</v>
      </c>
      <c r="U70" s="107">
        <f t="shared" si="37"/>
        <v>0</v>
      </c>
      <c r="V70" s="107">
        <f t="shared" si="37"/>
        <v>0</v>
      </c>
      <c r="W70" s="107">
        <f t="shared" si="37"/>
        <v>0</v>
      </c>
      <c r="X70" s="107">
        <f t="shared" si="37"/>
        <v>0</v>
      </c>
      <c r="Y70" s="107">
        <f t="shared" si="37"/>
        <v>0</v>
      </c>
      <c r="Z70" s="107">
        <f t="shared" ref="Z70:AI70" si="38">Z48*Y70</f>
        <v>0</v>
      </c>
      <c r="AA70" s="107">
        <f t="shared" si="38"/>
        <v>0</v>
      </c>
      <c r="AB70" s="107">
        <f t="shared" si="38"/>
        <v>0</v>
      </c>
      <c r="AC70" s="107">
        <f t="shared" si="38"/>
        <v>0</v>
      </c>
      <c r="AD70" s="107">
        <f t="shared" si="38"/>
        <v>0</v>
      </c>
      <c r="AE70" s="107">
        <f t="shared" si="38"/>
        <v>0</v>
      </c>
      <c r="AF70" s="107">
        <f t="shared" si="38"/>
        <v>0</v>
      </c>
      <c r="AG70" s="107">
        <f t="shared" si="38"/>
        <v>0</v>
      </c>
      <c r="AH70" s="107">
        <f t="shared" si="38"/>
        <v>0</v>
      </c>
      <c r="AI70" s="107">
        <f t="shared" si="38"/>
        <v>0</v>
      </c>
    </row>
    <row r="71" spans="2:35">
      <c r="X71" s="10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2:35">
      <c r="B72" s="318" t="s">
        <v>86</v>
      </c>
      <c r="C72" s="319"/>
      <c r="D72" s="108">
        <f>AVERAGEIF(E57:Y57, "&gt;0")</f>
        <v>996947.9117647059</v>
      </c>
      <c r="E72" s="11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5"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2:35">
      <c r="B74" s="12" t="s">
        <v>87</v>
      </c>
      <c r="C74" s="13">
        <v>0.31</v>
      </c>
      <c r="D74" s="14">
        <f>SUM(E74:AI74)</f>
        <v>6941208.2639999995</v>
      </c>
      <c r="E74" s="163">
        <f t="shared" ref="E74:AI74" si="39">E57*$C$74</f>
        <v>28570.790399999998</v>
      </c>
      <c r="F74" s="14">
        <f t="shared" si="39"/>
        <v>115402.90019999999</v>
      </c>
      <c r="G74" s="15">
        <f t="shared" si="39"/>
        <v>0</v>
      </c>
      <c r="H74" s="14">
        <f t="shared" si="39"/>
        <v>0</v>
      </c>
      <c r="I74" s="15">
        <f t="shared" si="39"/>
        <v>287880.01819999999</v>
      </c>
      <c r="J74" s="14">
        <f t="shared" si="39"/>
        <v>419982.43859999994</v>
      </c>
      <c r="K74" s="15">
        <f t="shared" si="39"/>
        <v>0</v>
      </c>
      <c r="L74" s="14">
        <f t="shared" si="39"/>
        <v>407777.47820000001</v>
      </c>
      <c r="M74" s="15">
        <f t="shared" si="39"/>
        <v>193202.29199999999</v>
      </c>
      <c r="N74" s="14">
        <f t="shared" si="39"/>
        <v>0</v>
      </c>
      <c r="O74" s="15">
        <f t="shared" si="39"/>
        <v>165397.48680000001</v>
      </c>
      <c r="P74" s="14">
        <f t="shared" si="39"/>
        <v>438263.86709999997</v>
      </c>
      <c r="Q74" s="15">
        <f t="shared" si="39"/>
        <v>479351.23610000004</v>
      </c>
      <c r="R74" s="14">
        <f t="shared" si="39"/>
        <v>462646.52960000007</v>
      </c>
      <c r="S74" s="15">
        <f t="shared" si="39"/>
        <v>277293.326</v>
      </c>
      <c r="T74" s="14">
        <f t="shared" si="39"/>
        <v>331421.33170000004</v>
      </c>
      <c r="U74" s="15">
        <f t="shared" si="39"/>
        <v>283296.9534</v>
      </c>
      <c r="V74" s="14">
        <f t="shared" si="39"/>
        <v>318947.77179999999</v>
      </c>
      <c r="W74" s="15">
        <f t="shared" si="39"/>
        <v>442501.02150000003</v>
      </c>
      <c r="X74" s="14">
        <f t="shared" si="39"/>
        <v>293111.23099999997</v>
      </c>
      <c r="Y74" s="171">
        <f t="shared" si="39"/>
        <v>308868.8224</v>
      </c>
      <c r="Z74" s="14">
        <f t="shared" si="39"/>
        <v>266385.03049999999</v>
      </c>
      <c r="AA74" s="14">
        <f t="shared" si="39"/>
        <v>230066.2303</v>
      </c>
      <c r="AB74" s="14">
        <f t="shared" si="39"/>
        <v>486337.49219999998</v>
      </c>
      <c r="AC74" s="14">
        <f t="shared" si="39"/>
        <v>492090.94030000002</v>
      </c>
      <c r="AD74" s="14">
        <f t="shared" si="39"/>
        <v>212413.07570000002</v>
      </c>
      <c r="AE74" s="14">
        <f t="shared" si="39"/>
        <v>0</v>
      </c>
      <c r="AF74" s="14">
        <f t="shared" si="39"/>
        <v>0</v>
      </c>
      <c r="AG74" s="14">
        <f t="shared" si="39"/>
        <v>0</v>
      </c>
      <c r="AH74" s="14">
        <f t="shared" si="39"/>
        <v>0</v>
      </c>
      <c r="AI74" s="14">
        <f t="shared" si="39"/>
        <v>0</v>
      </c>
    </row>
    <row r="75" spans="2:35">
      <c r="B75" s="16" t="s">
        <v>88</v>
      </c>
      <c r="C75" s="17">
        <f>11000000/280</f>
        <v>39285.714285714283</v>
      </c>
      <c r="D75" s="18">
        <f>SUM(E75:AI75)</f>
        <v>1217857.1428571432</v>
      </c>
      <c r="E75" s="19">
        <f t="shared" ref="E75:AI75" si="40">$C$75</f>
        <v>39285.714285714283</v>
      </c>
      <c r="F75" s="18">
        <f t="shared" si="40"/>
        <v>39285.714285714283</v>
      </c>
      <c r="G75" s="19">
        <f t="shared" si="40"/>
        <v>39285.714285714283</v>
      </c>
      <c r="H75" s="18">
        <f t="shared" si="40"/>
        <v>39285.714285714283</v>
      </c>
      <c r="I75" s="19">
        <f t="shared" si="40"/>
        <v>39285.714285714283</v>
      </c>
      <c r="J75" s="18">
        <f t="shared" si="40"/>
        <v>39285.714285714283</v>
      </c>
      <c r="K75" s="19">
        <f t="shared" si="40"/>
        <v>39285.714285714283</v>
      </c>
      <c r="L75" s="18">
        <f t="shared" si="40"/>
        <v>39285.714285714283</v>
      </c>
      <c r="M75" s="19">
        <f t="shared" si="40"/>
        <v>39285.714285714283</v>
      </c>
      <c r="N75" s="18">
        <f t="shared" si="40"/>
        <v>39285.714285714283</v>
      </c>
      <c r="O75" s="19">
        <f t="shared" si="40"/>
        <v>39285.714285714283</v>
      </c>
      <c r="P75" s="18">
        <f t="shared" si="40"/>
        <v>39285.714285714283</v>
      </c>
      <c r="Q75" s="19">
        <f t="shared" si="40"/>
        <v>39285.714285714283</v>
      </c>
      <c r="R75" s="18">
        <f t="shared" si="40"/>
        <v>39285.714285714283</v>
      </c>
      <c r="S75" s="19">
        <f t="shared" si="40"/>
        <v>39285.714285714283</v>
      </c>
      <c r="T75" s="18">
        <f t="shared" si="40"/>
        <v>39285.714285714283</v>
      </c>
      <c r="U75" s="19">
        <f t="shared" si="40"/>
        <v>39285.714285714283</v>
      </c>
      <c r="V75" s="18">
        <f t="shared" si="40"/>
        <v>39285.714285714283</v>
      </c>
      <c r="W75" s="19">
        <f t="shared" si="40"/>
        <v>39285.714285714283</v>
      </c>
      <c r="X75" s="18">
        <f t="shared" si="40"/>
        <v>39285.714285714283</v>
      </c>
      <c r="Y75" s="172">
        <f t="shared" si="40"/>
        <v>39285.714285714283</v>
      </c>
      <c r="Z75" s="18">
        <f t="shared" si="40"/>
        <v>39285.714285714283</v>
      </c>
      <c r="AA75" s="18">
        <f t="shared" si="40"/>
        <v>39285.714285714283</v>
      </c>
      <c r="AB75" s="18">
        <f t="shared" si="40"/>
        <v>39285.714285714283</v>
      </c>
      <c r="AC75" s="18">
        <f t="shared" si="40"/>
        <v>39285.714285714283</v>
      </c>
      <c r="AD75" s="18">
        <f t="shared" si="40"/>
        <v>39285.714285714283</v>
      </c>
      <c r="AE75" s="18">
        <f t="shared" si="40"/>
        <v>39285.714285714283</v>
      </c>
      <c r="AF75" s="18">
        <f t="shared" si="40"/>
        <v>39285.714285714283</v>
      </c>
      <c r="AG75" s="18">
        <f t="shared" si="40"/>
        <v>39285.714285714283</v>
      </c>
      <c r="AH75" s="18">
        <f t="shared" si="40"/>
        <v>39285.714285714283</v>
      </c>
      <c r="AI75" s="18">
        <f t="shared" si="40"/>
        <v>39285.714285714283</v>
      </c>
    </row>
    <row r="76" spans="2:35">
      <c r="B76" s="16" t="s">
        <v>89</v>
      </c>
      <c r="C76" s="17">
        <f>12900000/280</f>
        <v>46071.428571428572</v>
      </c>
      <c r="D76" s="18">
        <f>SUM(E76:AI76)</f>
        <v>1428214.2857142857</v>
      </c>
      <c r="E76" s="19">
        <f t="shared" ref="E76:AI76" si="41">$C$76</f>
        <v>46071.428571428572</v>
      </c>
      <c r="F76" s="18">
        <f t="shared" si="41"/>
        <v>46071.428571428572</v>
      </c>
      <c r="G76" s="19">
        <f t="shared" si="41"/>
        <v>46071.428571428572</v>
      </c>
      <c r="H76" s="18">
        <f t="shared" si="41"/>
        <v>46071.428571428572</v>
      </c>
      <c r="I76" s="19">
        <f t="shared" si="41"/>
        <v>46071.428571428572</v>
      </c>
      <c r="J76" s="18">
        <f t="shared" si="41"/>
        <v>46071.428571428572</v>
      </c>
      <c r="K76" s="19">
        <f t="shared" si="41"/>
        <v>46071.428571428572</v>
      </c>
      <c r="L76" s="18">
        <f t="shared" si="41"/>
        <v>46071.428571428572</v>
      </c>
      <c r="M76" s="19">
        <f t="shared" si="41"/>
        <v>46071.428571428572</v>
      </c>
      <c r="N76" s="18">
        <f t="shared" si="41"/>
        <v>46071.428571428572</v>
      </c>
      <c r="O76" s="19">
        <f t="shared" si="41"/>
        <v>46071.428571428572</v>
      </c>
      <c r="P76" s="18">
        <f t="shared" si="41"/>
        <v>46071.428571428572</v>
      </c>
      <c r="Q76" s="19">
        <f t="shared" si="41"/>
        <v>46071.428571428572</v>
      </c>
      <c r="R76" s="18">
        <f t="shared" si="41"/>
        <v>46071.428571428572</v>
      </c>
      <c r="S76" s="19">
        <f t="shared" si="41"/>
        <v>46071.428571428572</v>
      </c>
      <c r="T76" s="18">
        <f t="shared" si="41"/>
        <v>46071.428571428572</v>
      </c>
      <c r="U76" s="19">
        <f t="shared" si="41"/>
        <v>46071.428571428572</v>
      </c>
      <c r="V76" s="18">
        <f t="shared" si="41"/>
        <v>46071.428571428572</v>
      </c>
      <c r="W76" s="19">
        <f t="shared" si="41"/>
        <v>46071.428571428572</v>
      </c>
      <c r="X76" s="18">
        <f t="shared" si="41"/>
        <v>46071.428571428572</v>
      </c>
      <c r="Y76" s="172">
        <f t="shared" si="41"/>
        <v>46071.428571428572</v>
      </c>
      <c r="Z76" s="18">
        <f t="shared" si="41"/>
        <v>46071.428571428572</v>
      </c>
      <c r="AA76" s="18">
        <f t="shared" si="41"/>
        <v>46071.428571428572</v>
      </c>
      <c r="AB76" s="18">
        <f t="shared" si="41"/>
        <v>46071.428571428572</v>
      </c>
      <c r="AC76" s="18">
        <f t="shared" si="41"/>
        <v>46071.428571428572</v>
      </c>
      <c r="AD76" s="18">
        <f t="shared" si="41"/>
        <v>46071.428571428572</v>
      </c>
      <c r="AE76" s="18">
        <f t="shared" si="41"/>
        <v>46071.428571428572</v>
      </c>
      <c r="AF76" s="18">
        <f t="shared" si="41"/>
        <v>46071.428571428572</v>
      </c>
      <c r="AG76" s="18">
        <f t="shared" si="41"/>
        <v>46071.428571428572</v>
      </c>
      <c r="AH76" s="18">
        <f t="shared" si="41"/>
        <v>46071.428571428572</v>
      </c>
      <c r="AI76" s="18">
        <f t="shared" si="41"/>
        <v>46071.428571428572</v>
      </c>
    </row>
    <row r="77" spans="2:35">
      <c r="B77" s="20" t="s">
        <v>90</v>
      </c>
      <c r="C77" s="21">
        <v>6.2</v>
      </c>
      <c r="D77" s="23">
        <f>SUM(E77:AI77)</f>
        <v>2021200</v>
      </c>
      <c r="E77" s="22">
        <f t="shared" ref="E77:AI77" si="42">$C$77*E39</f>
        <v>43400</v>
      </c>
      <c r="F77" s="23">
        <f t="shared" si="42"/>
        <v>49600</v>
      </c>
      <c r="G77" s="22">
        <f t="shared" si="42"/>
        <v>18600</v>
      </c>
      <c r="H77" s="23">
        <f t="shared" si="42"/>
        <v>37200</v>
      </c>
      <c r="I77" s="22">
        <f t="shared" si="42"/>
        <v>68200</v>
      </c>
      <c r="J77" s="23">
        <f t="shared" si="42"/>
        <v>49600</v>
      </c>
      <c r="K77" s="22">
        <f t="shared" si="42"/>
        <v>55800</v>
      </c>
      <c r="L77" s="23">
        <f t="shared" si="42"/>
        <v>74400</v>
      </c>
      <c r="M77" s="22">
        <f t="shared" si="42"/>
        <v>80600</v>
      </c>
      <c r="N77" s="23">
        <f t="shared" si="42"/>
        <v>99200</v>
      </c>
      <c r="O77" s="22">
        <f t="shared" si="42"/>
        <v>80600</v>
      </c>
      <c r="P77" s="23">
        <f t="shared" si="42"/>
        <v>80600</v>
      </c>
      <c r="Q77" s="22">
        <f t="shared" si="42"/>
        <v>93000</v>
      </c>
      <c r="R77" s="23">
        <f t="shared" si="42"/>
        <v>86800</v>
      </c>
      <c r="S77" s="22">
        <f t="shared" si="42"/>
        <v>86800</v>
      </c>
      <c r="T77" s="23">
        <f t="shared" si="42"/>
        <v>93000</v>
      </c>
      <c r="U77" s="22">
        <f t="shared" si="42"/>
        <v>86800</v>
      </c>
      <c r="V77" s="23">
        <f t="shared" si="42"/>
        <v>86800</v>
      </c>
      <c r="W77" s="22">
        <f t="shared" si="42"/>
        <v>80600</v>
      </c>
      <c r="X77" s="23">
        <f t="shared" si="42"/>
        <v>80600</v>
      </c>
      <c r="Y77" s="173">
        <f t="shared" si="42"/>
        <v>68200</v>
      </c>
      <c r="Z77" s="23">
        <f t="shared" si="42"/>
        <v>86800</v>
      </c>
      <c r="AA77" s="23">
        <f t="shared" si="42"/>
        <v>86800</v>
      </c>
      <c r="AB77" s="23">
        <f t="shared" si="42"/>
        <v>93000</v>
      </c>
      <c r="AC77" s="23">
        <f t="shared" si="42"/>
        <v>93000</v>
      </c>
      <c r="AD77" s="23">
        <f t="shared" si="42"/>
        <v>86800</v>
      </c>
      <c r="AE77" s="23">
        <f t="shared" si="42"/>
        <v>31000</v>
      </c>
      <c r="AF77" s="23">
        <f t="shared" si="42"/>
        <v>24800</v>
      </c>
      <c r="AG77" s="23">
        <f t="shared" si="42"/>
        <v>18600</v>
      </c>
      <c r="AH77" s="23">
        <f t="shared" si="42"/>
        <v>0</v>
      </c>
      <c r="AI77" s="23">
        <f t="shared" si="42"/>
        <v>0</v>
      </c>
    </row>
    <row r="78" spans="2:35">
      <c r="B78" s="24" t="s">
        <v>91</v>
      </c>
      <c r="C78" s="25">
        <f>SUM(E78:AI78)</f>
        <v>10782514.707428567</v>
      </c>
      <c r="D78" s="161">
        <f>D57-D74-D75-D76-D77</f>
        <v>11216946.707428575</v>
      </c>
      <c r="E78" s="27">
        <f t="shared" ref="E78:Y78" si="43">E57-E74-E75-E76-E77</f>
        <v>-65164.093257142857</v>
      </c>
      <c r="F78" s="178">
        <f t="shared" si="43"/>
        <v>121907.37694285714</v>
      </c>
      <c r="G78" s="178">
        <f>G57-G74-G75-G76-G77</f>
        <v>-103957.14285714286</v>
      </c>
      <c r="H78" s="178">
        <f t="shared" si="43"/>
        <v>-122557.14285714286</v>
      </c>
      <c r="I78" s="27">
        <f t="shared" si="43"/>
        <v>487208.05894285708</v>
      </c>
      <c r="J78" s="178">
        <f t="shared" si="43"/>
        <v>799842.47854285699</v>
      </c>
      <c r="K78" s="27">
        <f t="shared" si="43"/>
        <v>-141157.14285714284</v>
      </c>
      <c r="L78" s="178">
        <f t="shared" si="43"/>
        <v>747876.59894285712</v>
      </c>
      <c r="M78" s="27">
        <f t="shared" si="43"/>
        <v>264073.7651428571</v>
      </c>
      <c r="N78" s="178">
        <f t="shared" si="43"/>
        <v>-184557.14285714284</v>
      </c>
      <c r="O78" s="27">
        <f t="shared" si="43"/>
        <v>202185.65034285717</v>
      </c>
      <c r="P78" s="178">
        <f t="shared" si="43"/>
        <v>809533.40004285716</v>
      </c>
      <c r="Q78" s="27">
        <f t="shared" si="43"/>
        <v>888585.93104285712</v>
      </c>
      <c r="R78" s="178">
        <f t="shared" si="43"/>
        <v>857604.4875428573</v>
      </c>
      <c r="S78" s="27">
        <f t="shared" si="43"/>
        <v>445044.13114285714</v>
      </c>
      <c r="T78" s="178">
        <f t="shared" si="43"/>
        <v>559322.59544285724</v>
      </c>
      <c r="U78" s="27">
        <f t="shared" si="43"/>
        <v>458407.04374285717</v>
      </c>
      <c r="V78" s="178">
        <f t="shared" si="43"/>
        <v>537758.8653428572</v>
      </c>
      <c r="W78" s="27">
        <f t="shared" si="43"/>
        <v>818964.48564285727</v>
      </c>
      <c r="X78" s="178">
        <f t="shared" si="43"/>
        <v>486451.72614285711</v>
      </c>
      <c r="Y78" s="26">
        <f t="shared" si="43"/>
        <v>533925.07474285725</v>
      </c>
      <c r="Z78" s="26">
        <f t="shared" ref="Z78:AI78" si="44">Z57-Z74-Z75-Z76-Z77</f>
        <v>420764.37664285715</v>
      </c>
      <c r="AA78" s="26">
        <f t="shared" si="44"/>
        <v>339925.75684285717</v>
      </c>
      <c r="AB78" s="26">
        <f t="shared" si="44"/>
        <v>904135.98494285706</v>
      </c>
      <c r="AC78" s="26">
        <f t="shared" si="44"/>
        <v>916942.04684285715</v>
      </c>
      <c r="AD78" s="26">
        <f t="shared" si="44"/>
        <v>300633.2514428572</v>
      </c>
      <c r="AE78" s="26">
        <f t="shared" si="44"/>
        <v>-116357.14285714286</v>
      </c>
      <c r="AF78" s="26">
        <f t="shared" si="44"/>
        <v>-110157.14285714286</v>
      </c>
      <c r="AG78" s="26">
        <f t="shared" si="44"/>
        <v>-103957.14285714286</v>
      </c>
      <c r="AH78" s="26">
        <f t="shared" si="44"/>
        <v>-85357.142857142855</v>
      </c>
      <c r="AI78" s="26">
        <f t="shared" si="44"/>
        <v>-85357.142857142855</v>
      </c>
    </row>
    <row r="79" spans="2:35">
      <c r="B79" s="320" t="s">
        <v>92</v>
      </c>
      <c r="C79" s="321"/>
      <c r="D79" s="322"/>
      <c r="E79" s="28">
        <f>E78</f>
        <v>-65164.093257142857</v>
      </c>
      <c r="F79" s="28">
        <f t="shared" ref="F79:Y79" si="45">F78+E79</f>
        <v>56743.283685714283</v>
      </c>
      <c r="G79" s="28">
        <f t="shared" si="45"/>
        <v>-47213.859171428572</v>
      </c>
      <c r="H79" s="28">
        <f t="shared" si="45"/>
        <v>-169771.00202857144</v>
      </c>
      <c r="I79" s="28">
        <f t="shared" si="45"/>
        <v>317437.05691428564</v>
      </c>
      <c r="J79" s="28">
        <f t="shared" si="45"/>
        <v>1117279.5354571426</v>
      </c>
      <c r="K79" s="28">
        <f t="shared" si="45"/>
        <v>976122.39259999979</v>
      </c>
      <c r="L79" s="28">
        <f t="shared" si="45"/>
        <v>1723998.9915428569</v>
      </c>
      <c r="M79" s="28">
        <f t="shared" si="45"/>
        <v>1988072.756685714</v>
      </c>
      <c r="N79" s="28">
        <f t="shared" si="45"/>
        <v>1803515.613828571</v>
      </c>
      <c r="O79" s="28">
        <f t="shared" si="45"/>
        <v>2005701.2641714283</v>
      </c>
      <c r="P79" s="28">
        <f t="shared" si="45"/>
        <v>2815234.6642142856</v>
      </c>
      <c r="Q79" s="28">
        <f t="shared" si="45"/>
        <v>3703820.5952571426</v>
      </c>
      <c r="R79" s="28">
        <f t="shared" si="45"/>
        <v>4561425.0828</v>
      </c>
      <c r="S79" s="28">
        <f t="shared" si="45"/>
        <v>5006469.2139428575</v>
      </c>
      <c r="T79" s="28">
        <f t="shared" si="45"/>
        <v>5565791.8093857151</v>
      </c>
      <c r="U79" s="28">
        <f t="shared" si="45"/>
        <v>6024198.853128572</v>
      </c>
      <c r="V79" s="28">
        <f t="shared" si="45"/>
        <v>6561957.7184714293</v>
      </c>
      <c r="W79" s="28">
        <f t="shared" si="45"/>
        <v>7380922.2041142862</v>
      </c>
      <c r="X79" s="28">
        <f t="shared" si="45"/>
        <v>7867373.9302571435</v>
      </c>
      <c r="Y79" s="29">
        <f t="shared" si="45"/>
        <v>8401299.0050000008</v>
      </c>
      <c r="Z79" s="29">
        <f t="shared" ref="Z79" si="46">Z78+Y79</f>
        <v>8822063.3816428576</v>
      </c>
      <c r="AA79" s="29">
        <f t="shared" ref="AA79" si="47">AA78+Z79</f>
        <v>9161989.1384857148</v>
      </c>
      <c r="AB79" s="29">
        <f t="shared" ref="AB79" si="48">AB78+AA79</f>
        <v>10066125.123428572</v>
      </c>
      <c r="AC79" s="29">
        <f t="shared" ref="AC79" si="49">AC78+AB79</f>
        <v>10983067.170271428</v>
      </c>
      <c r="AD79" s="29">
        <f t="shared" ref="AD79" si="50">AD78+AC79</f>
        <v>11283700.421714285</v>
      </c>
      <c r="AE79" s="29">
        <f t="shared" ref="AE79" si="51">AE78+AD79</f>
        <v>11167343.278857142</v>
      </c>
      <c r="AF79" s="29">
        <f t="shared" ref="AF79" si="52">AF78+AE79</f>
        <v>11057186.135999998</v>
      </c>
      <c r="AG79" s="29">
        <f t="shared" ref="AG79" si="53">AG78+AF79</f>
        <v>10953228.993142854</v>
      </c>
      <c r="AH79" s="29">
        <f t="shared" ref="AH79" si="54">AH78+AG79</f>
        <v>10867871.850285711</v>
      </c>
      <c r="AI79" s="29">
        <f t="shared" ref="AI79" si="55">AI78+AH79</f>
        <v>10782514.707428567</v>
      </c>
    </row>
    <row r="82" spans="2:13">
      <c r="B82" s="30" t="s">
        <v>93</v>
      </c>
      <c r="C82" s="31">
        <f>D39/D25</f>
        <v>0.41937836805211615</v>
      </c>
    </row>
    <row r="83" spans="2:13">
      <c r="G83" s="323"/>
      <c r="H83" s="323"/>
      <c r="I83" s="323"/>
      <c r="J83" s="323"/>
      <c r="K83" s="32"/>
      <c r="L83" s="32"/>
    </row>
    <row r="85" spans="2:13">
      <c r="G85" s="309" t="s">
        <v>94</v>
      </c>
      <c r="H85" s="310"/>
      <c r="I85" s="310"/>
      <c r="J85" s="310"/>
      <c r="K85" s="310"/>
      <c r="L85" s="310"/>
      <c r="M85" s="311"/>
    </row>
    <row r="86" spans="2:13">
      <c r="G86" s="37" t="s">
        <v>95</v>
      </c>
      <c r="H86" s="94" t="s">
        <v>96</v>
      </c>
      <c r="I86" s="94" t="s">
        <v>97</v>
      </c>
      <c r="J86" s="94" t="s">
        <v>98</v>
      </c>
      <c r="K86" s="94" t="s">
        <v>99</v>
      </c>
      <c r="L86" s="94" t="s">
        <v>100</v>
      </c>
      <c r="M86" s="141" t="s">
        <v>101</v>
      </c>
    </row>
    <row r="87" spans="2:13">
      <c r="G87" s="142" t="s">
        <v>47</v>
      </c>
      <c r="H87" s="134" t="s">
        <v>102</v>
      </c>
      <c r="I87" s="134" t="s">
        <v>103</v>
      </c>
      <c r="J87" s="134" t="s">
        <v>104</v>
      </c>
      <c r="K87" s="143">
        <v>2608</v>
      </c>
      <c r="L87" s="144">
        <v>38.229999999999997</v>
      </c>
      <c r="M87" s="145"/>
    </row>
    <row r="88" spans="2:13">
      <c r="G88" s="142" t="s">
        <v>47</v>
      </c>
      <c r="H88" s="134" t="s">
        <v>105</v>
      </c>
      <c r="I88" s="134" t="s">
        <v>106</v>
      </c>
      <c r="J88" s="134" t="s">
        <v>104</v>
      </c>
      <c r="K88" s="143">
        <v>85647</v>
      </c>
      <c r="L88" s="146">
        <v>34.909999999999997</v>
      </c>
      <c r="M88" s="145">
        <v>1.7935075871774091</v>
      </c>
    </row>
    <row r="89" spans="2:13">
      <c r="G89" s="142" t="s">
        <v>47</v>
      </c>
      <c r="H89" s="134" t="s">
        <v>107</v>
      </c>
      <c r="I89" s="134" t="s">
        <v>106</v>
      </c>
      <c r="J89" s="134" t="s">
        <v>104</v>
      </c>
      <c r="K89" s="143">
        <v>742226</v>
      </c>
      <c r="L89" s="146">
        <v>39.049999999999997</v>
      </c>
      <c r="M89" s="145">
        <v>17.38594958037633</v>
      </c>
    </row>
    <row r="90" spans="2:13">
      <c r="G90" s="142" t="s">
        <v>47</v>
      </c>
      <c r="H90" s="134" t="s">
        <v>108</v>
      </c>
      <c r="I90" s="134" t="s">
        <v>106</v>
      </c>
      <c r="J90" s="134" t="s">
        <v>104</v>
      </c>
      <c r="K90" s="143">
        <v>587570</v>
      </c>
      <c r="L90" s="146">
        <v>45.15</v>
      </c>
      <c r="M90" s="145">
        <v>15.913238885266473</v>
      </c>
    </row>
    <row r="91" spans="2:13">
      <c r="G91" s="142" t="s">
        <v>47</v>
      </c>
      <c r="H91" s="134" t="s">
        <v>109</v>
      </c>
      <c r="I91" s="134" t="s">
        <v>106</v>
      </c>
      <c r="J91" s="134" t="s">
        <v>104</v>
      </c>
      <c r="K91" s="143">
        <v>80371</v>
      </c>
      <c r="L91" s="146">
        <v>35.58</v>
      </c>
      <c r="M91" s="145">
        <v>1.7153254445323556</v>
      </c>
    </row>
    <row r="92" spans="2:13">
      <c r="G92" s="147" t="s">
        <v>47</v>
      </c>
      <c r="H92" s="137" t="s">
        <v>110</v>
      </c>
      <c r="I92" s="137" t="s">
        <v>106</v>
      </c>
      <c r="J92" s="137" t="s">
        <v>104</v>
      </c>
      <c r="K92" s="138">
        <v>168667</v>
      </c>
      <c r="L92" s="139">
        <v>50.23</v>
      </c>
      <c r="M92" s="148">
        <v>5.0819982676389799</v>
      </c>
    </row>
    <row r="93" spans="2:13">
      <c r="G93" s="150"/>
      <c r="H93" s="151"/>
      <c r="I93" s="151"/>
      <c r="J93" s="151"/>
      <c r="K93" s="152">
        <v>1667089</v>
      </c>
      <c r="L93" s="153"/>
      <c r="M93" s="154">
        <v>41.89001976499155</v>
      </c>
    </row>
    <row r="94" spans="2:13">
      <c r="G94" s="142"/>
      <c r="H94" s="134"/>
      <c r="I94" s="134"/>
      <c r="J94" s="134"/>
      <c r="K94" s="143"/>
      <c r="L94" s="146"/>
      <c r="M94" s="145"/>
    </row>
    <row r="95" spans="2:13">
      <c r="G95" s="142" t="s">
        <v>49</v>
      </c>
      <c r="H95" s="134" t="s">
        <v>111</v>
      </c>
      <c r="I95" s="134" t="s">
        <v>106</v>
      </c>
      <c r="J95" s="134" t="s">
        <v>104</v>
      </c>
      <c r="K95" s="143">
        <v>77875</v>
      </c>
      <c r="L95" s="146">
        <v>26.49</v>
      </c>
      <c r="M95" s="145">
        <v>8.5388830249596417</v>
      </c>
    </row>
    <row r="96" spans="2:13">
      <c r="G96" s="147" t="s">
        <v>49</v>
      </c>
      <c r="H96" s="137" t="s">
        <v>112</v>
      </c>
      <c r="I96" s="137" t="s">
        <v>106</v>
      </c>
      <c r="J96" s="137" t="s">
        <v>104</v>
      </c>
      <c r="K96" s="138">
        <v>163715</v>
      </c>
      <c r="L96" s="139">
        <v>30.17</v>
      </c>
      <c r="M96" s="148">
        <v>20.444892379651478</v>
      </c>
    </row>
    <row r="97" spans="7:13">
      <c r="G97" s="150"/>
      <c r="H97" s="151"/>
      <c r="I97" s="151"/>
      <c r="J97" s="151"/>
      <c r="K97" s="152">
        <v>241590</v>
      </c>
      <c r="L97" s="153"/>
      <c r="M97" s="154">
        <v>28.983775404611119</v>
      </c>
    </row>
    <row r="98" spans="7:13">
      <c r="G98" s="142"/>
      <c r="H98" s="134"/>
      <c r="I98" s="134"/>
      <c r="J98" s="134"/>
      <c r="K98" s="143"/>
      <c r="L98" s="146"/>
      <c r="M98" s="145"/>
    </row>
    <row r="99" spans="7:13">
      <c r="G99" s="142" t="s">
        <v>113</v>
      </c>
      <c r="H99" s="134" t="s">
        <v>114</v>
      </c>
      <c r="I99" s="134" t="s">
        <v>106</v>
      </c>
      <c r="J99" s="134" t="s">
        <v>104</v>
      </c>
      <c r="K99" s="143">
        <v>64834</v>
      </c>
      <c r="L99" s="146">
        <v>18.75</v>
      </c>
      <c r="M99" s="145">
        <v>3.1173469518590418</v>
      </c>
    </row>
    <row r="100" spans="7:13">
      <c r="G100" s="142" t="s">
        <v>113</v>
      </c>
      <c r="H100" s="134" t="s">
        <v>115</v>
      </c>
      <c r="I100" s="134" t="s">
        <v>106</v>
      </c>
      <c r="J100" s="134" t="s">
        <v>104</v>
      </c>
      <c r="K100" s="143">
        <v>305804</v>
      </c>
      <c r="L100" s="146">
        <v>21.25</v>
      </c>
      <c r="M100" s="145">
        <v>16.664149308004177</v>
      </c>
    </row>
    <row r="101" spans="7:13">
      <c r="G101" s="147" t="s">
        <v>113</v>
      </c>
      <c r="H101" s="137" t="s">
        <v>116</v>
      </c>
      <c r="I101" s="137" t="s">
        <v>106</v>
      </c>
      <c r="J101" s="137" t="s">
        <v>104</v>
      </c>
      <c r="K101" s="138">
        <v>19321</v>
      </c>
      <c r="L101" s="139">
        <v>22.25</v>
      </c>
      <c r="M101" s="148">
        <v>1.102403714236625</v>
      </c>
    </row>
    <row r="102" spans="7:13">
      <c r="G102" s="147"/>
      <c r="H102" s="137"/>
      <c r="I102" s="137"/>
      <c r="J102" s="137"/>
      <c r="K102" s="138">
        <v>389959</v>
      </c>
      <c r="L102" s="139"/>
      <c r="M102" s="149">
        <v>20.883899974099844</v>
      </c>
    </row>
  </sheetData>
  <mergeCells count="8">
    <mergeCell ref="G85:M85"/>
    <mergeCell ref="A25:A37"/>
    <mergeCell ref="A51:A55"/>
    <mergeCell ref="B72:C72"/>
    <mergeCell ref="B79:D79"/>
    <mergeCell ref="G83:J83"/>
    <mergeCell ref="A44:A49"/>
    <mergeCell ref="A39:A40"/>
  </mergeCells>
  <conditionalFormatting sqref="E79:AI79 B7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B5C-BCD5-4A2F-AAE9-EF79A1997D7D}">
  <dimension ref="A2:AI101"/>
  <sheetViews>
    <sheetView workbookViewId="0">
      <pane xSplit="2" topLeftCell="C1" activePane="topRight" state="frozen"/>
      <selection pane="topRight" activeCell="E47" sqref="E47"/>
    </sheetView>
  </sheetViews>
  <sheetFormatPr defaultColWidth="11.42578125" defaultRowHeight="15"/>
  <cols>
    <col min="1" max="1" width="15" customWidth="1"/>
    <col min="2" max="2" width="27.42578125" customWidth="1"/>
    <col min="3" max="3" width="16.42578125" bestFit="1" customWidth="1"/>
    <col min="4" max="4" width="19.28515625" customWidth="1"/>
    <col min="5" max="5" width="11" bestFit="1" customWidth="1"/>
    <col min="6" max="6" width="12.42578125" customWidth="1"/>
    <col min="7" max="7" width="10.42578125" customWidth="1"/>
    <col min="8" max="8" width="11.85546875" customWidth="1"/>
    <col min="9" max="9" width="13.85546875" customWidth="1"/>
    <col min="10" max="10" width="11.28515625" bestFit="1" customWidth="1"/>
    <col min="11" max="11" width="13.28515625" bestFit="1" customWidth="1"/>
    <col min="12" max="12" width="12" customWidth="1"/>
    <col min="13" max="13" width="16" customWidth="1"/>
    <col min="14" max="14" width="14" customWidth="1"/>
    <col min="15" max="15" width="16" customWidth="1"/>
    <col min="16" max="17" width="11.7109375" customWidth="1"/>
    <col min="18" max="18" width="14.140625" bestFit="1" customWidth="1"/>
    <col min="19" max="21" width="12.42578125" customWidth="1"/>
    <col min="22" max="22" width="12.140625" customWidth="1"/>
    <col min="23" max="23" width="12.42578125" bestFit="1" customWidth="1"/>
    <col min="24" max="24" width="12.42578125" customWidth="1"/>
  </cols>
  <sheetData>
    <row r="2" spans="2:35" ht="15.75">
      <c r="B2" s="54" t="s">
        <v>0</v>
      </c>
      <c r="C2" s="109" t="s">
        <v>1</v>
      </c>
    </row>
    <row r="3" spans="2:35" ht="15.75">
      <c r="B3" s="54" t="s">
        <v>2</v>
      </c>
      <c r="C3" s="109">
        <v>1</v>
      </c>
    </row>
    <row r="4" spans="2:35" ht="15.75">
      <c r="B4" s="54" t="s">
        <v>3</v>
      </c>
      <c r="C4" s="110">
        <v>44624</v>
      </c>
      <c r="M4" s="1"/>
    </row>
    <row r="5" spans="2:35" ht="15.75">
      <c r="B5" s="54" t="s">
        <v>4</v>
      </c>
      <c r="C5" s="110">
        <v>44657</v>
      </c>
    </row>
    <row r="6" spans="2:35" ht="15.75">
      <c r="B6" s="2"/>
      <c r="C6" s="2"/>
    </row>
    <row r="7" spans="2:35" ht="15.75">
      <c r="B7" s="54" t="s">
        <v>5</v>
      </c>
      <c r="D7" s="41" t="s">
        <v>6</v>
      </c>
      <c r="E7" s="42">
        <v>44624</v>
      </c>
      <c r="F7" s="42">
        <f t="shared" ref="F7:AI7" si="0">E7+1</f>
        <v>44625</v>
      </c>
      <c r="G7" s="42">
        <f t="shared" si="0"/>
        <v>44626</v>
      </c>
      <c r="H7" s="42">
        <f t="shared" si="0"/>
        <v>44627</v>
      </c>
      <c r="I7" s="42">
        <f t="shared" si="0"/>
        <v>44628</v>
      </c>
      <c r="J7" s="42">
        <f t="shared" si="0"/>
        <v>44629</v>
      </c>
      <c r="K7" s="42">
        <f t="shared" si="0"/>
        <v>44630</v>
      </c>
      <c r="L7" s="42">
        <f t="shared" si="0"/>
        <v>44631</v>
      </c>
      <c r="M7" s="42">
        <f t="shared" si="0"/>
        <v>44632</v>
      </c>
      <c r="N7" s="42">
        <f t="shared" si="0"/>
        <v>44633</v>
      </c>
      <c r="O7" s="42">
        <f t="shared" si="0"/>
        <v>44634</v>
      </c>
      <c r="P7" s="42">
        <f t="shared" si="0"/>
        <v>44635</v>
      </c>
      <c r="Q7" s="42">
        <f t="shared" si="0"/>
        <v>44636</v>
      </c>
      <c r="R7" s="42">
        <f t="shared" si="0"/>
        <v>44637</v>
      </c>
      <c r="S7" s="42">
        <f t="shared" si="0"/>
        <v>44638</v>
      </c>
      <c r="T7" s="42">
        <f t="shared" si="0"/>
        <v>44639</v>
      </c>
      <c r="U7" s="42">
        <f t="shared" si="0"/>
        <v>44640</v>
      </c>
      <c r="V7" s="42">
        <f t="shared" si="0"/>
        <v>44641</v>
      </c>
      <c r="W7" s="42">
        <f t="shared" si="0"/>
        <v>44642</v>
      </c>
      <c r="X7" s="43">
        <f t="shared" si="0"/>
        <v>44643</v>
      </c>
      <c r="Y7" s="44">
        <f t="shared" si="0"/>
        <v>44644</v>
      </c>
      <c r="Z7" s="44">
        <f t="shared" si="0"/>
        <v>44645</v>
      </c>
      <c r="AA7" s="44">
        <f t="shared" si="0"/>
        <v>44646</v>
      </c>
      <c r="AB7" s="44">
        <f t="shared" si="0"/>
        <v>44647</v>
      </c>
      <c r="AC7" s="44">
        <f t="shared" si="0"/>
        <v>44648</v>
      </c>
      <c r="AD7" s="44">
        <f t="shared" si="0"/>
        <v>44649</v>
      </c>
      <c r="AE7" s="44">
        <f t="shared" si="0"/>
        <v>44650</v>
      </c>
      <c r="AF7" s="44">
        <f t="shared" si="0"/>
        <v>44651</v>
      </c>
      <c r="AG7" s="44">
        <f t="shared" si="0"/>
        <v>44652</v>
      </c>
      <c r="AH7" s="44">
        <f t="shared" si="0"/>
        <v>44653</v>
      </c>
      <c r="AI7" s="44">
        <f t="shared" si="0"/>
        <v>44654</v>
      </c>
    </row>
    <row r="8" spans="2:35">
      <c r="B8" s="46" t="s">
        <v>7</v>
      </c>
      <c r="C8" s="47" t="s">
        <v>8</v>
      </c>
      <c r="D8" s="71">
        <f t="shared" ref="D8:D15" si="1">SUM(E8:AI8)</f>
        <v>636</v>
      </c>
      <c r="E8" s="114">
        <v>17</v>
      </c>
      <c r="F8" s="114">
        <v>24</v>
      </c>
      <c r="G8" s="114">
        <v>24</v>
      </c>
      <c r="H8" s="114">
        <v>24</v>
      </c>
      <c r="I8" s="114">
        <v>24</v>
      </c>
      <c r="J8" s="114">
        <v>24</v>
      </c>
      <c r="K8" s="114">
        <v>19</v>
      </c>
      <c r="L8" s="114">
        <v>24</v>
      </c>
      <c r="M8" s="114">
        <v>24</v>
      </c>
      <c r="N8" s="114">
        <v>24</v>
      </c>
      <c r="O8" s="114">
        <v>24</v>
      </c>
      <c r="P8" s="114">
        <v>24</v>
      </c>
      <c r="Q8" s="114">
        <v>23</v>
      </c>
      <c r="R8" s="114">
        <v>24</v>
      </c>
      <c r="S8" s="114">
        <v>24</v>
      </c>
      <c r="T8" s="114">
        <v>24</v>
      </c>
      <c r="U8" s="114">
        <v>24</v>
      </c>
      <c r="V8" s="114">
        <v>0</v>
      </c>
      <c r="W8" s="114">
        <v>24</v>
      </c>
      <c r="X8" s="114">
        <v>15</v>
      </c>
      <c r="Y8" s="114">
        <v>4</v>
      </c>
      <c r="Z8" s="114">
        <v>24</v>
      </c>
      <c r="AA8" s="114">
        <v>24</v>
      </c>
      <c r="AB8" s="114">
        <v>24</v>
      </c>
      <c r="AC8" s="114">
        <v>24</v>
      </c>
      <c r="AD8" s="114">
        <v>24</v>
      </c>
      <c r="AE8" s="114">
        <v>15</v>
      </c>
      <c r="AF8" s="114">
        <v>19</v>
      </c>
      <c r="AG8" s="114">
        <v>20</v>
      </c>
      <c r="AH8" s="114">
        <v>24</v>
      </c>
      <c r="AI8" s="114">
        <v>0</v>
      </c>
    </row>
    <row r="9" spans="2:35">
      <c r="B9" s="48" t="s">
        <v>9</v>
      </c>
      <c r="C9" s="38" t="s">
        <v>8</v>
      </c>
      <c r="D9" s="71">
        <f t="shared" si="1"/>
        <v>38</v>
      </c>
      <c r="E9" s="115">
        <v>7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9</v>
      </c>
      <c r="Y9" s="115">
        <v>4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9</v>
      </c>
      <c r="AF9" s="115">
        <v>5</v>
      </c>
      <c r="AG9" s="115">
        <v>4</v>
      </c>
      <c r="AH9" s="115">
        <v>0</v>
      </c>
      <c r="AI9" s="115">
        <v>0</v>
      </c>
    </row>
    <row r="10" spans="2:35">
      <c r="B10" s="48" t="s">
        <v>10</v>
      </c>
      <c r="C10" s="38" t="s">
        <v>8</v>
      </c>
      <c r="D10" s="71">
        <f t="shared" si="1"/>
        <v>6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5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1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</row>
    <row r="11" spans="2:35">
      <c r="B11" s="48" t="s">
        <v>11</v>
      </c>
      <c r="C11" s="38" t="s">
        <v>8</v>
      </c>
      <c r="D11" s="71">
        <f t="shared" si="1"/>
        <v>6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6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</row>
    <row r="12" spans="2:35">
      <c r="B12" s="48" t="s">
        <v>12</v>
      </c>
      <c r="C12" s="38" t="s">
        <v>8</v>
      </c>
      <c r="D12" s="71">
        <f t="shared" si="1"/>
        <v>10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10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</row>
    <row r="13" spans="2:35">
      <c r="B13" s="48" t="s">
        <v>13</v>
      </c>
      <c r="C13" s="38" t="s">
        <v>8</v>
      </c>
      <c r="D13" s="71">
        <f t="shared" si="1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</row>
    <row r="14" spans="2:35">
      <c r="B14" s="49" t="s">
        <v>14</v>
      </c>
      <c r="C14" s="40" t="s">
        <v>8</v>
      </c>
      <c r="D14" s="71">
        <f t="shared" si="1"/>
        <v>24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24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</row>
    <row r="15" spans="2:35">
      <c r="B15" s="68" t="s">
        <v>15</v>
      </c>
      <c r="C15" s="69" t="s">
        <v>8</v>
      </c>
      <c r="D15" s="70">
        <f t="shared" si="1"/>
        <v>720</v>
      </c>
      <c r="E15" s="117">
        <f t="shared" ref="E15:AI15" si="2">SUM(E8:E14)</f>
        <v>24</v>
      </c>
      <c r="F15" s="117">
        <f t="shared" si="2"/>
        <v>24</v>
      </c>
      <c r="G15" s="117">
        <f t="shared" si="2"/>
        <v>24</v>
      </c>
      <c r="H15" s="117">
        <f t="shared" si="2"/>
        <v>24</v>
      </c>
      <c r="I15" s="117">
        <f t="shared" si="2"/>
        <v>24</v>
      </c>
      <c r="J15" s="117">
        <f t="shared" si="2"/>
        <v>24</v>
      </c>
      <c r="K15" s="117">
        <f t="shared" si="2"/>
        <v>24</v>
      </c>
      <c r="L15" s="117">
        <f t="shared" si="2"/>
        <v>24</v>
      </c>
      <c r="M15" s="117">
        <f t="shared" si="2"/>
        <v>24</v>
      </c>
      <c r="N15" s="117">
        <f t="shared" si="2"/>
        <v>24</v>
      </c>
      <c r="O15" s="117">
        <f t="shared" si="2"/>
        <v>24</v>
      </c>
      <c r="P15" s="117">
        <f t="shared" si="2"/>
        <v>24</v>
      </c>
      <c r="Q15" s="117">
        <f t="shared" si="2"/>
        <v>24</v>
      </c>
      <c r="R15" s="117">
        <f t="shared" si="2"/>
        <v>24</v>
      </c>
      <c r="S15" s="117">
        <f t="shared" si="2"/>
        <v>24</v>
      </c>
      <c r="T15" s="117">
        <f t="shared" si="2"/>
        <v>24</v>
      </c>
      <c r="U15" s="117">
        <f t="shared" si="2"/>
        <v>24</v>
      </c>
      <c r="V15" s="117">
        <f t="shared" si="2"/>
        <v>24</v>
      </c>
      <c r="W15" s="117">
        <f t="shared" si="2"/>
        <v>24</v>
      </c>
      <c r="X15" s="117">
        <f t="shared" si="2"/>
        <v>24</v>
      </c>
      <c r="Y15" s="117">
        <f t="shared" si="2"/>
        <v>24</v>
      </c>
      <c r="Z15" s="117">
        <f t="shared" si="2"/>
        <v>24</v>
      </c>
      <c r="AA15" s="117">
        <f t="shared" si="2"/>
        <v>24</v>
      </c>
      <c r="AB15" s="117">
        <f t="shared" si="2"/>
        <v>24</v>
      </c>
      <c r="AC15" s="117">
        <f t="shared" si="2"/>
        <v>24</v>
      </c>
      <c r="AD15" s="117">
        <f t="shared" si="2"/>
        <v>24</v>
      </c>
      <c r="AE15" s="117">
        <f t="shared" si="2"/>
        <v>24</v>
      </c>
      <c r="AF15" s="117">
        <f t="shared" si="2"/>
        <v>24</v>
      </c>
      <c r="AG15" s="117">
        <f t="shared" si="2"/>
        <v>24</v>
      </c>
      <c r="AH15" s="117">
        <f t="shared" si="2"/>
        <v>24</v>
      </c>
      <c r="AI15" s="117">
        <f t="shared" si="2"/>
        <v>0</v>
      </c>
    </row>
    <row r="17" spans="1:35">
      <c r="B17" s="50" t="s">
        <v>16</v>
      </c>
      <c r="C17" s="50" t="s">
        <v>0</v>
      </c>
      <c r="D17" s="58">
        <f>SUM(E17:AI17)</f>
        <v>0</v>
      </c>
      <c r="E17" s="58" t="s">
        <v>117</v>
      </c>
      <c r="F17" s="58" t="s">
        <v>118</v>
      </c>
      <c r="G17" s="58" t="s">
        <v>119</v>
      </c>
      <c r="H17" s="58" t="s">
        <v>117</v>
      </c>
      <c r="I17" s="58" t="s">
        <v>117</v>
      </c>
      <c r="J17" s="58" t="s">
        <v>117</v>
      </c>
      <c r="K17" s="58" t="s">
        <v>117</v>
      </c>
      <c r="L17" s="58" t="s">
        <v>120</v>
      </c>
      <c r="M17" s="58" t="s">
        <v>119</v>
      </c>
      <c r="N17" s="58" t="s">
        <v>121</v>
      </c>
      <c r="O17" s="58" t="s">
        <v>122</v>
      </c>
      <c r="P17" s="58" t="s">
        <v>122</v>
      </c>
      <c r="Q17" s="58" t="s">
        <v>122</v>
      </c>
      <c r="R17" s="58" t="s">
        <v>122</v>
      </c>
      <c r="S17" s="58" t="s">
        <v>122</v>
      </c>
      <c r="T17" s="58" t="s">
        <v>122</v>
      </c>
      <c r="U17" s="58" t="s">
        <v>122</v>
      </c>
      <c r="V17" s="58" t="s">
        <v>122</v>
      </c>
      <c r="W17" s="58" t="s">
        <v>117</v>
      </c>
      <c r="X17" s="58" t="s">
        <v>123</v>
      </c>
      <c r="Y17" s="58" t="s">
        <v>124</v>
      </c>
      <c r="Z17" s="58" t="s">
        <v>117</v>
      </c>
      <c r="AA17" s="58" t="s">
        <v>120</v>
      </c>
      <c r="AB17" s="58" t="s">
        <v>122</v>
      </c>
      <c r="AC17" s="58" t="s">
        <v>122</v>
      </c>
      <c r="AD17" s="58" t="s">
        <v>122</v>
      </c>
      <c r="AE17" s="58" t="s">
        <v>122</v>
      </c>
      <c r="AF17" s="58" t="s">
        <v>125</v>
      </c>
      <c r="AG17" s="58" t="s">
        <v>126</v>
      </c>
      <c r="AH17" s="58" t="s">
        <v>127</v>
      </c>
      <c r="AI17" s="58"/>
    </row>
    <row r="18" spans="1:35">
      <c r="B18" s="37" t="s">
        <v>31</v>
      </c>
      <c r="C18" s="37" t="s">
        <v>32</v>
      </c>
      <c r="D18" s="131">
        <f>SUM(E18:AI18)</f>
        <v>423.2</v>
      </c>
      <c r="E18" s="124">
        <v>9</v>
      </c>
      <c r="F18" s="124">
        <v>18.5</v>
      </c>
      <c r="G18" s="124">
        <v>19</v>
      </c>
      <c r="H18" s="124">
        <v>10</v>
      </c>
      <c r="I18" s="124">
        <v>7</v>
      </c>
      <c r="J18" s="124">
        <v>4</v>
      </c>
      <c r="K18" s="124">
        <v>12</v>
      </c>
      <c r="L18" s="124">
        <v>21</v>
      </c>
      <c r="M18" s="124">
        <v>11</v>
      </c>
      <c r="N18" s="124">
        <v>16.5</v>
      </c>
      <c r="O18" s="124">
        <v>18.5</v>
      </c>
      <c r="P18" s="124">
        <v>9</v>
      </c>
      <c r="Q18" s="124">
        <v>20</v>
      </c>
      <c r="R18" s="124">
        <v>18</v>
      </c>
      <c r="S18" s="124">
        <v>17</v>
      </c>
      <c r="T18" s="124">
        <v>17.2</v>
      </c>
      <c r="U18" s="124">
        <v>19</v>
      </c>
      <c r="V18" s="124" t="s">
        <v>128</v>
      </c>
      <c r="W18" s="124">
        <v>18</v>
      </c>
      <c r="X18" s="124">
        <v>12</v>
      </c>
      <c r="Y18" s="124">
        <v>4</v>
      </c>
      <c r="Z18" s="124">
        <v>14</v>
      </c>
      <c r="AA18" s="124">
        <v>19.5</v>
      </c>
      <c r="AB18" s="124">
        <v>17.5</v>
      </c>
      <c r="AC18" s="124">
        <v>15.5</v>
      </c>
      <c r="AD18" s="124">
        <v>14.5</v>
      </c>
      <c r="AE18" s="124">
        <v>9.5</v>
      </c>
      <c r="AF18" s="124">
        <v>13</v>
      </c>
      <c r="AG18" s="124">
        <v>16</v>
      </c>
      <c r="AH18" s="124">
        <v>23</v>
      </c>
      <c r="AI18" s="124"/>
    </row>
    <row r="19" spans="1:35">
      <c r="B19" s="37" t="s">
        <v>35</v>
      </c>
      <c r="C19" s="37" t="s">
        <v>36</v>
      </c>
      <c r="D19" s="131">
        <f>SUM(E19:AI19)</f>
        <v>83</v>
      </c>
      <c r="E19" s="124">
        <v>2</v>
      </c>
      <c r="F19" s="124">
        <v>3</v>
      </c>
      <c r="G19" s="124">
        <v>3</v>
      </c>
      <c r="H19" s="124">
        <v>2</v>
      </c>
      <c r="I19" s="124">
        <v>2</v>
      </c>
      <c r="J19" s="124">
        <v>1</v>
      </c>
      <c r="K19" s="124">
        <v>2</v>
      </c>
      <c r="L19" s="124">
        <v>4</v>
      </c>
      <c r="M19" s="124">
        <v>2</v>
      </c>
      <c r="N19" s="124">
        <v>3</v>
      </c>
      <c r="O19" s="124">
        <v>3</v>
      </c>
      <c r="P19" s="124">
        <v>2</v>
      </c>
      <c r="Q19" s="124">
        <v>4</v>
      </c>
      <c r="R19" s="124">
        <v>3</v>
      </c>
      <c r="S19" s="124">
        <v>3</v>
      </c>
      <c r="T19" s="124">
        <v>4</v>
      </c>
      <c r="U19" s="124">
        <v>4</v>
      </c>
      <c r="V19" s="124" t="s">
        <v>128</v>
      </c>
      <c r="W19" s="124">
        <v>4</v>
      </c>
      <c r="X19" s="124">
        <v>2</v>
      </c>
      <c r="Y19" s="124">
        <v>1</v>
      </c>
      <c r="Z19" s="124">
        <v>3</v>
      </c>
      <c r="AA19" s="124">
        <v>4</v>
      </c>
      <c r="AB19" s="124">
        <v>4</v>
      </c>
      <c r="AC19" s="124">
        <v>3</v>
      </c>
      <c r="AD19" s="124">
        <v>3</v>
      </c>
      <c r="AE19" s="124">
        <v>2</v>
      </c>
      <c r="AF19" s="124">
        <v>3</v>
      </c>
      <c r="AG19" s="124">
        <v>3</v>
      </c>
      <c r="AH19" s="124">
        <v>4</v>
      </c>
      <c r="AI19" s="124"/>
    </row>
    <row r="20" spans="1:35">
      <c r="B20" s="39" t="s">
        <v>37</v>
      </c>
      <c r="C20" s="39" t="s">
        <v>38</v>
      </c>
      <c r="D20" s="67">
        <f>SUM(E20:AI20)</f>
        <v>0</v>
      </c>
      <c r="E20" s="61" t="s">
        <v>129</v>
      </c>
      <c r="F20" s="61" t="s">
        <v>129</v>
      </c>
      <c r="G20" s="61" t="s">
        <v>40</v>
      </c>
      <c r="H20" s="61" t="s">
        <v>40</v>
      </c>
      <c r="I20" s="61" t="s">
        <v>40</v>
      </c>
      <c r="J20" s="61" t="s">
        <v>40</v>
      </c>
      <c r="K20" s="61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128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1" t="s">
        <v>40</v>
      </c>
      <c r="AC20" s="61" t="s">
        <v>40</v>
      </c>
      <c r="AD20" s="61" t="s">
        <v>40</v>
      </c>
      <c r="AE20" s="61" t="s">
        <v>40</v>
      </c>
      <c r="AF20" s="61" t="s">
        <v>40</v>
      </c>
      <c r="AG20" s="61" t="s">
        <v>40</v>
      </c>
      <c r="AH20" s="61" t="s">
        <v>40</v>
      </c>
      <c r="AI20" s="61"/>
    </row>
    <row r="21" spans="1:35">
      <c r="B21" s="39" t="s">
        <v>41</v>
      </c>
      <c r="C21" s="39" t="s">
        <v>42</v>
      </c>
      <c r="D21" s="160"/>
      <c r="E21" s="63"/>
      <c r="F21" s="62">
        <v>6.6</v>
      </c>
      <c r="G21" s="63">
        <v>5.8</v>
      </c>
      <c r="H21" s="63">
        <v>6</v>
      </c>
      <c r="I21" s="63">
        <v>6</v>
      </c>
      <c r="J21" s="63"/>
      <c r="K21" s="63">
        <v>7</v>
      </c>
      <c r="L21" s="63">
        <v>6</v>
      </c>
      <c r="M21" s="63">
        <v>6</v>
      </c>
      <c r="N21" s="63">
        <v>7</v>
      </c>
      <c r="O21" s="63">
        <v>6</v>
      </c>
      <c r="P21" s="63">
        <v>6</v>
      </c>
      <c r="Q21" s="63">
        <v>6</v>
      </c>
      <c r="R21" s="63">
        <v>6</v>
      </c>
      <c r="S21" s="63">
        <v>6</v>
      </c>
      <c r="T21" s="63">
        <v>6</v>
      </c>
      <c r="U21" s="63">
        <v>6</v>
      </c>
      <c r="V21" s="63" t="s">
        <v>128</v>
      </c>
      <c r="W21" s="63"/>
      <c r="X21" s="63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</row>
    <row r="23" spans="1:35">
      <c r="B23" s="36" t="s">
        <v>43</v>
      </c>
      <c r="C23" s="132">
        <f>D25/D18</f>
        <v>2214.0430056710775</v>
      </c>
    </row>
    <row r="24" spans="1:35">
      <c r="D24" s="10"/>
    </row>
    <row r="25" spans="1:35">
      <c r="A25" s="312" t="s">
        <v>44</v>
      </c>
      <c r="B25" s="35" t="s">
        <v>45</v>
      </c>
      <c r="C25" s="36" t="s">
        <v>46</v>
      </c>
      <c r="D25" s="70">
        <f>SUM(E25:AI25)</f>
        <v>936983</v>
      </c>
      <c r="E25" s="75">
        <f t="shared" ref="E25:AI25" si="3">SUM(E26:E37)</f>
        <v>13897</v>
      </c>
      <c r="F25" s="70">
        <f t="shared" si="3"/>
        <v>35329</v>
      </c>
      <c r="G25" s="76">
        <f t="shared" si="3"/>
        <v>32378</v>
      </c>
      <c r="H25" s="75">
        <f t="shared" si="3"/>
        <v>41290</v>
      </c>
      <c r="I25" s="70">
        <f t="shared" si="3"/>
        <v>28066</v>
      </c>
      <c r="J25" s="75">
        <f t="shared" si="3"/>
        <v>29055</v>
      </c>
      <c r="K25" s="70">
        <f t="shared" si="3"/>
        <v>24277</v>
      </c>
      <c r="L25" s="75">
        <f t="shared" si="3"/>
        <v>45363</v>
      </c>
      <c r="M25" s="70">
        <f t="shared" si="3"/>
        <v>17347</v>
      </c>
      <c r="N25" s="75">
        <f t="shared" si="3"/>
        <v>35732</v>
      </c>
      <c r="O25" s="70">
        <f t="shared" si="3"/>
        <v>30036</v>
      </c>
      <c r="P25" s="75">
        <f t="shared" si="3"/>
        <v>34554</v>
      </c>
      <c r="Q25" s="70">
        <f t="shared" si="3"/>
        <v>45077</v>
      </c>
      <c r="R25" s="75">
        <f t="shared" si="3"/>
        <v>25401</v>
      </c>
      <c r="S25" s="155">
        <f t="shared" si="3"/>
        <v>19903</v>
      </c>
      <c r="T25" s="155">
        <f t="shared" si="3"/>
        <v>36308</v>
      </c>
      <c r="U25" s="156">
        <f t="shared" si="3"/>
        <v>43720</v>
      </c>
      <c r="V25" s="157">
        <f t="shared" si="3"/>
        <v>0</v>
      </c>
      <c r="W25" s="157">
        <f t="shared" si="3"/>
        <v>33740</v>
      </c>
      <c r="X25" s="155">
        <f t="shared" si="3"/>
        <v>23577</v>
      </c>
      <c r="Y25" s="158">
        <f t="shared" si="3"/>
        <v>7342</v>
      </c>
      <c r="Z25" s="158">
        <f t="shared" si="3"/>
        <v>38657</v>
      </c>
      <c r="AA25" s="158">
        <f t="shared" si="3"/>
        <v>41413</v>
      </c>
      <c r="AB25" s="158">
        <f t="shared" si="3"/>
        <v>39058</v>
      </c>
      <c r="AC25" s="158">
        <f t="shared" si="3"/>
        <v>31734</v>
      </c>
      <c r="AD25" s="158">
        <f t="shared" si="3"/>
        <v>50336</v>
      </c>
      <c r="AE25" s="158">
        <f t="shared" si="3"/>
        <v>39195</v>
      </c>
      <c r="AF25" s="158">
        <f t="shared" si="3"/>
        <v>26292</v>
      </c>
      <c r="AG25" s="158">
        <f t="shared" si="3"/>
        <v>21761</v>
      </c>
      <c r="AH25" s="158">
        <f t="shared" si="3"/>
        <v>46145</v>
      </c>
      <c r="AI25" s="158">
        <f t="shared" si="3"/>
        <v>0</v>
      </c>
    </row>
    <row r="26" spans="1:35">
      <c r="A26" s="313"/>
      <c r="B26" s="37" t="s">
        <v>47</v>
      </c>
      <c r="C26" s="38" t="s">
        <v>48</v>
      </c>
      <c r="D26" s="72">
        <f>SUM(E26:AI26)</f>
        <v>141488</v>
      </c>
      <c r="E26" s="55">
        <v>10910</v>
      </c>
      <c r="F26" s="55">
        <v>6475</v>
      </c>
      <c r="G26" s="55">
        <v>4376</v>
      </c>
      <c r="H26" s="55">
        <v>10101</v>
      </c>
      <c r="I26" s="55">
        <v>9804</v>
      </c>
      <c r="J26" s="55">
        <v>7192</v>
      </c>
      <c r="K26" s="55">
        <v>3774</v>
      </c>
      <c r="L26" s="55">
        <v>4141</v>
      </c>
      <c r="M26" s="55">
        <v>2298</v>
      </c>
      <c r="N26" s="55">
        <v>1430</v>
      </c>
      <c r="O26" s="55">
        <v>1718</v>
      </c>
      <c r="P26" s="55">
        <v>1146</v>
      </c>
      <c r="Q26" s="55">
        <v>4072</v>
      </c>
      <c r="R26" s="55">
        <v>2438</v>
      </c>
      <c r="S26" s="55">
        <v>921</v>
      </c>
      <c r="T26" s="55">
        <v>2196</v>
      </c>
      <c r="U26" s="55">
        <v>3282</v>
      </c>
      <c r="V26" s="55">
        <v>0</v>
      </c>
      <c r="W26" s="55">
        <v>1886</v>
      </c>
      <c r="X26" s="55">
        <v>2625</v>
      </c>
      <c r="Y26" s="55">
        <v>1856</v>
      </c>
      <c r="Z26" s="55">
        <v>10851</v>
      </c>
      <c r="AA26" s="55">
        <v>4082</v>
      </c>
      <c r="AB26" s="55">
        <v>2994</v>
      </c>
      <c r="AC26" s="55">
        <v>4012</v>
      </c>
      <c r="AD26" s="55">
        <v>5237</v>
      </c>
      <c r="AE26" s="55">
        <v>5315</v>
      </c>
      <c r="AF26" s="55">
        <v>7462</v>
      </c>
      <c r="AG26" s="55">
        <v>16897</v>
      </c>
      <c r="AH26" s="55">
        <v>1997</v>
      </c>
      <c r="AI26" s="55"/>
    </row>
    <row r="27" spans="1:35">
      <c r="A27" s="313"/>
      <c r="B27" s="37" t="s">
        <v>49</v>
      </c>
      <c r="C27" s="38" t="s">
        <v>48</v>
      </c>
      <c r="D27" s="73">
        <f>SUM(E27:AI27)</f>
        <v>606476</v>
      </c>
      <c r="E27" s="55">
        <v>2272</v>
      </c>
      <c r="F27" s="55">
        <v>26318</v>
      </c>
      <c r="G27" s="55">
        <v>25082</v>
      </c>
      <c r="H27" s="55">
        <v>28446</v>
      </c>
      <c r="I27" s="55">
        <v>13706</v>
      </c>
      <c r="J27" s="55">
        <v>14702</v>
      </c>
      <c r="K27" s="55">
        <v>13974</v>
      </c>
      <c r="L27" s="55">
        <v>34141</v>
      </c>
      <c r="M27" s="55">
        <v>13725</v>
      </c>
      <c r="N27" s="55">
        <v>29856</v>
      </c>
      <c r="O27" s="55">
        <v>23136</v>
      </c>
      <c r="P27" s="55">
        <v>31056</v>
      </c>
      <c r="Q27" s="55">
        <v>34176</v>
      </c>
      <c r="R27" s="55">
        <v>17280</v>
      </c>
      <c r="S27" s="55">
        <v>14112</v>
      </c>
      <c r="T27" s="55">
        <v>25776</v>
      </c>
      <c r="U27" s="55">
        <v>32358</v>
      </c>
      <c r="V27" s="55"/>
      <c r="W27" s="55">
        <v>28230</v>
      </c>
      <c r="X27" s="55">
        <v>17319</v>
      </c>
      <c r="Y27" s="55">
        <v>3168</v>
      </c>
      <c r="Z27" s="55">
        <v>26414</v>
      </c>
      <c r="AA27" s="55">
        <v>28359</v>
      </c>
      <c r="AB27" s="55">
        <v>27536</v>
      </c>
      <c r="AC27" s="55">
        <v>22834</v>
      </c>
      <c r="AD27" s="55">
        <v>39986</v>
      </c>
      <c r="AE27" s="55">
        <v>30721</v>
      </c>
      <c r="AF27" s="55">
        <v>436</v>
      </c>
      <c r="AG27" s="55">
        <v>678</v>
      </c>
      <c r="AH27" s="55">
        <v>679</v>
      </c>
      <c r="AI27" s="55"/>
    </row>
    <row r="28" spans="1:35">
      <c r="A28" s="313"/>
      <c r="B28" s="37" t="s">
        <v>50</v>
      </c>
      <c r="C28" s="38" t="s">
        <v>48</v>
      </c>
      <c r="D28" s="73">
        <f>SUM(E28:AI28)</f>
        <v>86890</v>
      </c>
      <c r="E28" s="55">
        <v>598</v>
      </c>
      <c r="F28" s="55">
        <v>480</v>
      </c>
      <c r="G28" s="55">
        <v>1472</v>
      </c>
      <c r="H28" s="55"/>
      <c r="I28" s="55">
        <v>736</v>
      </c>
      <c r="J28" s="55">
        <v>94</v>
      </c>
      <c r="K28" s="55">
        <v>616</v>
      </c>
      <c r="L28" s="55">
        <v>239</v>
      </c>
      <c r="M28" s="55"/>
      <c r="N28" s="55">
        <v>414</v>
      </c>
      <c r="O28" s="55"/>
      <c r="P28" s="55"/>
      <c r="Q28" s="55">
        <v>2576</v>
      </c>
      <c r="R28" s="55">
        <v>2484</v>
      </c>
      <c r="S28" s="55"/>
      <c r="T28" s="55">
        <v>2806</v>
      </c>
      <c r="U28" s="55">
        <v>4050</v>
      </c>
      <c r="V28" s="55"/>
      <c r="W28" s="55">
        <v>92</v>
      </c>
      <c r="X28" s="55">
        <v>276</v>
      </c>
      <c r="Y28" s="55">
        <v>368</v>
      </c>
      <c r="Z28" s="55">
        <v>640</v>
      </c>
      <c r="AA28" s="55">
        <v>274</v>
      </c>
      <c r="AB28" s="55">
        <v>1839</v>
      </c>
      <c r="AC28" s="55">
        <v>598</v>
      </c>
      <c r="AD28" s="55">
        <v>1396</v>
      </c>
      <c r="AE28" s="55">
        <v>1846</v>
      </c>
      <c r="AF28" s="55">
        <v>18060</v>
      </c>
      <c r="AG28" s="55">
        <v>3024</v>
      </c>
      <c r="AH28" s="55">
        <v>41912</v>
      </c>
      <c r="AI28" s="55"/>
    </row>
    <row r="29" spans="1:35">
      <c r="A29" s="313"/>
      <c r="B29" s="37" t="s">
        <v>51</v>
      </c>
      <c r="C29" s="38" t="s">
        <v>48</v>
      </c>
      <c r="D29" s="73">
        <f>SUM(E29:Y29)</f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</row>
    <row r="30" spans="1:35">
      <c r="A30" s="313"/>
      <c r="B30" s="37" t="s">
        <v>52</v>
      </c>
      <c r="C30" s="38" t="s">
        <v>48</v>
      </c>
      <c r="D30" s="73">
        <f t="shared" ref="D30:D37" si="4">SUM(E30:AI30)</f>
        <v>95987</v>
      </c>
      <c r="E30" s="55">
        <v>95</v>
      </c>
      <c r="F30" s="55">
        <v>1728</v>
      </c>
      <c r="G30" s="55">
        <v>1008</v>
      </c>
      <c r="H30" s="55">
        <v>2282</v>
      </c>
      <c r="I30" s="55">
        <v>3632</v>
      </c>
      <c r="J30" s="55">
        <v>7067</v>
      </c>
      <c r="K30" s="55">
        <v>5868</v>
      </c>
      <c r="L30" s="55">
        <v>6747</v>
      </c>
      <c r="M30" s="55">
        <v>1324</v>
      </c>
      <c r="N30" s="55">
        <v>3636</v>
      </c>
      <c r="O30" s="55">
        <v>4916</v>
      </c>
      <c r="P30" s="55">
        <v>2352</v>
      </c>
      <c r="Q30" s="55">
        <v>3781</v>
      </c>
      <c r="R30" s="55">
        <v>2859</v>
      </c>
      <c r="S30" s="55">
        <v>4072</v>
      </c>
      <c r="T30" s="55">
        <v>5030</v>
      </c>
      <c r="U30" s="55">
        <v>3732</v>
      </c>
      <c r="V30" s="55"/>
      <c r="W30" s="55">
        <v>3532</v>
      </c>
      <c r="X30" s="55">
        <v>3268</v>
      </c>
      <c r="Y30" s="55">
        <v>1346</v>
      </c>
      <c r="Z30" s="55">
        <v>722</v>
      </c>
      <c r="AA30" s="55">
        <v>8678</v>
      </c>
      <c r="AB30" s="55">
        <v>6689</v>
      </c>
      <c r="AC30" s="55">
        <v>4290</v>
      </c>
      <c r="AD30" s="55">
        <v>3647</v>
      </c>
      <c r="AE30" s="55">
        <v>1053</v>
      </c>
      <c r="AF30" s="55">
        <v>234</v>
      </c>
      <c r="AG30" s="55">
        <v>1112</v>
      </c>
      <c r="AH30" s="55">
        <v>1287</v>
      </c>
      <c r="AI30" s="55"/>
    </row>
    <row r="31" spans="1:35">
      <c r="A31" s="313"/>
      <c r="B31" s="37" t="s">
        <v>53</v>
      </c>
      <c r="C31" s="38" t="s">
        <v>48</v>
      </c>
      <c r="D31" s="73">
        <f t="shared" si="4"/>
        <v>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</row>
    <row r="32" spans="1:35">
      <c r="A32" s="313"/>
      <c r="B32" s="37" t="s">
        <v>54</v>
      </c>
      <c r="C32" s="38" t="s">
        <v>48</v>
      </c>
      <c r="D32" s="73">
        <f t="shared" si="4"/>
        <v>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</row>
    <row r="33" spans="1:35">
      <c r="A33" s="313"/>
      <c r="B33" s="37" t="s">
        <v>55</v>
      </c>
      <c r="C33" s="38" t="s">
        <v>48</v>
      </c>
      <c r="D33" s="73">
        <f t="shared" si="4"/>
        <v>4340</v>
      </c>
      <c r="E33" s="55"/>
      <c r="F33" s="55">
        <v>228</v>
      </c>
      <c r="G33" s="55">
        <v>440</v>
      </c>
      <c r="H33" s="55">
        <v>216</v>
      </c>
      <c r="I33" s="55">
        <v>88</v>
      </c>
      <c r="J33" s="55"/>
      <c r="K33" s="55"/>
      <c r="L33" s="55"/>
      <c r="M33" s="55"/>
      <c r="N33" s="55">
        <v>396</v>
      </c>
      <c r="O33" s="55">
        <v>176</v>
      </c>
      <c r="P33" s="55"/>
      <c r="Q33" s="55">
        <v>352</v>
      </c>
      <c r="R33" s="55">
        <v>260</v>
      </c>
      <c r="S33" s="55">
        <v>698</v>
      </c>
      <c r="T33" s="55">
        <v>400</v>
      </c>
      <c r="U33" s="55">
        <v>298</v>
      </c>
      <c r="V33" s="55"/>
      <c r="W33" s="55"/>
      <c r="X33" s="55">
        <v>44</v>
      </c>
      <c r="Y33" s="55">
        <v>484</v>
      </c>
      <c r="Z33" s="55"/>
      <c r="AA33" s="55"/>
      <c r="AB33" s="55"/>
      <c r="AC33" s="55"/>
      <c r="AD33" s="55"/>
      <c r="AE33" s="55">
        <v>260</v>
      </c>
      <c r="AF33" s="55"/>
      <c r="AG33" s="55"/>
      <c r="AH33" s="55"/>
      <c r="AI33" s="55"/>
    </row>
    <row r="34" spans="1:35">
      <c r="A34" s="313"/>
      <c r="B34" s="37" t="s">
        <v>56</v>
      </c>
      <c r="C34" s="38" t="s">
        <v>48</v>
      </c>
      <c r="D34" s="73">
        <f t="shared" si="4"/>
        <v>420</v>
      </c>
      <c r="E34" s="55"/>
      <c r="F34" s="55"/>
      <c r="G34" s="55"/>
      <c r="H34" s="55">
        <v>200</v>
      </c>
      <c r="I34" s="55">
        <v>100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>
        <v>120</v>
      </c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>
      <c r="A35" s="313"/>
      <c r="B35" s="37" t="s">
        <v>57</v>
      </c>
      <c r="C35" s="38" t="s">
        <v>48</v>
      </c>
      <c r="D35" s="73">
        <f t="shared" si="4"/>
        <v>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</row>
    <row r="36" spans="1:35">
      <c r="A36" s="313"/>
      <c r="B36" s="37" t="s">
        <v>58</v>
      </c>
      <c r="C36" s="38" t="s">
        <v>48</v>
      </c>
      <c r="D36" s="73">
        <f t="shared" si="4"/>
        <v>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</row>
    <row r="37" spans="1:35">
      <c r="A37" s="314"/>
      <c r="B37" s="39" t="s">
        <v>59</v>
      </c>
      <c r="C37" s="40" t="s">
        <v>48</v>
      </c>
      <c r="D37" s="74">
        <f t="shared" si="4"/>
        <v>1382</v>
      </c>
      <c r="E37" s="57">
        <v>22</v>
      </c>
      <c r="F37" s="57">
        <v>100</v>
      </c>
      <c r="G37" s="57"/>
      <c r="H37" s="57">
        <v>45</v>
      </c>
      <c r="I37" s="57"/>
      <c r="J37" s="57"/>
      <c r="K37" s="57">
        <v>45</v>
      </c>
      <c r="L37" s="57">
        <v>95</v>
      </c>
      <c r="M37" s="57"/>
      <c r="N37" s="57"/>
      <c r="O37" s="57">
        <v>90</v>
      </c>
      <c r="P37" s="57"/>
      <c r="Q37" s="57">
        <v>120</v>
      </c>
      <c r="R37" s="57">
        <v>80</v>
      </c>
      <c r="S37" s="57">
        <v>100</v>
      </c>
      <c r="T37" s="57">
        <v>100</v>
      </c>
      <c r="U37" s="57"/>
      <c r="V37" s="57"/>
      <c r="W37" s="57"/>
      <c r="X37" s="57">
        <v>45</v>
      </c>
      <c r="Y37" s="57"/>
      <c r="Z37" s="57">
        <v>30</v>
      </c>
      <c r="AA37" s="57">
        <v>20</v>
      </c>
      <c r="AB37" s="57"/>
      <c r="AC37" s="57"/>
      <c r="AD37" s="57">
        <v>70</v>
      </c>
      <c r="AE37" s="57"/>
      <c r="AF37" s="57">
        <v>100</v>
      </c>
      <c r="AG37" s="57">
        <v>50</v>
      </c>
      <c r="AH37" s="57">
        <v>270</v>
      </c>
      <c r="AI37" s="57"/>
    </row>
    <row r="38" spans="1:35">
      <c r="A38" s="33"/>
      <c r="C38" s="5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</row>
    <row r="39" spans="1:35">
      <c r="A39" s="324" t="s">
        <v>60</v>
      </c>
      <c r="B39" s="50" t="s">
        <v>61</v>
      </c>
      <c r="C39" s="91" t="s">
        <v>62</v>
      </c>
      <c r="D39" s="81">
        <f>SUM(E39:AI39)</f>
        <v>368000</v>
      </c>
      <c r="E39" s="86">
        <v>10000</v>
      </c>
      <c r="F39" s="86">
        <v>12000</v>
      </c>
      <c r="G39" s="86">
        <v>12000</v>
      </c>
      <c r="H39" s="86">
        <v>11000</v>
      </c>
      <c r="I39" s="86">
        <v>10000</v>
      </c>
      <c r="J39" s="86">
        <v>10000</v>
      </c>
      <c r="K39" s="86">
        <v>12000</v>
      </c>
      <c r="L39" s="86">
        <v>12000</v>
      </c>
      <c r="M39" s="86">
        <v>13000</v>
      </c>
      <c r="N39" s="86">
        <v>12000</v>
      </c>
      <c r="O39" s="86">
        <v>12000</v>
      </c>
      <c r="P39" s="86">
        <v>10000</v>
      </c>
      <c r="Q39" s="86">
        <v>13000</v>
      </c>
      <c r="R39" s="86">
        <v>13000</v>
      </c>
      <c r="S39" s="86">
        <v>13000</v>
      </c>
      <c r="T39" s="86">
        <v>13000</v>
      </c>
      <c r="U39" s="86">
        <v>13000</v>
      </c>
      <c r="V39" s="86">
        <v>8000</v>
      </c>
      <c r="W39" s="86">
        <v>13000</v>
      </c>
      <c r="X39" s="86">
        <v>11000</v>
      </c>
      <c r="Y39" s="86">
        <v>7000</v>
      </c>
      <c r="Z39" s="86">
        <v>12000</v>
      </c>
      <c r="AA39" s="86">
        <v>14000</v>
      </c>
      <c r="AB39" s="86">
        <v>12000</v>
      </c>
      <c r="AC39" s="86">
        <v>13000</v>
      </c>
      <c r="AD39" s="86">
        <v>13000</v>
      </c>
      <c r="AE39" s="86">
        <v>14000</v>
      </c>
      <c r="AF39" s="86">
        <v>14000</v>
      </c>
      <c r="AG39" s="86">
        <v>15000</v>
      </c>
      <c r="AH39" s="86">
        <v>14000</v>
      </c>
      <c r="AI39" s="86">
        <v>7000</v>
      </c>
    </row>
    <row r="40" spans="1:35">
      <c r="A40" s="325"/>
      <c r="B40" s="39" t="s">
        <v>63</v>
      </c>
      <c r="C40" s="92" t="s">
        <v>62</v>
      </c>
      <c r="D40" s="82">
        <f>SUM(E40:AI40)</f>
        <v>1400</v>
      </c>
      <c r="E40" s="87">
        <v>0</v>
      </c>
      <c r="F40" s="87">
        <v>0</v>
      </c>
      <c r="G40" s="87">
        <v>0</v>
      </c>
      <c r="H40" s="87">
        <v>200</v>
      </c>
      <c r="I40" s="87">
        <v>0</v>
      </c>
      <c r="J40" s="87">
        <v>0</v>
      </c>
      <c r="K40" s="87">
        <v>0</v>
      </c>
      <c r="L40" s="87">
        <v>0</v>
      </c>
      <c r="M40" s="87">
        <v>200</v>
      </c>
      <c r="N40" s="87">
        <v>0</v>
      </c>
      <c r="O40" s="87">
        <v>0</v>
      </c>
      <c r="P40" s="87">
        <v>200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0</v>
      </c>
      <c r="W40" s="87">
        <v>300</v>
      </c>
      <c r="X40" s="87">
        <v>0</v>
      </c>
      <c r="Y40" s="87">
        <v>0</v>
      </c>
      <c r="Z40" s="87">
        <v>0</v>
      </c>
      <c r="AA40" s="87">
        <v>0</v>
      </c>
      <c r="AB40" s="87">
        <v>0</v>
      </c>
      <c r="AC40" s="87">
        <v>200</v>
      </c>
      <c r="AD40" s="87">
        <v>0</v>
      </c>
      <c r="AE40" s="87">
        <v>0</v>
      </c>
      <c r="AF40" s="87">
        <v>0</v>
      </c>
      <c r="AG40" s="87">
        <v>0</v>
      </c>
      <c r="AH40" s="87">
        <v>0</v>
      </c>
      <c r="AI40" s="87">
        <v>300</v>
      </c>
    </row>
    <row r="42" spans="1:35" ht="13.5" customHeight="1"/>
    <row r="43" spans="1:35" ht="15" customHeight="1">
      <c r="A43" s="312" t="s">
        <v>64</v>
      </c>
      <c r="B43" s="93" t="s">
        <v>65</v>
      </c>
      <c r="C43" s="47" t="s">
        <v>8</v>
      </c>
      <c r="D43" s="83">
        <f>SUM(E43:AI43)</f>
        <v>48</v>
      </c>
      <c r="E43" s="88">
        <v>0</v>
      </c>
      <c r="F43" s="88">
        <v>0</v>
      </c>
      <c r="G43" s="88">
        <v>0</v>
      </c>
      <c r="H43" s="88">
        <v>0</v>
      </c>
      <c r="I43" s="88">
        <v>6</v>
      </c>
      <c r="J43" s="88">
        <v>0</v>
      </c>
      <c r="K43" s="88">
        <v>1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6</v>
      </c>
      <c r="S43" s="88">
        <v>0</v>
      </c>
      <c r="T43" s="88">
        <v>0</v>
      </c>
      <c r="U43" s="88">
        <v>0</v>
      </c>
      <c r="V43" s="88">
        <v>3</v>
      </c>
      <c r="W43" s="88">
        <v>0</v>
      </c>
      <c r="X43" s="88">
        <v>10</v>
      </c>
      <c r="Y43" s="88">
        <v>22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</row>
    <row r="44" spans="1:35">
      <c r="A44" s="313"/>
      <c r="B44" s="94" t="s">
        <v>66</v>
      </c>
      <c r="C44" s="38" t="s">
        <v>8</v>
      </c>
      <c r="D44" s="84">
        <f>SUM(E44:AI44)</f>
        <v>39</v>
      </c>
      <c r="E44" s="89"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>
        <v>3</v>
      </c>
      <c r="N44" s="89">
        <v>0</v>
      </c>
      <c r="O44" s="89">
        <v>0</v>
      </c>
      <c r="P44" s="89">
        <v>0</v>
      </c>
      <c r="Q44" s="89">
        <v>2</v>
      </c>
      <c r="R44" s="89">
        <v>0</v>
      </c>
      <c r="S44" s="89">
        <v>0</v>
      </c>
      <c r="T44" s="89">
        <v>0</v>
      </c>
      <c r="U44" s="89">
        <v>0</v>
      </c>
      <c r="V44" s="89">
        <v>19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2</v>
      </c>
      <c r="AF44" s="89">
        <v>6</v>
      </c>
      <c r="AG44" s="89">
        <v>7</v>
      </c>
      <c r="AH44" s="89">
        <v>0</v>
      </c>
      <c r="AI44" s="89">
        <v>0</v>
      </c>
    </row>
    <row r="45" spans="1:35">
      <c r="A45" s="313"/>
      <c r="B45" s="94" t="s">
        <v>67</v>
      </c>
      <c r="C45" s="38" t="s">
        <v>8</v>
      </c>
      <c r="D45" s="84">
        <f>SUM(E45:AI45)</f>
        <v>50</v>
      </c>
      <c r="E45" s="89">
        <v>0</v>
      </c>
      <c r="F45" s="89">
        <v>4</v>
      </c>
      <c r="G45" s="89">
        <v>2</v>
      </c>
      <c r="H45" s="89">
        <v>4</v>
      </c>
      <c r="I45" s="89">
        <v>6</v>
      </c>
      <c r="J45" s="89">
        <v>2</v>
      </c>
      <c r="K45" s="89">
        <v>2</v>
      </c>
      <c r="L45" s="89">
        <v>2</v>
      </c>
      <c r="M45" s="89">
        <v>2</v>
      </c>
      <c r="N45" s="89">
        <v>2</v>
      </c>
      <c r="O45" s="89">
        <v>2</v>
      </c>
      <c r="P45" s="89">
        <v>2</v>
      </c>
      <c r="Q45" s="89">
        <v>2</v>
      </c>
      <c r="R45" s="89">
        <v>6</v>
      </c>
      <c r="S45" s="89">
        <v>0</v>
      </c>
      <c r="T45" s="89">
        <v>2</v>
      </c>
      <c r="U45" s="89">
        <v>0</v>
      </c>
      <c r="V45" s="89">
        <v>3</v>
      </c>
      <c r="W45" s="89">
        <v>2</v>
      </c>
      <c r="X45" s="89">
        <v>4</v>
      </c>
      <c r="Y45" s="89">
        <v>0</v>
      </c>
      <c r="Z45" s="89">
        <v>1</v>
      </c>
      <c r="AA45" s="89">
        <v>0</v>
      </c>
      <c r="AB45" s="89">
        <v>0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</row>
    <row r="46" spans="1:35">
      <c r="A46" s="313"/>
      <c r="B46" s="95" t="s">
        <v>68</v>
      </c>
      <c r="C46" s="40" t="s">
        <v>8</v>
      </c>
      <c r="D46" s="84">
        <f>SUM(E46:AI46)</f>
        <v>0</v>
      </c>
      <c r="E46" s="90">
        <v>0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0</v>
      </c>
      <c r="AC46" s="90">
        <v>0</v>
      </c>
      <c r="AD46" s="90">
        <v>0</v>
      </c>
      <c r="AE46" s="90">
        <v>0</v>
      </c>
      <c r="AF46" s="90">
        <v>0</v>
      </c>
      <c r="AG46" s="90">
        <v>0</v>
      </c>
      <c r="AH46" s="90">
        <v>0</v>
      </c>
      <c r="AI46" s="90">
        <v>0</v>
      </c>
    </row>
    <row r="47" spans="1:35" ht="15" customHeight="1">
      <c r="A47" s="313"/>
      <c r="B47" s="93" t="s">
        <v>69</v>
      </c>
      <c r="C47" s="91" t="s">
        <v>48</v>
      </c>
      <c r="D47" s="85">
        <f>SUM(E47:AI47)</f>
        <v>367000</v>
      </c>
      <c r="E47" s="86">
        <v>0</v>
      </c>
      <c r="F47" s="86">
        <v>0</v>
      </c>
      <c r="G47" s="86">
        <v>0</v>
      </c>
      <c r="H47" s="86">
        <v>0</v>
      </c>
      <c r="I47" s="86">
        <v>0</v>
      </c>
      <c r="J47" s="86">
        <v>0</v>
      </c>
      <c r="K47" s="86">
        <v>0</v>
      </c>
      <c r="L47" s="86">
        <v>0</v>
      </c>
      <c r="M47" s="86">
        <v>0</v>
      </c>
      <c r="N47" s="86">
        <v>0</v>
      </c>
      <c r="O47" s="86">
        <v>0</v>
      </c>
      <c r="P47" s="86">
        <v>0</v>
      </c>
      <c r="Q47" s="86">
        <v>0</v>
      </c>
      <c r="R47" s="86">
        <v>0</v>
      </c>
      <c r="S47" s="86">
        <v>200000</v>
      </c>
      <c r="T47" s="86">
        <v>0</v>
      </c>
      <c r="U47" s="86">
        <v>0</v>
      </c>
      <c r="V47" s="86">
        <v>0</v>
      </c>
      <c r="W47" s="86">
        <v>65000</v>
      </c>
      <c r="X47" s="86">
        <v>0</v>
      </c>
      <c r="Y47" s="86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102000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</row>
    <row r="48" spans="1:35">
      <c r="A48" s="314"/>
      <c r="B48" s="95" t="s">
        <v>70</v>
      </c>
      <c r="C48" s="92" t="s">
        <v>48</v>
      </c>
      <c r="D48" s="82">
        <f>SUM(O48:AI48)</f>
        <v>15000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8000</v>
      </c>
      <c r="T48" s="87">
        <v>0</v>
      </c>
      <c r="U48" s="87">
        <v>0</v>
      </c>
      <c r="V48" s="87">
        <v>0</v>
      </c>
      <c r="W48" s="87">
        <v>2800</v>
      </c>
      <c r="X48" s="87">
        <v>0</v>
      </c>
      <c r="Y48" s="87">
        <v>0</v>
      </c>
      <c r="Z48" s="87">
        <v>0</v>
      </c>
      <c r="AA48" s="87">
        <v>0</v>
      </c>
      <c r="AB48" s="87">
        <v>0</v>
      </c>
      <c r="AC48" s="87">
        <v>0</v>
      </c>
      <c r="AD48" s="87">
        <v>4200</v>
      </c>
      <c r="AE48" s="87">
        <v>0</v>
      </c>
      <c r="AF48" s="87">
        <v>0</v>
      </c>
      <c r="AG48" s="87">
        <v>0</v>
      </c>
      <c r="AH48" s="87">
        <v>0</v>
      </c>
      <c r="AI48" s="87">
        <v>0</v>
      </c>
    </row>
    <row r="49" spans="1:35">
      <c r="B49" s="4"/>
      <c r="C49" s="4"/>
      <c r="D49" s="3"/>
      <c r="E49" s="3"/>
      <c r="G49" s="3"/>
      <c r="I49" s="3"/>
      <c r="K49" s="3"/>
      <c r="M49" s="3"/>
      <c r="O49" s="3"/>
      <c r="Q49" s="3"/>
      <c r="S49" s="3"/>
      <c r="U49" s="3"/>
      <c r="W49" s="3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>
      <c r="A50" s="315" t="s">
        <v>71</v>
      </c>
      <c r="B50" s="50" t="s">
        <v>72</v>
      </c>
      <c r="C50" s="45" t="s">
        <v>73</v>
      </c>
      <c r="D50" s="7" t="s">
        <v>73</v>
      </c>
      <c r="E50" s="7" t="s">
        <v>73</v>
      </c>
      <c r="F50" s="7" t="s">
        <v>73</v>
      </c>
      <c r="G50" s="7" t="s">
        <v>73</v>
      </c>
      <c r="H50" s="7" t="s">
        <v>73</v>
      </c>
      <c r="I50" s="7" t="s">
        <v>73</v>
      </c>
      <c r="J50" s="7" t="s">
        <v>73</v>
      </c>
      <c r="K50" s="7" t="s">
        <v>73</v>
      </c>
      <c r="L50" s="7" t="s">
        <v>73</v>
      </c>
      <c r="M50" s="7" t="s">
        <v>73</v>
      </c>
      <c r="N50" s="7" t="s">
        <v>73</v>
      </c>
      <c r="O50" s="7" t="s">
        <v>73</v>
      </c>
      <c r="P50" s="7" t="s">
        <v>73</v>
      </c>
      <c r="Q50" s="7" t="s">
        <v>73</v>
      </c>
      <c r="R50" s="7" t="s">
        <v>73</v>
      </c>
      <c r="S50" s="7" t="s">
        <v>73</v>
      </c>
      <c r="T50" s="7" t="s">
        <v>73</v>
      </c>
      <c r="U50" s="7" t="s">
        <v>73</v>
      </c>
      <c r="V50" s="7" t="s">
        <v>73</v>
      </c>
      <c r="W50" s="7" t="s">
        <v>73</v>
      </c>
      <c r="X50" s="7" t="s">
        <v>73</v>
      </c>
      <c r="Y50" s="7" t="s">
        <v>73</v>
      </c>
      <c r="Z50" s="7" t="s">
        <v>73</v>
      </c>
      <c r="AA50" s="7" t="s">
        <v>73</v>
      </c>
      <c r="AB50" s="7" t="s">
        <v>73</v>
      </c>
      <c r="AC50" s="7" t="s">
        <v>73</v>
      </c>
      <c r="AD50" s="7" t="s">
        <v>73</v>
      </c>
      <c r="AE50" s="7" t="s">
        <v>73</v>
      </c>
      <c r="AF50" s="7" t="s">
        <v>73</v>
      </c>
      <c r="AG50" s="7" t="s">
        <v>73</v>
      </c>
      <c r="AH50" s="7" t="s">
        <v>73</v>
      </c>
      <c r="AI50" s="7" t="s">
        <v>73</v>
      </c>
    </row>
    <row r="51" spans="1:35">
      <c r="A51" s="316"/>
      <c r="B51" s="37" t="s">
        <v>74</v>
      </c>
      <c r="C51" s="51" t="s">
        <v>75</v>
      </c>
      <c r="D51" s="8" t="s">
        <v>75</v>
      </c>
      <c r="E51" s="8" t="s">
        <v>75</v>
      </c>
      <c r="F51" s="8" t="s">
        <v>75</v>
      </c>
      <c r="G51" s="8" t="s">
        <v>75</v>
      </c>
      <c r="H51" s="8" t="s">
        <v>75</v>
      </c>
      <c r="I51" s="8" t="s">
        <v>75</v>
      </c>
      <c r="J51" s="8" t="s">
        <v>75</v>
      </c>
      <c r="K51" s="8" t="s">
        <v>75</v>
      </c>
      <c r="L51" s="8" t="s">
        <v>75</v>
      </c>
      <c r="M51" s="8" t="s">
        <v>75</v>
      </c>
      <c r="N51" s="8" t="s">
        <v>75</v>
      </c>
      <c r="O51" s="8" t="s">
        <v>75</v>
      </c>
      <c r="P51" s="8" t="s">
        <v>75</v>
      </c>
      <c r="Q51" s="8" t="s">
        <v>75</v>
      </c>
      <c r="R51" s="8" t="s">
        <v>75</v>
      </c>
      <c r="S51" s="8" t="s">
        <v>75</v>
      </c>
      <c r="T51" s="8" t="s">
        <v>75</v>
      </c>
      <c r="U51" s="8" t="s">
        <v>75</v>
      </c>
      <c r="V51" s="8" t="s">
        <v>75</v>
      </c>
      <c r="W51" s="8" t="s">
        <v>75</v>
      </c>
      <c r="X51" s="8" t="s">
        <v>75</v>
      </c>
      <c r="Y51" s="8" t="s">
        <v>75</v>
      </c>
      <c r="Z51" s="8" t="s">
        <v>75</v>
      </c>
      <c r="AA51" s="8" t="s">
        <v>75</v>
      </c>
      <c r="AB51" s="8" t="s">
        <v>75</v>
      </c>
      <c r="AC51" s="8" t="s">
        <v>75</v>
      </c>
      <c r="AD51" s="8" t="s">
        <v>75</v>
      </c>
      <c r="AE51" s="8" t="s">
        <v>75</v>
      </c>
      <c r="AF51" s="8" t="s">
        <v>75</v>
      </c>
      <c r="AG51" s="8" t="s">
        <v>75</v>
      </c>
      <c r="AH51" s="8" t="s">
        <v>75</v>
      </c>
      <c r="AI51" s="8" t="s">
        <v>75</v>
      </c>
    </row>
    <row r="52" spans="1:35">
      <c r="A52" s="316"/>
      <c r="B52" s="37" t="s">
        <v>7</v>
      </c>
      <c r="C52" s="51" t="s">
        <v>75</v>
      </c>
      <c r="D52" s="8" t="s">
        <v>75</v>
      </c>
      <c r="E52" s="8" t="s">
        <v>75</v>
      </c>
      <c r="F52" s="8" t="s">
        <v>75</v>
      </c>
      <c r="G52" s="8" t="s">
        <v>75</v>
      </c>
      <c r="H52" s="8" t="s">
        <v>75</v>
      </c>
      <c r="I52" s="8" t="s">
        <v>75</v>
      </c>
      <c r="J52" s="8" t="s">
        <v>75</v>
      </c>
      <c r="K52" s="8" t="s">
        <v>75</v>
      </c>
      <c r="L52" s="8" t="s">
        <v>75</v>
      </c>
      <c r="M52" s="8" t="s">
        <v>75</v>
      </c>
      <c r="N52" s="8" t="s">
        <v>75</v>
      </c>
      <c r="O52" s="8" t="s">
        <v>75</v>
      </c>
      <c r="P52" s="8" t="s">
        <v>130</v>
      </c>
      <c r="Q52" s="8" t="s">
        <v>75</v>
      </c>
      <c r="R52" s="8" t="s">
        <v>75</v>
      </c>
      <c r="S52" s="8" t="s">
        <v>75</v>
      </c>
      <c r="T52" s="8" t="s">
        <v>75</v>
      </c>
      <c r="U52" s="8" t="s">
        <v>131</v>
      </c>
      <c r="V52" s="8" t="s">
        <v>75</v>
      </c>
      <c r="W52" s="8" t="s">
        <v>75</v>
      </c>
      <c r="X52" s="8" t="s">
        <v>75</v>
      </c>
      <c r="Y52" s="8" t="s">
        <v>75</v>
      </c>
      <c r="Z52" s="8" t="s">
        <v>75</v>
      </c>
      <c r="AA52" s="8" t="s">
        <v>75</v>
      </c>
      <c r="AB52" s="8" t="s">
        <v>75</v>
      </c>
      <c r="AC52" s="8" t="s">
        <v>132</v>
      </c>
      <c r="AD52" s="8" t="s">
        <v>75</v>
      </c>
      <c r="AE52" s="8" t="s">
        <v>75</v>
      </c>
      <c r="AF52" s="8" t="s">
        <v>75</v>
      </c>
      <c r="AG52" s="8" t="s">
        <v>75</v>
      </c>
      <c r="AH52" s="8" t="s">
        <v>75</v>
      </c>
      <c r="AI52" s="8" t="s">
        <v>75</v>
      </c>
    </row>
    <row r="53" spans="1:35">
      <c r="A53" s="316"/>
      <c r="B53" s="37" t="s">
        <v>76</v>
      </c>
      <c r="C53" s="51" t="s">
        <v>75</v>
      </c>
      <c r="D53" s="8" t="s">
        <v>75</v>
      </c>
      <c r="E53" s="8" t="s">
        <v>133</v>
      </c>
      <c r="F53" s="8" t="s">
        <v>134</v>
      </c>
      <c r="G53" s="8" t="s">
        <v>134</v>
      </c>
      <c r="H53" s="8" t="s">
        <v>134</v>
      </c>
      <c r="I53" s="8" t="s">
        <v>135</v>
      </c>
      <c r="J53" s="8" t="s">
        <v>136</v>
      </c>
      <c r="K53" s="8"/>
      <c r="L53" s="8" t="s">
        <v>75</v>
      </c>
      <c r="M53" s="8" t="s">
        <v>75</v>
      </c>
      <c r="N53" s="8" t="s">
        <v>75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</row>
    <row r="54" spans="1:35">
      <c r="A54" s="317"/>
      <c r="B54" s="39" t="s">
        <v>82</v>
      </c>
      <c r="C54" s="52" t="s">
        <v>75</v>
      </c>
      <c r="D54" s="9" t="s">
        <v>75</v>
      </c>
      <c r="E54" s="9" t="s">
        <v>75</v>
      </c>
      <c r="F54" s="9" t="s">
        <v>75</v>
      </c>
      <c r="G54" s="9" t="s">
        <v>75</v>
      </c>
      <c r="H54" s="9" t="s">
        <v>75</v>
      </c>
      <c r="I54" s="9" t="s">
        <v>75</v>
      </c>
      <c r="J54" s="9" t="s">
        <v>75</v>
      </c>
      <c r="K54" s="9" t="s">
        <v>137</v>
      </c>
      <c r="L54" s="9" t="s">
        <v>75</v>
      </c>
      <c r="M54" s="9" t="s">
        <v>75</v>
      </c>
      <c r="N54" s="9" t="s">
        <v>75</v>
      </c>
      <c r="O54" s="9" t="s">
        <v>75</v>
      </c>
      <c r="P54" s="9" t="s">
        <v>75</v>
      </c>
      <c r="Q54" s="9" t="s">
        <v>138</v>
      </c>
      <c r="R54" s="9" t="s">
        <v>75</v>
      </c>
      <c r="S54" s="9" t="s">
        <v>75</v>
      </c>
      <c r="T54" s="9" t="s">
        <v>75</v>
      </c>
      <c r="U54" s="9" t="s">
        <v>75</v>
      </c>
      <c r="V54" s="9" t="s">
        <v>139</v>
      </c>
      <c r="W54" s="9" t="s">
        <v>75</v>
      </c>
      <c r="X54" s="9" t="s">
        <v>75</v>
      </c>
      <c r="Y54" s="9" t="s">
        <v>140</v>
      </c>
      <c r="Z54" s="9" t="s">
        <v>75</v>
      </c>
      <c r="AA54" s="9" t="s">
        <v>75</v>
      </c>
      <c r="AB54" s="9" t="s">
        <v>75</v>
      </c>
      <c r="AC54" s="9" t="s">
        <v>75</v>
      </c>
      <c r="AD54" s="9" t="s">
        <v>141</v>
      </c>
      <c r="AE54" s="9" t="s">
        <v>75</v>
      </c>
      <c r="AF54" s="9" t="s">
        <v>75</v>
      </c>
      <c r="AG54" s="9" t="s">
        <v>75</v>
      </c>
      <c r="AH54" s="9" t="s">
        <v>75</v>
      </c>
      <c r="AI54" s="9" t="s">
        <v>75</v>
      </c>
    </row>
    <row r="56" spans="1:35" ht="15.75">
      <c r="B56" s="53" t="s">
        <v>83</v>
      </c>
      <c r="C56" s="99" t="s">
        <v>84</v>
      </c>
      <c r="D56" s="100">
        <f>SUM(D57:D69)</f>
        <v>26932099.800000001</v>
      </c>
      <c r="E56" s="101">
        <f t="shared" ref="E56:AI56" si="5">SUM(E57:E69)</f>
        <v>536138.70000000007</v>
      </c>
      <c r="F56" s="101">
        <f t="shared" si="5"/>
        <v>1066176.5900000001</v>
      </c>
      <c r="G56" s="101">
        <f t="shared" si="5"/>
        <v>967914.36</v>
      </c>
      <c r="H56" s="101">
        <f t="shared" si="5"/>
        <v>1277397.57</v>
      </c>
      <c r="I56" s="101">
        <f t="shared" si="5"/>
        <v>851976.92</v>
      </c>
      <c r="J56" s="101">
        <f t="shared" si="5"/>
        <v>771701.56</v>
      </c>
      <c r="K56" s="101">
        <f t="shared" si="5"/>
        <v>611579.46</v>
      </c>
      <c r="L56" s="101">
        <f t="shared" si="5"/>
        <v>1209294.99</v>
      </c>
      <c r="M56" s="101">
        <f t="shared" si="5"/>
        <v>501957.72</v>
      </c>
      <c r="N56" s="101">
        <f t="shared" si="5"/>
        <v>974439.49999999988</v>
      </c>
      <c r="O56" s="101">
        <f t="shared" si="5"/>
        <v>781221.9</v>
      </c>
      <c r="P56" s="101">
        <f t="shared" si="5"/>
        <v>962120.82000000007</v>
      </c>
      <c r="Q56" s="101">
        <f t="shared" si="5"/>
        <v>1255424.6399999999</v>
      </c>
      <c r="R56" s="102">
        <f t="shared" si="5"/>
        <v>685098.14</v>
      </c>
      <c r="S56" s="101">
        <f t="shared" si="5"/>
        <v>506203.25</v>
      </c>
      <c r="T56" s="100">
        <f t="shared" si="5"/>
        <v>947788.2</v>
      </c>
      <c r="U56" s="101">
        <f t="shared" si="5"/>
        <v>1196358.6200000001</v>
      </c>
      <c r="V56" s="101">
        <f t="shared" si="5"/>
        <v>0</v>
      </c>
      <c r="W56" s="101">
        <f t="shared" si="5"/>
        <v>920222.9</v>
      </c>
      <c r="X56" s="102">
        <f t="shared" si="5"/>
        <v>639781.15</v>
      </c>
      <c r="Y56" s="101">
        <f t="shared" si="5"/>
        <v>211641.51999999996</v>
      </c>
      <c r="Z56" s="101">
        <f t="shared" si="5"/>
        <v>1238021.3099999998</v>
      </c>
      <c r="AA56" s="101">
        <f t="shared" si="5"/>
        <v>1050827.92</v>
      </c>
      <c r="AB56" s="101">
        <f t="shared" si="5"/>
        <v>1001944.26</v>
      </c>
      <c r="AC56" s="101">
        <f t="shared" si="5"/>
        <v>868018.24</v>
      </c>
      <c r="AD56" s="101">
        <f t="shared" si="5"/>
        <v>1429902.69</v>
      </c>
      <c r="AE56" s="101">
        <f t="shared" si="5"/>
        <v>1170178.4099999999</v>
      </c>
      <c r="AF56" s="101">
        <f t="shared" si="5"/>
        <v>704715.26</v>
      </c>
      <c r="AG56" s="101">
        <f t="shared" si="5"/>
        <v>797776.8899999999</v>
      </c>
      <c r="AH56" s="101">
        <f t="shared" si="5"/>
        <v>988876.30999999994</v>
      </c>
      <c r="AI56" s="103">
        <f t="shared" si="5"/>
        <v>0</v>
      </c>
    </row>
    <row r="57" spans="1:35">
      <c r="B57" s="96" t="s">
        <v>47</v>
      </c>
      <c r="C57" s="111">
        <v>41.89</v>
      </c>
      <c r="D57" s="97">
        <f t="shared" ref="D57:AI57" si="6">D26*$C57</f>
        <v>5926932.3200000003</v>
      </c>
      <c r="E57" s="104">
        <f t="shared" si="6"/>
        <v>457019.9</v>
      </c>
      <c r="F57" s="104">
        <f t="shared" si="6"/>
        <v>271237.75</v>
      </c>
      <c r="G57" s="104">
        <f t="shared" si="6"/>
        <v>183310.64</v>
      </c>
      <c r="H57" s="104">
        <f t="shared" si="6"/>
        <v>423130.89</v>
      </c>
      <c r="I57" s="104">
        <f t="shared" si="6"/>
        <v>410689.56</v>
      </c>
      <c r="J57" s="104">
        <f t="shared" si="6"/>
        <v>301272.88</v>
      </c>
      <c r="K57" s="104">
        <f t="shared" si="6"/>
        <v>158092.86000000002</v>
      </c>
      <c r="L57" s="104">
        <f t="shared" si="6"/>
        <v>173466.49</v>
      </c>
      <c r="M57" s="104">
        <f t="shared" si="6"/>
        <v>96263.22</v>
      </c>
      <c r="N57" s="104">
        <f t="shared" si="6"/>
        <v>59902.700000000004</v>
      </c>
      <c r="O57" s="104">
        <f t="shared" si="6"/>
        <v>71967.02</v>
      </c>
      <c r="P57" s="104">
        <f t="shared" si="6"/>
        <v>48005.94</v>
      </c>
      <c r="Q57" s="104">
        <f t="shared" si="6"/>
        <v>170576.08000000002</v>
      </c>
      <c r="R57" s="104">
        <f t="shared" si="6"/>
        <v>102127.82</v>
      </c>
      <c r="S57" s="104">
        <f t="shared" si="6"/>
        <v>38580.69</v>
      </c>
      <c r="T57" s="104">
        <f t="shared" si="6"/>
        <v>91990.44</v>
      </c>
      <c r="U57" s="104">
        <f t="shared" si="6"/>
        <v>137482.98000000001</v>
      </c>
      <c r="V57" s="104">
        <f t="shared" si="6"/>
        <v>0</v>
      </c>
      <c r="W57" s="104">
        <f t="shared" si="6"/>
        <v>79004.540000000008</v>
      </c>
      <c r="X57" s="105">
        <f t="shared" si="6"/>
        <v>109961.25</v>
      </c>
      <c r="Y57" s="104">
        <f t="shared" si="6"/>
        <v>77747.839999999997</v>
      </c>
      <c r="Z57" s="104">
        <f t="shared" si="6"/>
        <v>454548.39</v>
      </c>
      <c r="AA57" s="104">
        <f t="shared" si="6"/>
        <v>170994.98</v>
      </c>
      <c r="AB57" s="104">
        <f t="shared" si="6"/>
        <v>125418.66</v>
      </c>
      <c r="AC57" s="104">
        <f t="shared" si="6"/>
        <v>168062.68</v>
      </c>
      <c r="AD57" s="104">
        <f t="shared" si="6"/>
        <v>219377.93</v>
      </c>
      <c r="AE57" s="104">
        <f t="shared" si="6"/>
        <v>222645.35</v>
      </c>
      <c r="AF57" s="104">
        <f t="shared" si="6"/>
        <v>312583.18</v>
      </c>
      <c r="AG57" s="104">
        <f t="shared" si="6"/>
        <v>707815.33</v>
      </c>
      <c r="AH57" s="104">
        <f t="shared" si="6"/>
        <v>83654.33</v>
      </c>
      <c r="AI57" s="104">
        <f t="shared" si="6"/>
        <v>0</v>
      </c>
    </row>
    <row r="58" spans="1:35">
      <c r="B58" s="96" t="s">
        <v>49</v>
      </c>
      <c r="C58" s="111">
        <v>28.98</v>
      </c>
      <c r="D58" s="97">
        <f t="shared" ref="D58:AI58" si="7">D27*$C58</f>
        <v>17575674.48</v>
      </c>
      <c r="E58" s="104">
        <f t="shared" si="7"/>
        <v>65842.559999999998</v>
      </c>
      <c r="F58" s="104">
        <f t="shared" si="7"/>
        <v>762695.64</v>
      </c>
      <c r="G58" s="104">
        <f t="shared" si="7"/>
        <v>726876.36</v>
      </c>
      <c r="H58" s="104">
        <f t="shared" si="7"/>
        <v>824365.08</v>
      </c>
      <c r="I58" s="104">
        <f t="shared" si="7"/>
        <v>397199.88</v>
      </c>
      <c r="J58" s="104">
        <f t="shared" si="7"/>
        <v>426063.96</v>
      </c>
      <c r="K58" s="104">
        <f t="shared" si="7"/>
        <v>404966.52</v>
      </c>
      <c r="L58" s="104">
        <f t="shared" si="7"/>
        <v>989406.18</v>
      </c>
      <c r="M58" s="104">
        <f t="shared" si="7"/>
        <v>397750.5</v>
      </c>
      <c r="N58" s="104">
        <f t="shared" si="7"/>
        <v>865226.88</v>
      </c>
      <c r="O58" s="104">
        <f t="shared" si="7"/>
        <v>670481.28</v>
      </c>
      <c r="P58" s="104">
        <f t="shared" si="7"/>
        <v>900002.88</v>
      </c>
      <c r="Q58" s="104">
        <f t="shared" si="7"/>
        <v>990420.47999999998</v>
      </c>
      <c r="R58" s="105">
        <f t="shared" si="7"/>
        <v>500774.40000000002</v>
      </c>
      <c r="S58" s="104">
        <f t="shared" si="7"/>
        <v>408965.76</v>
      </c>
      <c r="T58" s="106">
        <f t="shared" si="7"/>
        <v>746988.48</v>
      </c>
      <c r="U58" s="104">
        <f t="shared" si="7"/>
        <v>937734.84</v>
      </c>
      <c r="V58" s="104">
        <f t="shared" si="7"/>
        <v>0</v>
      </c>
      <c r="W58" s="104">
        <f t="shared" si="7"/>
        <v>818105.4</v>
      </c>
      <c r="X58" s="105">
        <f t="shared" si="7"/>
        <v>501904.62</v>
      </c>
      <c r="Y58" s="104">
        <f t="shared" si="7"/>
        <v>91808.639999999999</v>
      </c>
      <c r="Z58" s="104">
        <f t="shared" si="7"/>
        <v>765477.72</v>
      </c>
      <c r="AA58" s="104">
        <f t="shared" si="7"/>
        <v>821843.82000000007</v>
      </c>
      <c r="AB58" s="104">
        <f t="shared" si="7"/>
        <v>797993.28</v>
      </c>
      <c r="AC58" s="104">
        <f t="shared" si="7"/>
        <v>661729.32000000007</v>
      </c>
      <c r="AD58" s="104">
        <f t="shared" si="7"/>
        <v>1158794.28</v>
      </c>
      <c r="AE58" s="104">
        <f t="shared" si="7"/>
        <v>890294.58</v>
      </c>
      <c r="AF58" s="104">
        <f t="shared" si="7"/>
        <v>12635.28</v>
      </c>
      <c r="AG58" s="104">
        <f t="shared" si="7"/>
        <v>19648.439999999999</v>
      </c>
      <c r="AH58" s="104">
        <f t="shared" si="7"/>
        <v>19677.420000000002</v>
      </c>
      <c r="AI58" s="104">
        <f t="shared" si="7"/>
        <v>0</v>
      </c>
    </row>
    <row r="59" spans="1:35">
      <c r="B59" s="96" t="s">
        <v>50</v>
      </c>
      <c r="C59" s="111">
        <v>20.88</v>
      </c>
      <c r="D59" s="97">
        <f t="shared" ref="D59:AI59" si="8">D28*$C59</f>
        <v>1814263.2</v>
      </c>
      <c r="E59" s="104">
        <f t="shared" si="8"/>
        <v>12486.24</v>
      </c>
      <c r="F59" s="104">
        <f t="shared" si="8"/>
        <v>10022.4</v>
      </c>
      <c r="G59" s="104">
        <f t="shared" si="8"/>
        <v>30735.359999999997</v>
      </c>
      <c r="H59" s="104">
        <f t="shared" si="8"/>
        <v>0</v>
      </c>
      <c r="I59" s="104">
        <f t="shared" si="8"/>
        <v>15367.679999999998</v>
      </c>
      <c r="J59" s="104">
        <f t="shared" si="8"/>
        <v>1962.7199999999998</v>
      </c>
      <c r="K59" s="104">
        <f t="shared" si="8"/>
        <v>12862.08</v>
      </c>
      <c r="L59" s="104">
        <f t="shared" si="8"/>
        <v>4990.32</v>
      </c>
      <c r="M59" s="104">
        <f t="shared" si="8"/>
        <v>0</v>
      </c>
      <c r="N59" s="104">
        <f t="shared" si="8"/>
        <v>8644.32</v>
      </c>
      <c r="O59" s="104">
        <f t="shared" si="8"/>
        <v>0</v>
      </c>
      <c r="P59" s="104">
        <f t="shared" si="8"/>
        <v>0</v>
      </c>
      <c r="Q59" s="104">
        <f t="shared" si="8"/>
        <v>53786.879999999997</v>
      </c>
      <c r="R59" s="105">
        <f t="shared" si="8"/>
        <v>51865.919999999998</v>
      </c>
      <c r="S59" s="104">
        <f t="shared" si="8"/>
        <v>0</v>
      </c>
      <c r="T59" s="106">
        <f t="shared" si="8"/>
        <v>58589.279999999999</v>
      </c>
      <c r="U59" s="104">
        <f t="shared" si="8"/>
        <v>84564</v>
      </c>
      <c r="V59" s="104">
        <f t="shared" si="8"/>
        <v>0</v>
      </c>
      <c r="W59" s="104">
        <f t="shared" si="8"/>
        <v>1920.9599999999998</v>
      </c>
      <c r="X59" s="105">
        <f t="shared" si="8"/>
        <v>5762.88</v>
      </c>
      <c r="Y59" s="104">
        <f t="shared" si="8"/>
        <v>7683.8399999999992</v>
      </c>
      <c r="Z59" s="104">
        <f t="shared" si="8"/>
        <v>13363.199999999999</v>
      </c>
      <c r="AA59" s="104">
        <f t="shared" si="8"/>
        <v>5721.12</v>
      </c>
      <c r="AB59" s="104">
        <f t="shared" si="8"/>
        <v>38398.32</v>
      </c>
      <c r="AC59" s="104">
        <f t="shared" si="8"/>
        <v>12486.24</v>
      </c>
      <c r="AD59" s="104">
        <f t="shared" si="8"/>
        <v>29148.48</v>
      </c>
      <c r="AE59" s="104">
        <f t="shared" si="8"/>
        <v>38544.479999999996</v>
      </c>
      <c r="AF59" s="104">
        <f t="shared" si="8"/>
        <v>377092.8</v>
      </c>
      <c r="AG59" s="104">
        <f t="shared" si="8"/>
        <v>63141.119999999995</v>
      </c>
      <c r="AH59" s="104">
        <f t="shared" si="8"/>
        <v>875122.55999999994</v>
      </c>
      <c r="AI59" s="104">
        <f t="shared" si="8"/>
        <v>0</v>
      </c>
    </row>
    <row r="60" spans="1:35">
      <c r="B60" s="96" t="s">
        <v>51</v>
      </c>
      <c r="C60" s="111">
        <v>15</v>
      </c>
      <c r="D60" s="97">
        <f t="shared" ref="D60:AI60" si="9">D29*$C60</f>
        <v>0</v>
      </c>
      <c r="E60" s="104">
        <f t="shared" si="9"/>
        <v>0</v>
      </c>
      <c r="F60" s="104">
        <f t="shared" si="9"/>
        <v>0</v>
      </c>
      <c r="G60" s="104">
        <f t="shared" si="9"/>
        <v>0</v>
      </c>
      <c r="H60" s="104">
        <f t="shared" si="9"/>
        <v>0</v>
      </c>
      <c r="I60" s="104">
        <f t="shared" si="9"/>
        <v>0</v>
      </c>
      <c r="J60" s="104">
        <f t="shared" si="9"/>
        <v>0</v>
      </c>
      <c r="K60" s="104">
        <f t="shared" si="9"/>
        <v>0</v>
      </c>
      <c r="L60" s="104">
        <f t="shared" si="9"/>
        <v>0</v>
      </c>
      <c r="M60" s="104">
        <f t="shared" si="9"/>
        <v>0</v>
      </c>
      <c r="N60" s="104">
        <f t="shared" si="9"/>
        <v>0</v>
      </c>
      <c r="O60" s="104">
        <f t="shared" si="9"/>
        <v>0</v>
      </c>
      <c r="P60" s="104">
        <f t="shared" si="9"/>
        <v>0</v>
      </c>
      <c r="Q60" s="104">
        <f t="shared" si="9"/>
        <v>0</v>
      </c>
      <c r="R60" s="105">
        <f t="shared" si="9"/>
        <v>0</v>
      </c>
      <c r="S60" s="104">
        <f t="shared" si="9"/>
        <v>0</v>
      </c>
      <c r="T60" s="106">
        <f t="shared" si="9"/>
        <v>0</v>
      </c>
      <c r="U60" s="104">
        <f t="shared" si="9"/>
        <v>0</v>
      </c>
      <c r="V60" s="104">
        <f t="shared" si="9"/>
        <v>0</v>
      </c>
      <c r="W60" s="104">
        <f t="shared" si="9"/>
        <v>0</v>
      </c>
      <c r="X60" s="105">
        <f t="shared" si="9"/>
        <v>0</v>
      </c>
      <c r="Y60" s="104">
        <f t="shared" si="9"/>
        <v>0</v>
      </c>
      <c r="Z60" s="104">
        <f t="shared" si="9"/>
        <v>0</v>
      </c>
      <c r="AA60" s="104">
        <f t="shared" si="9"/>
        <v>0</v>
      </c>
      <c r="AB60" s="104">
        <f t="shared" si="9"/>
        <v>0</v>
      </c>
      <c r="AC60" s="104">
        <f t="shared" si="9"/>
        <v>0</v>
      </c>
      <c r="AD60" s="104">
        <f t="shared" si="9"/>
        <v>0</v>
      </c>
      <c r="AE60" s="104">
        <f t="shared" si="9"/>
        <v>0</v>
      </c>
      <c r="AF60" s="104">
        <f t="shared" si="9"/>
        <v>0</v>
      </c>
      <c r="AG60" s="104">
        <f t="shared" si="9"/>
        <v>0</v>
      </c>
      <c r="AH60" s="104">
        <f t="shared" si="9"/>
        <v>0</v>
      </c>
      <c r="AI60" s="104">
        <f t="shared" si="9"/>
        <v>0</v>
      </c>
    </row>
    <row r="61" spans="1:35">
      <c r="B61" s="96" t="s">
        <v>52</v>
      </c>
      <c r="C61" s="111">
        <v>6</v>
      </c>
      <c r="D61" s="97">
        <f t="shared" ref="D61:AI61" si="10">D30*$C61</f>
        <v>575922</v>
      </c>
      <c r="E61" s="104">
        <f t="shared" si="10"/>
        <v>570</v>
      </c>
      <c r="F61" s="104">
        <f t="shared" si="10"/>
        <v>10368</v>
      </c>
      <c r="G61" s="104">
        <f t="shared" si="10"/>
        <v>6048</v>
      </c>
      <c r="H61" s="104">
        <f t="shared" si="10"/>
        <v>13692</v>
      </c>
      <c r="I61" s="104">
        <f t="shared" si="10"/>
        <v>21792</v>
      </c>
      <c r="J61" s="104">
        <f t="shared" si="10"/>
        <v>42402</v>
      </c>
      <c r="K61" s="104">
        <f t="shared" si="10"/>
        <v>35208</v>
      </c>
      <c r="L61" s="104">
        <f t="shared" si="10"/>
        <v>40482</v>
      </c>
      <c r="M61" s="104">
        <f t="shared" si="10"/>
        <v>7944</v>
      </c>
      <c r="N61" s="104">
        <f t="shared" si="10"/>
        <v>21816</v>
      </c>
      <c r="O61" s="104">
        <f t="shared" si="10"/>
        <v>29496</v>
      </c>
      <c r="P61" s="104">
        <f t="shared" si="10"/>
        <v>14112</v>
      </c>
      <c r="Q61" s="104">
        <f t="shared" si="10"/>
        <v>22686</v>
      </c>
      <c r="R61" s="105">
        <f t="shared" si="10"/>
        <v>17154</v>
      </c>
      <c r="S61" s="104">
        <f t="shared" si="10"/>
        <v>24432</v>
      </c>
      <c r="T61" s="106">
        <f t="shared" si="10"/>
        <v>30180</v>
      </c>
      <c r="U61" s="104">
        <f t="shared" si="10"/>
        <v>22392</v>
      </c>
      <c r="V61" s="104">
        <f t="shared" si="10"/>
        <v>0</v>
      </c>
      <c r="W61" s="104">
        <f t="shared" si="10"/>
        <v>21192</v>
      </c>
      <c r="X61" s="105">
        <f t="shared" si="10"/>
        <v>19608</v>
      </c>
      <c r="Y61" s="104">
        <f t="shared" si="10"/>
        <v>8076</v>
      </c>
      <c r="Z61" s="104">
        <f t="shared" si="10"/>
        <v>4332</v>
      </c>
      <c r="AA61" s="104">
        <f t="shared" si="10"/>
        <v>52068</v>
      </c>
      <c r="AB61" s="104">
        <f t="shared" si="10"/>
        <v>40134</v>
      </c>
      <c r="AC61" s="104">
        <f t="shared" si="10"/>
        <v>25740</v>
      </c>
      <c r="AD61" s="104">
        <f t="shared" si="10"/>
        <v>21882</v>
      </c>
      <c r="AE61" s="104">
        <f t="shared" si="10"/>
        <v>6318</v>
      </c>
      <c r="AF61" s="104">
        <f t="shared" si="10"/>
        <v>1404</v>
      </c>
      <c r="AG61" s="104">
        <f t="shared" si="10"/>
        <v>6672</v>
      </c>
      <c r="AH61" s="104">
        <f t="shared" si="10"/>
        <v>7722</v>
      </c>
      <c r="AI61" s="104">
        <f t="shared" si="10"/>
        <v>0</v>
      </c>
    </row>
    <row r="62" spans="1:35">
      <c r="B62" s="96" t="s">
        <v>53</v>
      </c>
      <c r="C62" s="111">
        <v>12</v>
      </c>
      <c r="D62" s="97"/>
      <c r="E62" s="104">
        <f t="shared" ref="E62:AI62" si="11">E31*$C62</f>
        <v>0</v>
      </c>
      <c r="F62" s="104">
        <f t="shared" si="11"/>
        <v>0</v>
      </c>
      <c r="G62" s="104">
        <f t="shared" si="11"/>
        <v>0</v>
      </c>
      <c r="H62" s="104">
        <f t="shared" si="11"/>
        <v>0</v>
      </c>
      <c r="I62" s="104">
        <f t="shared" si="11"/>
        <v>0</v>
      </c>
      <c r="J62" s="104">
        <f t="shared" si="11"/>
        <v>0</v>
      </c>
      <c r="K62" s="104">
        <f t="shared" si="11"/>
        <v>0</v>
      </c>
      <c r="L62" s="104">
        <f t="shared" si="11"/>
        <v>0</v>
      </c>
      <c r="M62" s="104">
        <f t="shared" si="11"/>
        <v>0</v>
      </c>
      <c r="N62" s="104">
        <f t="shared" si="11"/>
        <v>0</v>
      </c>
      <c r="O62" s="104">
        <f t="shared" si="11"/>
        <v>0</v>
      </c>
      <c r="P62" s="104">
        <f t="shared" si="11"/>
        <v>0</v>
      </c>
      <c r="Q62" s="104">
        <f t="shared" si="11"/>
        <v>0</v>
      </c>
      <c r="R62" s="105">
        <f t="shared" si="11"/>
        <v>0</v>
      </c>
      <c r="S62" s="104">
        <f t="shared" si="11"/>
        <v>0</v>
      </c>
      <c r="T62" s="106">
        <f t="shared" si="11"/>
        <v>0</v>
      </c>
      <c r="U62" s="104">
        <f t="shared" si="11"/>
        <v>0</v>
      </c>
      <c r="V62" s="104">
        <f t="shared" si="11"/>
        <v>0</v>
      </c>
      <c r="W62" s="104">
        <f t="shared" si="11"/>
        <v>0</v>
      </c>
      <c r="X62" s="105">
        <f t="shared" si="11"/>
        <v>0</v>
      </c>
      <c r="Y62" s="104">
        <f t="shared" si="11"/>
        <v>0</v>
      </c>
      <c r="Z62" s="104">
        <f t="shared" si="11"/>
        <v>0</v>
      </c>
      <c r="AA62" s="104">
        <f t="shared" si="11"/>
        <v>0</v>
      </c>
      <c r="AB62" s="104">
        <f t="shared" si="11"/>
        <v>0</v>
      </c>
      <c r="AC62" s="104">
        <f t="shared" si="11"/>
        <v>0</v>
      </c>
      <c r="AD62" s="104">
        <f t="shared" si="11"/>
        <v>0</v>
      </c>
      <c r="AE62" s="104">
        <f t="shared" si="11"/>
        <v>0</v>
      </c>
      <c r="AF62" s="104">
        <f t="shared" si="11"/>
        <v>0</v>
      </c>
      <c r="AG62" s="104">
        <f t="shared" si="11"/>
        <v>0</v>
      </c>
      <c r="AH62" s="104">
        <f t="shared" si="11"/>
        <v>0</v>
      </c>
      <c r="AI62" s="104">
        <f t="shared" si="11"/>
        <v>0</v>
      </c>
    </row>
    <row r="63" spans="1:35">
      <c r="B63" s="96" t="s">
        <v>54</v>
      </c>
      <c r="C63" s="111">
        <v>4</v>
      </c>
      <c r="D63" s="97">
        <f t="shared" ref="D63:D68" si="12">D32*$C63</f>
        <v>0</v>
      </c>
      <c r="E63" s="104">
        <f t="shared" ref="E63:AI63" si="13">E32*$C63</f>
        <v>0</v>
      </c>
      <c r="F63" s="104">
        <f t="shared" si="13"/>
        <v>0</v>
      </c>
      <c r="G63" s="104">
        <f t="shared" si="13"/>
        <v>0</v>
      </c>
      <c r="H63" s="104">
        <f t="shared" si="13"/>
        <v>0</v>
      </c>
      <c r="I63" s="104">
        <f t="shared" si="13"/>
        <v>0</v>
      </c>
      <c r="J63" s="104">
        <f t="shared" si="13"/>
        <v>0</v>
      </c>
      <c r="K63" s="104">
        <f t="shared" si="13"/>
        <v>0</v>
      </c>
      <c r="L63" s="104">
        <f t="shared" si="13"/>
        <v>0</v>
      </c>
      <c r="M63" s="104">
        <f t="shared" si="13"/>
        <v>0</v>
      </c>
      <c r="N63" s="104">
        <f t="shared" si="13"/>
        <v>0</v>
      </c>
      <c r="O63" s="104">
        <f t="shared" si="13"/>
        <v>0</v>
      </c>
      <c r="P63" s="104">
        <f t="shared" si="13"/>
        <v>0</v>
      </c>
      <c r="Q63" s="104">
        <f t="shared" si="13"/>
        <v>0</v>
      </c>
      <c r="R63" s="105">
        <f t="shared" si="13"/>
        <v>0</v>
      </c>
      <c r="S63" s="104">
        <f t="shared" si="13"/>
        <v>0</v>
      </c>
      <c r="T63" s="106">
        <f t="shared" si="13"/>
        <v>0</v>
      </c>
      <c r="U63" s="104">
        <f t="shared" si="13"/>
        <v>0</v>
      </c>
      <c r="V63" s="104">
        <f t="shared" si="13"/>
        <v>0</v>
      </c>
      <c r="W63" s="104">
        <f t="shared" si="13"/>
        <v>0</v>
      </c>
      <c r="X63" s="105">
        <f t="shared" si="13"/>
        <v>0</v>
      </c>
      <c r="Y63" s="104">
        <f t="shared" si="13"/>
        <v>0</v>
      </c>
      <c r="Z63" s="104">
        <f t="shared" si="13"/>
        <v>0</v>
      </c>
      <c r="AA63" s="104">
        <f t="shared" si="13"/>
        <v>0</v>
      </c>
      <c r="AB63" s="104">
        <f t="shared" si="13"/>
        <v>0</v>
      </c>
      <c r="AC63" s="104">
        <f t="shared" si="13"/>
        <v>0</v>
      </c>
      <c r="AD63" s="104">
        <f t="shared" si="13"/>
        <v>0</v>
      </c>
      <c r="AE63" s="104">
        <f t="shared" si="13"/>
        <v>0</v>
      </c>
      <c r="AF63" s="104">
        <f t="shared" si="13"/>
        <v>0</v>
      </c>
      <c r="AG63" s="104">
        <f t="shared" si="13"/>
        <v>0</v>
      </c>
      <c r="AH63" s="104">
        <f t="shared" si="13"/>
        <v>0</v>
      </c>
      <c r="AI63" s="104">
        <f t="shared" si="13"/>
        <v>0</v>
      </c>
    </row>
    <row r="64" spans="1:35">
      <c r="B64" s="96" t="s">
        <v>55</v>
      </c>
      <c r="C64" s="111">
        <v>47.6</v>
      </c>
      <c r="D64" s="97">
        <f t="shared" si="12"/>
        <v>206584</v>
      </c>
      <c r="E64" s="104">
        <f t="shared" ref="E64:AI64" si="14">E33*$C64</f>
        <v>0</v>
      </c>
      <c r="F64" s="104">
        <f t="shared" si="14"/>
        <v>10852.800000000001</v>
      </c>
      <c r="G64" s="104">
        <f t="shared" si="14"/>
        <v>20944</v>
      </c>
      <c r="H64" s="104">
        <f t="shared" si="14"/>
        <v>10281.6</v>
      </c>
      <c r="I64" s="104">
        <f t="shared" si="14"/>
        <v>4188.8</v>
      </c>
      <c r="J64" s="104">
        <f t="shared" si="14"/>
        <v>0</v>
      </c>
      <c r="K64" s="104">
        <f t="shared" si="14"/>
        <v>0</v>
      </c>
      <c r="L64" s="104">
        <f t="shared" si="14"/>
        <v>0</v>
      </c>
      <c r="M64" s="104">
        <f t="shared" si="14"/>
        <v>0</v>
      </c>
      <c r="N64" s="104">
        <f t="shared" si="14"/>
        <v>18849.600000000002</v>
      </c>
      <c r="O64" s="104">
        <f t="shared" si="14"/>
        <v>8377.6</v>
      </c>
      <c r="P64" s="104">
        <f t="shared" si="14"/>
        <v>0</v>
      </c>
      <c r="Q64" s="104">
        <f t="shared" si="14"/>
        <v>16755.2</v>
      </c>
      <c r="R64" s="105">
        <f t="shared" si="14"/>
        <v>12376</v>
      </c>
      <c r="S64" s="104">
        <f t="shared" si="14"/>
        <v>33224.800000000003</v>
      </c>
      <c r="T64" s="106">
        <f t="shared" si="14"/>
        <v>19040</v>
      </c>
      <c r="U64" s="104">
        <f t="shared" si="14"/>
        <v>14184.800000000001</v>
      </c>
      <c r="V64" s="104">
        <f t="shared" si="14"/>
        <v>0</v>
      </c>
      <c r="W64" s="104">
        <f t="shared" si="14"/>
        <v>0</v>
      </c>
      <c r="X64" s="105">
        <f t="shared" si="14"/>
        <v>2094.4</v>
      </c>
      <c r="Y64" s="104">
        <f t="shared" si="14"/>
        <v>23038.400000000001</v>
      </c>
      <c r="Z64" s="104">
        <f t="shared" si="14"/>
        <v>0</v>
      </c>
      <c r="AA64" s="104">
        <f t="shared" si="14"/>
        <v>0</v>
      </c>
      <c r="AB64" s="104">
        <f t="shared" si="14"/>
        <v>0</v>
      </c>
      <c r="AC64" s="104">
        <f t="shared" si="14"/>
        <v>0</v>
      </c>
      <c r="AD64" s="104">
        <f t="shared" si="14"/>
        <v>0</v>
      </c>
      <c r="AE64" s="104">
        <f t="shared" si="14"/>
        <v>12376</v>
      </c>
      <c r="AF64" s="104">
        <f t="shared" si="14"/>
        <v>0</v>
      </c>
      <c r="AG64" s="104">
        <f t="shared" si="14"/>
        <v>0</v>
      </c>
      <c r="AH64" s="104">
        <f t="shared" si="14"/>
        <v>0</v>
      </c>
      <c r="AI64" s="104">
        <f t="shared" si="14"/>
        <v>0</v>
      </c>
    </row>
    <row r="65" spans="2:35">
      <c r="B65" s="96" t="s">
        <v>56</v>
      </c>
      <c r="C65" s="111">
        <v>27.39</v>
      </c>
      <c r="D65" s="97">
        <f t="shared" si="12"/>
        <v>11503.800000000001</v>
      </c>
      <c r="E65" s="104">
        <f t="shared" ref="E65:AI65" si="15">E34*$C65</f>
        <v>0</v>
      </c>
      <c r="F65" s="104">
        <f t="shared" si="15"/>
        <v>0</v>
      </c>
      <c r="G65" s="104">
        <f t="shared" si="15"/>
        <v>0</v>
      </c>
      <c r="H65" s="104">
        <f t="shared" si="15"/>
        <v>5478</v>
      </c>
      <c r="I65" s="104">
        <f t="shared" si="15"/>
        <v>2739</v>
      </c>
      <c r="J65" s="104">
        <f t="shared" si="15"/>
        <v>0</v>
      </c>
      <c r="K65" s="104">
        <f t="shared" si="15"/>
        <v>0</v>
      </c>
      <c r="L65" s="104">
        <f t="shared" si="15"/>
        <v>0</v>
      </c>
      <c r="M65" s="104">
        <f t="shared" si="15"/>
        <v>0</v>
      </c>
      <c r="N65" s="104">
        <f t="shared" si="15"/>
        <v>0</v>
      </c>
      <c r="O65" s="104">
        <f t="shared" si="15"/>
        <v>0</v>
      </c>
      <c r="P65" s="104">
        <f t="shared" si="15"/>
        <v>0</v>
      </c>
      <c r="Q65" s="104">
        <f t="shared" si="15"/>
        <v>0</v>
      </c>
      <c r="R65" s="105">
        <f t="shared" si="15"/>
        <v>0</v>
      </c>
      <c r="S65" s="104">
        <f t="shared" si="15"/>
        <v>0</v>
      </c>
      <c r="T65" s="106">
        <f t="shared" si="15"/>
        <v>0</v>
      </c>
      <c r="U65" s="104">
        <f t="shared" si="15"/>
        <v>0</v>
      </c>
      <c r="V65" s="104">
        <f t="shared" si="15"/>
        <v>0</v>
      </c>
      <c r="W65" s="104">
        <f t="shared" si="15"/>
        <v>0</v>
      </c>
      <c r="X65" s="105">
        <f t="shared" si="15"/>
        <v>0</v>
      </c>
      <c r="Y65" s="104">
        <f t="shared" si="15"/>
        <v>3286.8</v>
      </c>
      <c r="Z65" s="104">
        <f t="shared" si="15"/>
        <v>0</v>
      </c>
      <c r="AA65" s="104">
        <f t="shared" si="15"/>
        <v>0</v>
      </c>
      <c r="AB65" s="104">
        <f t="shared" si="15"/>
        <v>0</v>
      </c>
      <c r="AC65" s="104">
        <f t="shared" si="15"/>
        <v>0</v>
      </c>
      <c r="AD65" s="104">
        <f t="shared" si="15"/>
        <v>0</v>
      </c>
      <c r="AE65" s="104">
        <f t="shared" si="15"/>
        <v>0</v>
      </c>
      <c r="AF65" s="104">
        <f t="shared" si="15"/>
        <v>0</v>
      </c>
      <c r="AG65" s="104">
        <f t="shared" si="15"/>
        <v>0</v>
      </c>
      <c r="AH65" s="104">
        <f t="shared" si="15"/>
        <v>0</v>
      </c>
      <c r="AI65" s="104">
        <f t="shared" si="15"/>
        <v>0</v>
      </c>
    </row>
    <row r="66" spans="2:35">
      <c r="B66" s="96" t="s">
        <v>57</v>
      </c>
      <c r="C66" s="111">
        <v>24</v>
      </c>
      <c r="D66" s="97">
        <f t="shared" si="12"/>
        <v>0</v>
      </c>
      <c r="E66" s="104">
        <f t="shared" ref="E66:AI66" si="16">E35*$C66</f>
        <v>0</v>
      </c>
      <c r="F66" s="104">
        <f t="shared" si="16"/>
        <v>0</v>
      </c>
      <c r="G66" s="104">
        <f t="shared" si="16"/>
        <v>0</v>
      </c>
      <c r="H66" s="104">
        <f t="shared" si="16"/>
        <v>0</v>
      </c>
      <c r="I66" s="104">
        <f t="shared" si="16"/>
        <v>0</v>
      </c>
      <c r="J66" s="104">
        <f t="shared" si="16"/>
        <v>0</v>
      </c>
      <c r="K66" s="104">
        <f t="shared" si="16"/>
        <v>0</v>
      </c>
      <c r="L66" s="104">
        <f t="shared" si="16"/>
        <v>0</v>
      </c>
      <c r="M66" s="104">
        <f t="shared" si="16"/>
        <v>0</v>
      </c>
      <c r="N66" s="104">
        <f t="shared" si="16"/>
        <v>0</v>
      </c>
      <c r="O66" s="104">
        <f t="shared" si="16"/>
        <v>0</v>
      </c>
      <c r="P66" s="104">
        <f t="shared" si="16"/>
        <v>0</v>
      </c>
      <c r="Q66" s="104">
        <f t="shared" si="16"/>
        <v>0</v>
      </c>
      <c r="R66" s="105">
        <f t="shared" si="16"/>
        <v>0</v>
      </c>
      <c r="S66" s="104">
        <f t="shared" si="16"/>
        <v>0</v>
      </c>
      <c r="T66" s="106">
        <f t="shared" si="16"/>
        <v>0</v>
      </c>
      <c r="U66" s="104">
        <f t="shared" si="16"/>
        <v>0</v>
      </c>
      <c r="V66" s="104">
        <f t="shared" si="16"/>
        <v>0</v>
      </c>
      <c r="W66" s="104">
        <f t="shared" si="16"/>
        <v>0</v>
      </c>
      <c r="X66" s="105">
        <f t="shared" si="16"/>
        <v>0</v>
      </c>
      <c r="Y66" s="104">
        <f t="shared" si="16"/>
        <v>0</v>
      </c>
      <c r="Z66" s="104">
        <f t="shared" si="16"/>
        <v>0</v>
      </c>
      <c r="AA66" s="104">
        <f t="shared" si="16"/>
        <v>0</v>
      </c>
      <c r="AB66" s="104">
        <f t="shared" si="16"/>
        <v>0</v>
      </c>
      <c r="AC66" s="104">
        <f t="shared" si="16"/>
        <v>0</v>
      </c>
      <c r="AD66" s="104">
        <f t="shared" si="16"/>
        <v>0</v>
      </c>
      <c r="AE66" s="104">
        <f t="shared" si="16"/>
        <v>0</v>
      </c>
      <c r="AF66" s="104">
        <f t="shared" si="16"/>
        <v>0</v>
      </c>
      <c r="AG66" s="104">
        <f t="shared" si="16"/>
        <v>0</v>
      </c>
      <c r="AH66" s="104">
        <f t="shared" si="16"/>
        <v>0</v>
      </c>
      <c r="AI66" s="104">
        <f t="shared" si="16"/>
        <v>0</v>
      </c>
    </row>
    <row r="67" spans="2:35">
      <c r="B67" s="96" t="s">
        <v>58</v>
      </c>
      <c r="C67" s="111">
        <v>35</v>
      </c>
      <c r="D67" s="97">
        <f t="shared" si="12"/>
        <v>0</v>
      </c>
      <c r="E67" s="104">
        <f t="shared" ref="E67:AI67" si="17">E36*$C67</f>
        <v>0</v>
      </c>
      <c r="F67" s="104">
        <f t="shared" si="17"/>
        <v>0</v>
      </c>
      <c r="G67" s="104">
        <f t="shared" si="17"/>
        <v>0</v>
      </c>
      <c r="H67" s="104">
        <f t="shared" si="17"/>
        <v>0</v>
      </c>
      <c r="I67" s="104">
        <f t="shared" si="17"/>
        <v>0</v>
      </c>
      <c r="J67" s="104">
        <f t="shared" si="17"/>
        <v>0</v>
      </c>
      <c r="K67" s="104">
        <f t="shared" si="17"/>
        <v>0</v>
      </c>
      <c r="L67" s="104">
        <f t="shared" si="17"/>
        <v>0</v>
      </c>
      <c r="M67" s="104">
        <f t="shared" si="17"/>
        <v>0</v>
      </c>
      <c r="N67" s="104">
        <f t="shared" si="17"/>
        <v>0</v>
      </c>
      <c r="O67" s="104">
        <f t="shared" si="17"/>
        <v>0</v>
      </c>
      <c r="P67" s="104">
        <f t="shared" si="17"/>
        <v>0</v>
      </c>
      <c r="Q67" s="104">
        <f t="shared" si="17"/>
        <v>0</v>
      </c>
      <c r="R67" s="105">
        <f t="shared" si="17"/>
        <v>0</v>
      </c>
      <c r="S67" s="104">
        <f t="shared" si="17"/>
        <v>0</v>
      </c>
      <c r="T67" s="106">
        <f t="shared" si="17"/>
        <v>0</v>
      </c>
      <c r="U67" s="104">
        <f t="shared" si="17"/>
        <v>0</v>
      </c>
      <c r="V67" s="104">
        <f t="shared" si="17"/>
        <v>0</v>
      </c>
      <c r="W67" s="104">
        <f t="shared" si="17"/>
        <v>0</v>
      </c>
      <c r="X67" s="105">
        <f t="shared" si="17"/>
        <v>0</v>
      </c>
      <c r="Y67" s="104">
        <f t="shared" si="17"/>
        <v>0</v>
      </c>
      <c r="Z67" s="104">
        <f t="shared" si="17"/>
        <v>0</v>
      </c>
      <c r="AA67" s="104">
        <f t="shared" si="17"/>
        <v>0</v>
      </c>
      <c r="AB67" s="104">
        <f t="shared" si="17"/>
        <v>0</v>
      </c>
      <c r="AC67" s="104">
        <f t="shared" si="17"/>
        <v>0</v>
      </c>
      <c r="AD67" s="104">
        <f t="shared" si="17"/>
        <v>0</v>
      </c>
      <c r="AE67" s="104">
        <f t="shared" si="17"/>
        <v>0</v>
      </c>
      <c r="AF67" s="104">
        <f t="shared" si="17"/>
        <v>0</v>
      </c>
      <c r="AG67" s="104">
        <f t="shared" si="17"/>
        <v>0</v>
      </c>
      <c r="AH67" s="104">
        <f t="shared" si="17"/>
        <v>0</v>
      </c>
      <c r="AI67" s="104">
        <f t="shared" si="17"/>
        <v>0</v>
      </c>
    </row>
    <row r="68" spans="2:35">
      <c r="B68" s="96" t="s">
        <v>59</v>
      </c>
      <c r="C68" s="112">
        <v>10</v>
      </c>
      <c r="D68" s="97">
        <f t="shared" si="12"/>
        <v>13820</v>
      </c>
      <c r="E68" s="104">
        <f t="shared" ref="E68:AI68" si="18">E37*$C68</f>
        <v>220</v>
      </c>
      <c r="F68" s="104">
        <f t="shared" si="18"/>
        <v>1000</v>
      </c>
      <c r="G68" s="104">
        <f t="shared" si="18"/>
        <v>0</v>
      </c>
      <c r="H68" s="104">
        <f t="shared" si="18"/>
        <v>450</v>
      </c>
      <c r="I68" s="104">
        <f t="shared" si="18"/>
        <v>0</v>
      </c>
      <c r="J68" s="104">
        <f t="shared" si="18"/>
        <v>0</v>
      </c>
      <c r="K68" s="104">
        <f t="shared" si="18"/>
        <v>450</v>
      </c>
      <c r="L68" s="104">
        <f t="shared" si="18"/>
        <v>950</v>
      </c>
      <c r="M68" s="104">
        <f t="shared" si="18"/>
        <v>0</v>
      </c>
      <c r="N68" s="104">
        <f t="shared" si="18"/>
        <v>0</v>
      </c>
      <c r="O68" s="104">
        <f t="shared" si="18"/>
        <v>900</v>
      </c>
      <c r="P68" s="104">
        <f t="shared" si="18"/>
        <v>0</v>
      </c>
      <c r="Q68" s="104">
        <f t="shared" si="18"/>
        <v>1200</v>
      </c>
      <c r="R68" s="105">
        <f t="shared" si="18"/>
        <v>800</v>
      </c>
      <c r="S68" s="104">
        <f t="shared" si="18"/>
        <v>1000</v>
      </c>
      <c r="T68" s="106">
        <f t="shared" si="18"/>
        <v>1000</v>
      </c>
      <c r="U68" s="104">
        <f t="shared" si="18"/>
        <v>0</v>
      </c>
      <c r="V68" s="104">
        <f t="shared" si="18"/>
        <v>0</v>
      </c>
      <c r="W68" s="104">
        <f t="shared" si="18"/>
        <v>0</v>
      </c>
      <c r="X68" s="105">
        <f t="shared" si="18"/>
        <v>450</v>
      </c>
      <c r="Y68" s="104">
        <f t="shared" si="18"/>
        <v>0</v>
      </c>
      <c r="Z68" s="104">
        <f t="shared" si="18"/>
        <v>300</v>
      </c>
      <c r="AA68" s="104">
        <f t="shared" si="18"/>
        <v>200</v>
      </c>
      <c r="AB68" s="104">
        <f t="shared" si="18"/>
        <v>0</v>
      </c>
      <c r="AC68" s="104">
        <f t="shared" si="18"/>
        <v>0</v>
      </c>
      <c r="AD68" s="104">
        <f t="shared" si="18"/>
        <v>700</v>
      </c>
      <c r="AE68" s="104">
        <f t="shared" si="18"/>
        <v>0</v>
      </c>
      <c r="AF68" s="104">
        <f t="shared" si="18"/>
        <v>1000</v>
      </c>
      <c r="AG68" s="104">
        <f t="shared" si="18"/>
        <v>500</v>
      </c>
      <c r="AH68" s="104">
        <f t="shared" si="18"/>
        <v>2700</v>
      </c>
      <c r="AI68" s="104">
        <f t="shared" si="18"/>
        <v>0</v>
      </c>
    </row>
    <row r="69" spans="2:35">
      <c r="B69" s="35" t="s">
        <v>85</v>
      </c>
      <c r="C69" s="113">
        <v>2.2000000000000002</v>
      </c>
      <c r="D69" s="98">
        <f t="shared" ref="D69:AI69" si="19">D47*C69</f>
        <v>807400.00000000012</v>
      </c>
      <c r="E69" s="107">
        <f t="shared" si="19"/>
        <v>0</v>
      </c>
      <c r="F69" s="107">
        <f t="shared" si="19"/>
        <v>0</v>
      </c>
      <c r="G69" s="107">
        <f t="shared" si="19"/>
        <v>0</v>
      </c>
      <c r="H69" s="107">
        <f t="shared" si="19"/>
        <v>0</v>
      </c>
      <c r="I69" s="107">
        <f t="shared" si="19"/>
        <v>0</v>
      </c>
      <c r="J69" s="107">
        <f t="shared" si="19"/>
        <v>0</v>
      </c>
      <c r="K69" s="107">
        <f t="shared" si="19"/>
        <v>0</v>
      </c>
      <c r="L69" s="107">
        <f t="shared" si="19"/>
        <v>0</v>
      </c>
      <c r="M69" s="107">
        <f t="shared" si="19"/>
        <v>0</v>
      </c>
      <c r="N69" s="107">
        <f t="shared" si="19"/>
        <v>0</v>
      </c>
      <c r="O69" s="107">
        <f t="shared" si="19"/>
        <v>0</v>
      </c>
      <c r="P69" s="107">
        <f t="shared" si="19"/>
        <v>0</v>
      </c>
      <c r="Q69" s="107">
        <f t="shared" si="19"/>
        <v>0</v>
      </c>
      <c r="R69" s="107">
        <f t="shared" si="19"/>
        <v>0</v>
      </c>
      <c r="S69" s="107">
        <f t="shared" si="19"/>
        <v>0</v>
      </c>
      <c r="T69" s="107">
        <f t="shared" si="19"/>
        <v>0</v>
      </c>
      <c r="U69" s="107">
        <f t="shared" si="19"/>
        <v>0</v>
      </c>
      <c r="V69" s="107">
        <f t="shared" si="19"/>
        <v>0</v>
      </c>
      <c r="W69" s="107">
        <f t="shared" si="19"/>
        <v>0</v>
      </c>
      <c r="X69" s="107">
        <f t="shared" si="19"/>
        <v>0</v>
      </c>
      <c r="Y69" s="107">
        <f t="shared" si="19"/>
        <v>0</v>
      </c>
      <c r="Z69" s="107">
        <f t="shared" si="19"/>
        <v>0</v>
      </c>
      <c r="AA69" s="107">
        <f t="shared" si="19"/>
        <v>0</v>
      </c>
      <c r="AB69" s="107">
        <f t="shared" si="19"/>
        <v>0</v>
      </c>
      <c r="AC69" s="107">
        <f t="shared" si="19"/>
        <v>0</v>
      </c>
      <c r="AD69" s="107">
        <f t="shared" si="19"/>
        <v>0</v>
      </c>
      <c r="AE69" s="107">
        <f t="shared" si="19"/>
        <v>0</v>
      </c>
      <c r="AF69" s="107">
        <f t="shared" si="19"/>
        <v>0</v>
      </c>
      <c r="AG69" s="107">
        <f t="shared" si="19"/>
        <v>0</v>
      </c>
      <c r="AH69" s="107">
        <f t="shared" si="19"/>
        <v>0</v>
      </c>
      <c r="AI69" s="107">
        <f t="shared" si="19"/>
        <v>0</v>
      </c>
    </row>
    <row r="70" spans="2:35">
      <c r="X70" s="10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2:35">
      <c r="B71" s="318" t="s">
        <v>86</v>
      </c>
      <c r="C71" s="319"/>
      <c r="D71" s="108">
        <f>AVERAGEIF(E56:Y56, "&gt;0")</f>
        <v>843721.92550000013</v>
      </c>
      <c r="E71" s="11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2:35"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5">
      <c r="B73" s="12" t="s">
        <v>87</v>
      </c>
      <c r="C73" s="13">
        <v>0.31</v>
      </c>
      <c r="D73" s="14">
        <f>SUM(E73:AI73)</f>
        <v>6559912.1197800012</v>
      </c>
      <c r="E73" s="15">
        <f>(E56*0.81)*0.31</f>
        <v>134624.42757000003</v>
      </c>
      <c r="F73" s="15">
        <f t="shared" ref="F73:AI73" si="20">(F56*0.81)*$C$73</f>
        <v>267716.94174900005</v>
      </c>
      <c r="G73" s="15">
        <f t="shared" si="20"/>
        <v>243043.29579600002</v>
      </c>
      <c r="H73" s="15">
        <f t="shared" si="20"/>
        <v>320754.52982700005</v>
      </c>
      <c r="I73" s="15">
        <f t="shared" si="20"/>
        <v>213931.40461200001</v>
      </c>
      <c r="J73" s="15">
        <f t="shared" si="20"/>
        <v>193774.26171600001</v>
      </c>
      <c r="K73" s="15">
        <f t="shared" si="20"/>
        <v>153567.60240599999</v>
      </c>
      <c r="L73" s="15">
        <f t="shared" si="20"/>
        <v>303653.97198900004</v>
      </c>
      <c r="M73" s="15">
        <f t="shared" si="20"/>
        <v>126041.58349199999</v>
      </c>
      <c r="N73" s="15">
        <f t="shared" si="20"/>
        <v>244681.75844999999</v>
      </c>
      <c r="O73" s="15">
        <f t="shared" si="20"/>
        <v>196164.81909</v>
      </c>
      <c r="P73" s="15">
        <f t="shared" si="20"/>
        <v>241588.53790200001</v>
      </c>
      <c r="Q73" s="15">
        <f t="shared" si="20"/>
        <v>315237.12710400001</v>
      </c>
      <c r="R73" s="15">
        <f t="shared" si="20"/>
        <v>172028.14295400001</v>
      </c>
      <c r="S73" s="15">
        <f t="shared" si="20"/>
        <v>127107.636075</v>
      </c>
      <c r="T73" s="15">
        <f t="shared" si="20"/>
        <v>237989.61702000001</v>
      </c>
      <c r="U73" s="15">
        <f t="shared" si="20"/>
        <v>300405.64948200004</v>
      </c>
      <c r="V73" s="15">
        <f t="shared" si="20"/>
        <v>0</v>
      </c>
      <c r="W73" s="15">
        <f t="shared" si="20"/>
        <v>231067.97019000002</v>
      </c>
      <c r="X73" s="15">
        <f t="shared" si="20"/>
        <v>160649.04676500001</v>
      </c>
      <c r="Y73" s="14">
        <f t="shared" si="20"/>
        <v>53143.185671999992</v>
      </c>
      <c r="Z73" s="14">
        <f t="shared" si="20"/>
        <v>310867.15094099997</v>
      </c>
      <c r="AA73" s="14">
        <f t="shared" si="20"/>
        <v>263862.89071200002</v>
      </c>
      <c r="AB73" s="14">
        <f t="shared" si="20"/>
        <v>251588.20368599999</v>
      </c>
      <c r="AC73" s="14">
        <f t="shared" si="20"/>
        <v>217959.380064</v>
      </c>
      <c r="AD73" s="14">
        <f t="shared" si="20"/>
        <v>359048.565459</v>
      </c>
      <c r="AE73" s="14">
        <f t="shared" si="20"/>
        <v>293831.79875100002</v>
      </c>
      <c r="AF73" s="14">
        <f t="shared" si="20"/>
        <v>176954.00178600001</v>
      </c>
      <c r="AG73" s="14">
        <f t="shared" si="20"/>
        <v>200321.77707899999</v>
      </c>
      <c r="AH73" s="14">
        <f t="shared" si="20"/>
        <v>248306.84144100003</v>
      </c>
      <c r="AI73" s="14">
        <f t="shared" si="20"/>
        <v>0</v>
      </c>
    </row>
    <row r="74" spans="2:35">
      <c r="B74" s="16" t="s">
        <v>88</v>
      </c>
      <c r="C74" s="17">
        <f>11000000/280</f>
        <v>39285.714285714283</v>
      </c>
      <c r="D74" s="18">
        <f>SUM(E74:AI74)</f>
        <v>1217857.1428571432</v>
      </c>
      <c r="E74" s="19">
        <f t="shared" ref="E74:AI74" si="21">$C$74</f>
        <v>39285.714285714283</v>
      </c>
      <c r="F74" s="19">
        <f t="shared" si="21"/>
        <v>39285.714285714283</v>
      </c>
      <c r="G74" s="19">
        <f t="shared" si="21"/>
        <v>39285.714285714283</v>
      </c>
      <c r="H74" s="19">
        <f t="shared" si="21"/>
        <v>39285.714285714283</v>
      </c>
      <c r="I74" s="19">
        <f t="shared" si="21"/>
        <v>39285.714285714283</v>
      </c>
      <c r="J74" s="19">
        <f t="shared" si="21"/>
        <v>39285.714285714283</v>
      </c>
      <c r="K74" s="19">
        <f t="shared" si="21"/>
        <v>39285.714285714283</v>
      </c>
      <c r="L74" s="19">
        <f t="shared" si="21"/>
        <v>39285.714285714283</v>
      </c>
      <c r="M74" s="19">
        <f t="shared" si="21"/>
        <v>39285.714285714283</v>
      </c>
      <c r="N74" s="19">
        <f t="shared" si="21"/>
        <v>39285.714285714283</v>
      </c>
      <c r="O74" s="19">
        <f t="shared" si="21"/>
        <v>39285.714285714283</v>
      </c>
      <c r="P74" s="19">
        <f t="shared" si="21"/>
        <v>39285.714285714283</v>
      </c>
      <c r="Q74" s="19">
        <f t="shared" si="21"/>
        <v>39285.714285714283</v>
      </c>
      <c r="R74" s="19">
        <f t="shared" si="21"/>
        <v>39285.714285714283</v>
      </c>
      <c r="S74" s="19">
        <f t="shared" si="21"/>
        <v>39285.714285714283</v>
      </c>
      <c r="T74" s="19">
        <f t="shared" si="21"/>
        <v>39285.714285714283</v>
      </c>
      <c r="U74" s="19">
        <f t="shared" si="21"/>
        <v>39285.714285714283</v>
      </c>
      <c r="V74" s="19">
        <f t="shared" si="21"/>
        <v>39285.714285714283</v>
      </c>
      <c r="W74" s="19">
        <f t="shared" si="21"/>
        <v>39285.714285714283</v>
      </c>
      <c r="X74" s="19">
        <f t="shared" si="21"/>
        <v>39285.714285714283</v>
      </c>
      <c r="Y74" s="18">
        <f t="shared" si="21"/>
        <v>39285.714285714283</v>
      </c>
      <c r="Z74" s="18">
        <f t="shared" si="21"/>
        <v>39285.714285714283</v>
      </c>
      <c r="AA74" s="18">
        <f t="shared" si="21"/>
        <v>39285.714285714283</v>
      </c>
      <c r="AB74" s="18">
        <f t="shared" si="21"/>
        <v>39285.714285714283</v>
      </c>
      <c r="AC74" s="18">
        <f t="shared" si="21"/>
        <v>39285.714285714283</v>
      </c>
      <c r="AD74" s="18">
        <f t="shared" si="21"/>
        <v>39285.714285714283</v>
      </c>
      <c r="AE74" s="18">
        <f t="shared" si="21"/>
        <v>39285.714285714283</v>
      </c>
      <c r="AF74" s="18">
        <f t="shared" si="21"/>
        <v>39285.714285714283</v>
      </c>
      <c r="AG74" s="18">
        <f t="shared" si="21"/>
        <v>39285.714285714283</v>
      </c>
      <c r="AH74" s="18">
        <f t="shared" si="21"/>
        <v>39285.714285714283</v>
      </c>
      <c r="AI74" s="18">
        <f t="shared" si="21"/>
        <v>39285.714285714283</v>
      </c>
    </row>
    <row r="75" spans="2:35">
      <c r="B75" s="16" t="s">
        <v>89</v>
      </c>
      <c r="C75" s="17">
        <f>12900000/280</f>
        <v>46071.428571428572</v>
      </c>
      <c r="D75" s="18">
        <f t="shared" ref="D75:D76" si="22">SUM(E75:AI75)</f>
        <v>1428214.2857142857</v>
      </c>
      <c r="E75" s="19">
        <f t="shared" ref="E75:AI75" si="23">$C$75</f>
        <v>46071.428571428572</v>
      </c>
      <c r="F75" s="19">
        <f t="shared" si="23"/>
        <v>46071.428571428572</v>
      </c>
      <c r="G75" s="19">
        <f t="shared" si="23"/>
        <v>46071.428571428572</v>
      </c>
      <c r="H75" s="19">
        <f t="shared" si="23"/>
        <v>46071.428571428572</v>
      </c>
      <c r="I75" s="19">
        <f t="shared" si="23"/>
        <v>46071.428571428572</v>
      </c>
      <c r="J75" s="19">
        <f t="shared" si="23"/>
        <v>46071.428571428572</v>
      </c>
      <c r="K75" s="19">
        <f t="shared" si="23"/>
        <v>46071.428571428572</v>
      </c>
      <c r="L75" s="19">
        <f t="shared" si="23"/>
        <v>46071.428571428572</v>
      </c>
      <c r="M75" s="19">
        <f t="shared" si="23"/>
        <v>46071.428571428572</v>
      </c>
      <c r="N75" s="19">
        <f t="shared" si="23"/>
        <v>46071.428571428572</v>
      </c>
      <c r="O75" s="19">
        <f t="shared" si="23"/>
        <v>46071.428571428572</v>
      </c>
      <c r="P75" s="19">
        <f t="shared" si="23"/>
        <v>46071.428571428572</v>
      </c>
      <c r="Q75" s="19">
        <f t="shared" si="23"/>
        <v>46071.428571428572</v>
      </c>
      <c r="R75" s="19">
        <f t="shared" si="23"/>
        <v>46071.428571428572</v>
      </c>
      <c r="S75" s="19">
        <f t="shared" si="23"/>
        <v>46071.428571428572</v>
      </c>
      <c r="T75" s="19">
        <f t="shared" si="23"/>
        <v>46071.428571428572</v>
      </c>
      <c r="U75" s="19">
        <f t="shared" si="23"/>
        <v>46071.428571428572</v>
      </c>
      <c r="V75" s="19">
        <f t="shared" si="23"/>
        <v>46071.428571428572</v>
      </c>
      <c r="W75" s="19">
        <f t="shared" si="23"/>
        <v>46071.428571428572</v>
      </c>
      <c r="X75" s="19">
        <f t="shared" si="23"/>
        <v>46071.428571428572</v>
      </c>
      <c r="Y75" s="18">
        <f t="shared" si="23"/>
        <v>46071.428571428572</v>
      </c>
      <c r="Z75" s="18">
        <f t="shared" si="23"/>
        <v>46071.428571428572</v>
      </c>
      <c r="AA75" s="18">
        <f t="shared" si="23"/>
        <v>46071.428571428572</v>
      </c>
      <c r="AB75" s="18">
        <f t="shared" si="23"/>
        <v>46071.428571428572</v>
      </c>
      <c r="AC75" s="18">
        <f t="shared" si="23"/>
        <v>46071.428571428572</v>
      </c>
      <c r="AD75" s="18">
        <f t="shared" si="23"/>
        <v>46071.428571428572</v>
      </c>
      <c r="AE75" s="18">
        <f t="shared" si="23"/>
        <v>46071.428571428572</v>
      </c>
      <c r="AF75" s="18">
        <f t="shared" si="23"/>
        <v>46071.428571428572</v>
      </c>
      <c r="AG75" s="18">
        <f t="shared" si="23"/>
        <v>46071.428571428572</v>
      </c>
      <c r="AH75" s="18">
        <f t="shared" si="23"/>
        <v>46071.428571428572</v>
      </c>
      <c r="AI75" s="18">
        <f t="shared" si="23"/>
        <v>46071.428571428572</v>
      </c>
    </row>
    <row r="76" spans="2:35">
      <c r="B76" s="20" t="s">
        <v>90</v>
      </c>
      <c r="C76" s="21">
        <v>10</v>
      </c>
      <c r="D76" s="18">
        <f t="shared" si="22"/>
        <v>3680000</v>
      </c>
      <c r="E76" s="22">
        <f t="shared" ref="E76:AI76" si="24">$C$76*E39</f>
        <v>100000</v>
      </c>
      <c r="F76" s="22">
        <f t="shared" si="24"/>
        <v>120000</v>
      </c>
      <c r="G76" s="22">
        <f t="shared" si="24"/>
        <v>120000</v>
      </c>
      <c r="H76" s="22">
        <f t="shared" si="24"/>
        <v>110000</v>
      </c>
      <c r="I76" s="22">
        <f t="shared" si="24"/>
        <v>100000</v>
      </c>
      <c r="J76" s="22">
        <f t="shared" si="24"/>
        <v>100000</v>
      </c>
      <c r="K76" s="22">
        <f t="shared" si="24"/>
        <v>120000</v>
      </c>
      <c r="L76" s="22">
        <f t="shared" si="24"/>
        <v>120000</v>
      </c>
      <c r="M76" s="22">
        <f t="shared" si="24"/>
        <v>130000</v>
      </c>
      <c r="N76" s="22">
        <f t="shared" si="24"/>
        <v>120000</v>
      </c>
      <c r="O76" s="22">
        <f t="shared" si="24"/>
        <v>120000</v>
      </c>
      <c r="P76" s="22">
        <f t="shared" si="24"/>
        <v>100000</v>
      </c>
      <c r="Q76" s="22">
        <f t="shared" si="24"/>
        <v>130000</v>
      </c>
      <c r="R76" s="22">
        <f t="shared" si="24"/>
        <v>130000</v>
      </c>
      <c r="S76" s="22">
        <f t="shared" si="24"/>
        <v>130000</v>
      </c>
      <c r="T76" s="22">
        <f t="shared" si="24"/>
        <v>130000</v>
      </c>
      <c r="U76" s="22">
        <f t="shared" si="24"/>
        <v>130000</v>
      </c>
      <c r="V76" s="22">
        <f t="shared" si="24"/>
        <v>80000</v>
      </c>
      <c r="W76" s="22">
        <f t="shared" si="24"/>
        <v>130000</v>
      </c>
      <c r="X76" s="22">
        <f t="shared" si="24"/>
        <v>110000</v>
      </c>
      <c r="Y76" s="23">
        <f t="shared" si="24"/>
        <v>70000</v>
      </c>
      <c r="Z76" s="23">
        <f t="shared" si="24"/>
        <v>120000</v>
      </c>
      <c r="AA76" s="23">
        <f t="shared" si="24"/>
        <v>140000</v>
      </c>
      <c r="AB76" s="23">
        <f t="shared" si="24"/>
        <v>120000</v>
      </c>
      <c r="AC76" s="23">
        <f t="shared" si="24"/>
        <v>130000</v>
      </c>
      <c r="AD76" s="23">
        <f t="shared" si="24"/>
        <v>130000</v>
      </c>
      <c r="AE76" s="23">
        <f t="shared" si="24"/>
        <v>140000</v>
      </c>
      <c r="AF76" s="23">
        <f t="shared" si="24"/>
        <v>140000</v>
      </c>
      <c r="AG76" s="23">
        <f t="shared" si="24"/>
        <v>150000</v>
      </c>
      <c r="AH76" s="23">
        <f t="shared" si="24"/>
        <v>140000</v>
      </c>
      <c r="AI76" s="23">
        <f t="shared" si="24"/>
        <v>70000</v>
      </c>
    </row>
    <row r="77" spans="2:35">
      <c r="B77" s="24" t="s">
        <v>91</v>
      </c>
      <c r="C77" s="25">
        <f>SUM(E77:AI77)</f>
        <v>13238716.251648571</v>
      </c>
      <c r="D77" s="26">
        <f t="shared" ref="D77:AI77" si="25">D56-D73-D74-D75-D76</f>
        <v>14046116.251648571</v>
      </c>
      <c r="E77" s="27">
        <f t="shared" si="25"/>
        <v>216157.12957285717</v>
      </c>
      <c r="F77" s="27">
        <f t="shared" si="25"/>
        <v>593102.50539385725</v>
      </c>
      <c r="G77" s="27">
        <f t="shared" si="25"/>
        <v>519513.9213468571</v>
      </c>
      <c r="H77" s="27">
        <f t="shared" si="25"/>
        <v>761285.89731585712</v>
      </c>
      <c r="I77" s="27">
        <f t="shared" si="25"/>
        <v>452688.37253085722</v>
      </c>
      <c r="J77" s="27">
        <f t="shared" si="25"/>
        <v>392570.15542685712</v>
      </c>
      <c r="K77" s="27">
        <f t="shared" si="25"/>
        <v>252654.7147368571</v>
      </c>
      <c r="L77" s="27">
        <f t="shared" si="25"/>
        <v>700283.87515385717</v>
      </c>
      <c r="M77" s="27">
        <f t="shared" si="25"/>
        <v>160558.99365085713</v>
      </c>
      <c r="N77" s="27">
        <f t="shared" si="25"/>
        <v>524400.59869285708</v>
      </c>
      <c r="O77" s="27">
        <f t="shared" si="25"/>
        <v>379699.93805285712</v>
      </c>
      <c r="P77" s="27">
        <f t="shared" si="25"/>
        <v>535175.13924085721</v>
      </c>
      <c r="Q77" s="27">
        <f t="shared" si="25"/>
        <v>724830.3700388571</v>
      </c>
      <c r="R77" s="27">
        <f t="shared" si="25"/>
        <v>297712.85418885713</v>
      </c>
      <c r="S77" s="27">
        <f t="shared" si="25"/>
        <v>163738.47106785717</v>
      </c>
      <c r="T77" s="27">
        <f t="shared" si="25"/>
        <v>494441.44012285711</v>
      </c>
      <c r="U77" s="27">
        <f t="shared" si="25"/>
        <v>680595.82766085723</v>
      </c>
      <c r="V77" s="27">
        <f t="shared" si="25"/>
        <v>-165357.14285714284</v>
      </c>
      <c r="W77" s="27">
        <f t="shared" si="25"/>
        <v>473797.78695285716</v>
      </c>
      <c r="X77" s="27">
        <f t="shared" si="25"/>
        <v>283774.96037785721</v>
      </c>
      <c r="Y77" s="26">
        <f t="shared" si="25"/>
        <v>3141.1914708570985</v>
      </c>
      <c r="Z77" s="26">
        <f t="shared" si="25"/>
        <v>721797.01620185701</v>
      </c>
      <c r="AA77" s="26">
        <f t="shared" si="25"/>
        <v>561607.88643085712</v>
      </c>
      <c r="AB77" s="26">
        <f t="shared" si="25"/>
        <v>544998.9134568572</v>
      </c>
      <c r="AC77" s="26">
        <f t="shared" si="25"/>
        <v>434701.71707885712</v>
      </c>
      <c r="AD77" s="26">
        <f t="shared" si="25"/>
        <v>855496.98168385716</v>
      </c>
      <c r="AE77" s="26">
        <f t="shared" si="25"/>
        <v>650989.46839185699</v>
      </c>
      <c r="AF77" s="26">
        <f t="shared" si="25"/>
        <v>302404.11535685719</v>
      </c>
      <c r="AG77" s="26">
        <f t="shared" si="25"/>
        <v>362097.97006385698</v>
      </c>
      <c r="AH77" s="26">
        <f t="shared" si="25"/>
        <v>515212.3257018571</v>
      </c>
      <c r="AI77" s="26">
        <f t="shared" si="25"/>
        <v>-155357.14285714284</v>
      </c>
    </row>
    <row r="78" spans="2:35">
      <c r="B78" s="320" t="s">
        <v>92</v>
      </c>
      <c r="C78" s="321"/>
      <c r="D78" s="322"/>
      <c r="E78" s="28">
        <f>E77</f>
        <v>216157.12957285717</v>
      </c>
      <c r="F78" s="28">
        <f t="shared" ref="F78:AI78" si="26">F77+E78</f>
        <v>809259.63496671442</v>
      </c>
      <c r="G78" s="28">
        <f t="shared" si="26"/>
        <v>1328773.5563135715</v>
      </c>
      <c r="H78" s="28">
        <f t="shared" si="26"/>
        <v>2090059.4536294285</v>
      </c>
      <c r="I78" s="28">
        <f t="shared" si="26"/>
        <v>2542747.8261602856</v>
      </c>
      <c r="J78" s="28">
        <f t="shared" si="26"/>
        <v>2935317.9815871427</v>
      </c>
      <c r="K78" s="28">
        <f t="shared" si="26"/>
        <v>3187972.6963239997</v>
      </c>
      <c r="L78" s="28">
        <f t="shared" si="26"/>
        <v>3888256.571477857</v>
      </c>
      <c r="M78" s="28">
        <f t="shared" si="26"/>
        <v>4048815.5651287138</v>
      </c>
      <c r="N78" s="28">
        <f t="shared" si="26"/>
        <v>4573216.1638215706</v>
      </c>
      <c r="O78" s="28">
        <f t="shared" si="26"/>
        <v>4952916.1018744279</v>
      </c>
      <c r="P78" s="28">
        <f t="shared" si="26"/>
        <v>5488091.2411152851</v>
      </c>
      <c r="Q78" s="28">
        <f t="shared" si="26"/>
        <v>6212921.6111541418</v>
      </c>
      <c r="R78" s="28">
        <f t="shared" si="26"/>
        <v>6510634.4653429985</v>
      </c>
      <c r="S78" s="28">
        <f t="shared" si="26"/>
        <v>6674372.9364108555</v>
      </c>
      <c r="T78" s="28">
        <f t="shared" si="26"/>
        <v>7168814.3765337123</v>
      </c>
      <c r="U78" s="28">
        <f t="shared" si="26"/>
        <v>7849410.20419457</v>
      </c>
      <c r="V78" s="28">
        <f t="shared" si="26"/>
        <v>7684053.0613374272</v>
      </c>
      <c r="W78" s="28">
        <f t="shared" si="26"/>
        <v>8157850.8482902842</v>
      </c>
      <c r="X78" s="28">
        <f t="shared" si="26"/>
        <v>8441625.8086681422</v>
      </c>
      <c r="Y78" s="29">
        <f t="shared" si="26"/>
        <v>8444767.0001389999</v>
      </c>
      <c r="Z78" s="29">
        <f t="shared" si="26"/>
        <v>9166564.0163408574</v>
      </c>
      <c r="AA78" s="29">
        <f t="shared" si="26"/>
        <v>9728171.9027717151</v>
      </c>
      <c r="AB78" s="29">
        <f t="shared" si="26"/>
        <v>10273170.816228572</v>
      </c>
      <c r="AC78" s="29">
        <f t="shared" si="26"/>
        <v>10707872.533307429</v>
      </c>
      <c r="AD78" s="29">
        <f t="shared" si="26"/>
        <v>11563369.514991287</v>
      </c>
      <c r="AE78" s="29">
        <f t="shared" si="26"/>
        <v>12214358.983383143</v>
      </c>
      <c r="AF78" s="29">
        <f t="shared" si="26"/>
        <v>12516763.09874</v>
      </c>
      <c r="AG78" s="29">
        <f t="shared" si="26"/>
        <v>12878861.068803858</v>
      </c>
      <c r="AH78" s="29">
        <f t="shared" si="26"/>
        <v>13394073.394505715</v>
      </c>
      <c r="AI78" s="29">
        <f t="shared" si="26"/>
        <v>13238716.251648571</v>
      </c>
    </row>
    <row r="81" spans="2:13">
      <c r="B81" s="30" t="s">
        <v>93</v>
      </c>
      <c r="C81" s="31">
        <f>D39/D25</f>
        <v>0.39274992182355495</v>
      </c>
    </row>
    <row r="82" spans="2:13">
      <c r="G82" s="323"/>
      <c r="H82" s="323"/>
      <c r="I82" s="323"/>
      <c r="J82" s="323"/>
      <c r="K82" s="32"/>
      <c r="L82" s="32"/>
    </row>
    <row r="84" spans="2:13">
      <c r="G84" s="309" t="s">
        <v>94</v>
      </c>
      <c r="H84" s="310"/>
      <c r="I84" s="310"/>
      <c r="J84" s="310"/>
      <c r="K84" s="310"/>
      <c r="L84" s="310"/>
      <c r="M84" s="311"/>
    </row>
    <row r="85" spans="2:13">
      <c r="G85" s="37" t="s">
        <v>95</v>
      </c>
      <c r="H85" s="94" t="s">
        <v>96</v>
      </c>
      <c r="I85" s="94" t="s">
        <v>97</v>
      </c>
      <c r="J85" s="94" t="s">
        <v>98</v>
      </c>
      <c r="K85" s="94" t="s">
        <v>99</v>
      </c>
      <c r="L85" s="94" t="s">
        <v>100</v>
      </c>
      <c r="M85" s="141" t="s">
        <v>101</v>
      </c>
    </row>
    <row r="86" spans="2:13">
      <c r="G86" s="142" t="s">
        <v>47</v>
      </c>
      <c r="H86" s="134" t="s">
        <v>102</v>
      </c>
      <c r="I86" s="134" t="s">
        <v>103</v>
      </c>
      <c r="J86" s="134" t="s">
        <v>104</v>
      </c>
      <c r="K86" s="135">
        <v>2608</v>
      </c>
      <c r="L86" s="140">
        <v>38.229999999999997</v>
      </c>
      <c r="M86" s="145"/>
    </row>
    <row r="87" spans="2:13">
      <c r="G87" s="142" t="s">
        <v>47</v>
      </c>
      <c r="H87" s="134" t="s">
        <v>105</v>
      </c>
      <c r="I87" s="134" t="s">
        <v>106</v>
      </c>
      <c r="J87" s="134" t="s">
        <v>104</v>
      </c>
      <c r="K87" s="135">
        <v>85647</v>
      </c>
      <c r="L87" s="136">
        <v>34.909999999999997</v>
      </c>
      <c r="M87" s="145">
        <v>1.7935075871774091</v>
      </c>
    </row>
    <row r="88" spans="2:13">
      <c r="G88" s="142" t="s">
        <v>47</v>
      </c>
      <c r="H88" s="134" t="s">
        <v>107</v>
      </c>
      <c r="I88" s="134" t="s">
        <v>106</v>
      </c>
      <c r="J88" s="134" t="s">
        <v>104</v>
      </c>
      <c r="K88" s="135">
        <v>742226</v>
      </c>
      <c r="L88" s="136">
        <v>39.049999999999997</v>
      </c>
      <c r="M88" s="145">
        <v>17.38594958037633</v>
      </c>
    </row>
    <row r="89" spans="2:13">
      <c r="G89" s="142" t="s">
        <v>47</v>
      </c>
      <c r="H89" s="134" t="s">
        <v>108</v>
      </c>
      <c r="I89" s="134" t="s">
        <v>106</v>
      </c>
      <c r="J89" s="134" t="s">
        <v>104</v>
      </c>
      <c r="K89" s="135">
        <v>587570</v>
      </c>
      <c r="L89" s="136">
        <v>45.15</v>
      </c>
      <c r="M89" s="145">
        <v>15.913238885266473</v>
      </c>
    </row>
    <row r="90" spans="2:13">
      <c r="G90" s="142" t="s">
        <v>47</v>
      </c>
      <c r="H90" s="134" t="s">
        <v>109</v>
      </c>
      <c r="I90" s="134" t="s">
        <v>106</v>
      </c>
      <c r="J90" s="134" t="s">
        <v>104</v>
      </c>
      <c r="K90" s="135">
        <v>80371</v>
      </c>
      <c r="L90" s="136">
        <v>35.58</v>
      </c>
      <c r="M90" s="145">
        <v>1.7153254445323556</v>
      </c>
    </row>
    <row r="91" spans="2:13">
      <c r="G91" s="147" t="s">
        <v>47</v>
      </c>
      <c r="H91" s="137" t="s">
        <v>110</v>
      </c>
      <c r="I91" s="137" t="s">
        <v>106</v>
      </c>
      <c r="J91" s="137" t="s">
        <v>104</v>
      </c>
      <c r="K91" s="138">
        <v>168667</v>
      </c>
      <c r="L91" s="139">
        <v>50.23</v>
      </c>
      <c r="M91" s="148">
        <v>5.0819982676389799</v>
      </c>
    </row>
    <row r="92" spans="2:13">
      <c r="G92" s="150"/>
      <c r="H92" s="151"/>
      <c r="I92" s="151"/>
      <c r="J92" s="151"/>
      <c r="K92" s="152">
        <v>1667089</v>
      </c>
      <c r="L92" s="153"/>
      <c r="M92" s="154">
        <v>41.89001976499155</v>
      </c>
    </row>
    <row r="93" spans="2:13">
      <c r="G93" s="142"/>
      <c r="H93" s="134"/>
      <c r="I93" s="134"/>
      <c r="J93" s="134"/>
      <c r="K93" s="135"/>
      <c r="L93" s="136"/>
      <c r="M93" s="145"/>
    </row>
    <row r="94" spans="2:13">
      <c r="G94" s="142" t="s">
        <v>49</v>
      </c>
      <c r="H94" s="134" t="s">
        <v>111</v>
      </c>
      <c r="I94" s="134" t="s">
        <v>106</v>
      </c>
      <c r="J94" s="134" t="s">
        <v>104</v>
      </c>
      <c r="K94" s="135">
        <v>77875</v>
      </c>
      <c r="L94" s="136">
        <v>26.49</v>
      </c>
      <c r="M94" s="145">
        <v>8.5388830249596417</v>
      </c>
    </row>
    <row r="95" spans="2:13">
      <c r="G95" s="147" t="s">
        <v>49</v>
      </c>
      <c r="H95" s="137" t="s">
        <v>112</v>
      </c>
      <c r="I95" s="137" t="s">
        <v>106</v>
      </c>
      <c r="J95" s="137" t="s">
        <v>104</v>
      </c>
      <c r="K95" s="138">
        <v>163715</v>
      </c>
      <c r="L95" s="139">
        <v>30.17</v>
      </c>
      <c r="M95" s="148">
        <v>20.444892379651478</v>
      </c>
    </row>
    <row r="96" spans="2:13">
      <c r="G96" s="150"/>
      <c r="H96" s="151"/>
      <c r="I96" s="151"/>
      <c r="J96" s="151"/>
      <c r="K96" s="152">
        <v>241590</v>
      </c>
      <c r="L96" s="153"/>
      <c r="M96" s="154">
        <v>28.983775404611119</v>
      </c>
    </row>
    <row r="97" spans="7:13">
      <c r="G97" s="142"/>
      <c r="H97" s="134"/>
      <c r="I97" s="134"/>
      <c r="J97" s="134"/>
      <c r="K97" s="135"/>
      <c r="L97" s="136"/>
      <c r="M97" s="145"/>
    </row>
    <row r="98" spans="7:13">
      <c r="G98" s="142" t="s">
        <v>113</v>
      </c>
      <c r="H98" s="134" t="s">
        <v>114</v>
      </c>
      <c r="I98" s="134" t="s">
        <v>106</v>
      </c>
      <c r="J98" s="134" t="s">
        <v>104</v>
      </c>
      <c r="K98" s="135">
        <v>64834</v>
      </c>
      <c r="L98" s="136">
        <v>18.75</v>
      </c>
      <c r="M98" s="145">
        <v>3.1173469518590418</v>
      </c>
    </row>
    <row r="99" spans="7:13">
      <c r="G99" s="142" t="s">
        <v>113</v>
      </c>
      <c r="H99" s="134" t="s">
        <v>115</v>
      </c>
      <c r="I99" s="134" t="s">
        <v>106</v>
      </c>
      <c r="J99" s="134" t="s">
        <v>104</v>
      </c>
      <c r="K99" s="135">
        <v>305804</v>
      </c>
      <c r="L99" s="136">
        <v>21.25</v>
      </c>
      <c r="M99" s="145">
        <v>16.664149308004177</v>
      </c>
    </row>
    <row r="100" spans="7:13">
      <c r="G100" s="147" t="s">
        <v>113</v>
      </c>
      <c r="H100" s="137" t="s">
        <v>116</v>
      </c>
      <c r="I100" s="137" t="s">
        <v>106</v>
      </c>
      <c r="J100" s="137" t="s">
        <v>104</v>
      </c>
      <c r="K100" s="138">
        <v>19321</v>
      </c>
      <c r="L100" s="139">
        <v>22.25</v>
      </c>
      <c r="M100" s="148">
        <v>1.102403714236625</v>
      </c>
    </row>
    <row r="101" spans="7:13">
      <c r="G101" s="147"/>
      <c r="H101" s="137"/>
      <c r="I101" s="137"/>
      <c r="J101" s="137"/>
      <c r="K101" s="138">
        <v>389959</v>
      </c>
      <c r="L101" s="139"/>
      <c r="M101" s="149">
        <v>20.883899974099844</v>
      </c>
    </row>
  </sheetData>
  <mergeCells count="8">
    <mergeCell ref="G82:J82"/>
    <mergeCell ref="G84:M84"/>
    <mergeCell ref="A25:A37"/>
    <mergeCell ref="A39:A40"/>
    <mergeCell ref="A43:A48"/>
    <mergeCell ref="A50:A54"/>
    <mergeCell ref="B71:C71"/>
    <mergeCell ref="B78:D78"/>
  </mergeCells>
  <phoneticPr fontId="19" type="noConversion"/>
  <conditionalFormatting sqref="E78:AI78 B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2DF-057D-40B5-89A2-1433A32853D4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0BD-E5B8-49D5-9EC9-911397338930}">
  <dimension ref="A2:AM103"/>
  <sheetViews>
    <sheetView workbookViewId="0">
      <selection activeCell="I40" sqref="I40"/>
    </sheetView>
  </sheetViews>
  <sheetFormatPr defaultColWidth="11.42578125" defaultRowHeight="15"/>
  <cols>
    <col min="1" max="1" width="15" customWidth="1"/>
    <col min="2" max="2" width="27.42578125" customWidth="1"/>
    <col min="3" max="3" width="16.42578125" bestFit="1" customWidth="1"/>
    <col min="4" max="4" width="19.28515625" customWidth="1"/>
    <col min="5" max="5" width="11" bestFit="1" customWidth="1"/>
    <col min="6" max="6" width="12.42578125" customWidth="1"/>
    <col min="7" max="7" width="13.7109375" customWidth="1"/>
    <col min="8" max="8" width="11.85546875" customWidth="1"/>
    <col min="9" max="9" width="13.85546875" customWidth="1"/>
    <col min="10" max="18" width="15.140625" bestFit="1" customWidth="1"/>
    <col min="19" max="21" width="12.42578125" customWidth="1"/>
    <col min="22" max="22" width="12.140625" customWidth="1"/>
    <col min="23" max="23" width="12.42578125" bestFit="1" customWidth="1"/>
    <col min="24" max="24" width="12.42578125" customWidth="1"/>
  </cols>
  <sheetData>
    <row r="2" spans="2:39" ht="15.75">
      <c r="B2" s="54" t="s">
        <v>0</v>
      </c>
      <c r="C2" s="109" t="s">
        <v>1</v>
      </c>
    </row>
    <row r="3" spans="2:39" ht="15.75">
      <c r="B3" s="54" t="s">
        <v>2</v>
      </c>
      <c r="C3" s="109">
        <v>3</v>
      </c>
    </row>
    <row r="4" spans="2:39" ht="15.75">
      <c r="B4" s="54" t="s">
        <v>3</v>
      </c>
      <c r="C4" s="110">
        <v>44656</v>
      </c>
      <c r="M4" s="1"/>
    </row>
    <row r="5" spans="2:39" ht="15.75">
      <c r="B5" s="54" t="s">
        <v>4</v>
      </c>
      <c r="C5" s="110">
        <v>44690</v>
      </c>
    </row>
    <row r="6" spans="2:39" ht="15.75">
      <c r="B6" s="2"/>
      <c r="C6" s="2"/>
    </row>
    <row r="7" spans="2:39" ht="15.75">
      <c r="B7" s="54" t="s">
        <v>5</v>
      </c>
      <c r="D7" s="41" t="s">
        <v>6</v>
      </c>
      <c r="E7" s="42">
        <v>44656</v>
      </c>
      <c r="F7" s="42">
        <f t="shared" ref="F7:AM7" si="0">E7+1</f>
        <v>44657</v>
      </c>
      <c r="G7" s="42">
        <f t="shared" si="0"/>
        <v>44658</v>
      </c>
      <c r="H7" s="42">
        <f t="shared" si="0"/>
        <v>44659</v>
      </c>
      <c r="I7" s="42">
        <f t="shared" si="0"/>
        <v>44660</v>
      </c>
      <c r="J7" s="42">
        <f t="shared" si="0"/>
        <v>44661</v>
      </c>
      <c r="K7" s="42">
        <f t="shared" si="0"/>
        <v>44662</v>
      </c>
      <c r="L7" s="42">
        <f t="shared" si="0"/>
        <v>44663</v>
      </c>
      <c r="M7" s="42">
        <f t="shared" si="0"/>
        <v>44664</v>
      </c>
      <c r="N7" s="42">
        <f t="shared" si="0"/>
        <v>44665</v>
      </c>
      <c r="O7" s="42">
        <f t="shared" si="0"/>
        <v>44666</v>
      </c>
      <c r="P7" s="42">
        <f t="shared" si="0"/>
        <v>44667</v>
      </c>
      <c r="Q7" s="42">
        <f t="shared" si="0"/>
        <v>44668</v>
      </c>
      <c r="R7" s="42">
        <f t="shared" si="0"/>
        <v>44669</v>
      </c>
      <c r="S7" s="42">
        <f t="shared" si="0"/>
        <v>44670</v>
      </c>
      <c r="T7" s="42">
        <f t="shared" si="0"/>
        <v>44671</v>
      </c>
      <c r="U7" s="42">
        <f t="shared" si="0"/>
        <v>44672</v>
      </c>
      <c r="V7" s="42">
        <f t="shared" si="0"/>
        <v>44673</v>
      </c>
      <c r="W7" s="42">
        <f t="shared" si="0"/>
        <v>44674</v>
      </c>
      <c r="X7" s="43">
        <f t="shared" si="0"/>
        <v>44675</v>
      </c>
      <c r="Y7" s="44">
        <f t="shared" si="0"/>
        <v>44676</v>
      </c>
      <c r="Z7" s="44">
        <f t="shared" si="0"/>
        <v>44677</v>
      </c>
      <c r="AA7" s="44">
        <f t="shared" si="0"/>
        <v>44678</v>
      </c>
      <c r="AB7" s="44">
        <f t="shared" si="0"/>
        <v>44679</v>
      </c>
      <c r="AC7" s="44">
        <f t="shared" si="0"/>
        <v>44680</v>
      </c>
      <c r="AD7" s="44">
        <f t="shared" si="0"/>
        <v>44681</v>
      </c>
      <c r="AE7" s="44">
        <f t="shared" si="0"/>
        <v>44682</v>
      </c>
      <c r="AF7" s="44">
        <f t="shared" si="0"/>
        <v>44683</v>
      </c>
      <c r="AG7" s="44">
        <f t="shared" si="0"/>
        <v>44684</v>
      </c>
      <c r="AH7" s="44">
        <f t="shared" si="0"/>
        <v>44685</v>
      </c>
      <c r="AI7" s="44">
        <f t="shared" si="0"/>
        <v>44686</v>
      </c>
      <c r="AJ7" s="44">
        <f t="shared" si="0"/>
        <v>44687</v>
      </c>
      <c r="AK7" s="44">
        <f t="shared" si="0"/>
        <v>44688</v>
      </c>
      <c r="AL7" s="44">
        <f t="shared" si="0"/>
        <v>44689</v>
      </c>
      <c r="AM7" s="44">
        <f t="shared" si="0"/>
        <v>44690</v>
      </c>
    </row>
    <row r="8" spans="2:39">
      <c r="B8" s="46" t="s">
        <v>7</v>
      </c>
      <c r="C8" s="47" t="s">
        <v>8</v>
      </c>
      <c r="D8" s="71">
        <f t="shared" ref="D8:D15" si="1">SUM(E8:AI8)</f>
        <v>549.5</v>
      </c>
      <c r="E8" s="114">
        <v>0</v>
      </c>
      <c r="F8" s="114">
        <v>0</v>
      </c>
      <c r="G8" s="119">
        <v>0</v>
      </c>
      <c r="H8" s="114">
        <v>0</v>
      </c>
      <c r="I8" s="114">
        <v>0</v>
      </c>
      <c r="J8" s="114">
        <v>5.5</v>
      </c>
      <c r="K8" s="114">
        <v>24</v>
      </c>
      <c r="L8" s="114">
        <v>24</v>
      </c>
      <c r="M8" s="114">
        <v>24</v>
      </c>
      <c r="N8" s="114">
        <v>24</v>
      </c>
      <c r="O8" s="114">
        <v>24</v>
      </c>
      <c r="P8" s="114">
        <v>24</v>
      </c>
      <c r="Q8" s="114">
        <v>24</v>
      </c>
      <c r="R8" s="114">
        <v>24</v>
      </c>
      <c r="S8" s="114">
        <v>24</v>
      </c>
      <c r="T8" s="114">
        <v>24</v>
      </c>
      <c r="U8" s="114">
        <v>24</v>
      </c>
      <c r="V8" s="114">
        <v>24</v>
      </c>
      <c r="W8" s="114">
        <v>24</v>
      </c>
      <c r="X8" s="114">
        <v>24</v>
      </c>
      <c r="Y8" s="114">
        <v>24</v>
      </c>
      <c r="Z8" s="114">
        <v>13</v>
      </c>
      <c r="AA8" s="114">
        <v>16</v>
      </c>
      <c r="AB8" s="114">
        <v>24</v>
      </c>
      <c r="AC8" s="114">
        <v>24</v>
      </c>
      <c r="AD8" s="114">
        <v>24</v>
      </c>
      <c r="AE8" s="114">
        <v>24</v>
      </c>
      <c r="AF8" s="114">
        <v>24</v>
      </c>
      <c r="AG8" s="114">
        <v>24</v>
      </c>
      <c r="AH8" s="114">
        <v>11</v>
      </c>
      <c r="AI8" s="114">
        <v>0</v>
      </c>
      <c r="AJ8" s="114">
        <v>0</v>
      </c>
      <c r="AK8" s="114">
        <v>0</v>
      </c>
      <c r="AL8" s="114">
        <v>0</v>
      </c>
      <c r="AM8" s="114">
        <v>0</v>
      </c>
    </row>
    <row r="9" spans="2:39">
      <c r="B9" s="48" t="s">
        <v>9</v>
      </c>
      <c r="C9" s="38" t="s">
        <v>8</v>
      </c>
      <c r="D9" s="71">
        <f t="shared" si="1"/>
        <v>37.5</v>
      </c>
      <c r="E9" s="115">
        <v>0</v>
      </c>
      <c r="F9" s="115">
        <v>0</v>
      </c>
      <c r="G9" s="115">
        <v>0</v>
      </c>
      <c r="H9" s="115">
        <v>0</v>
      </c>
      <c r="I9" s="115">
        <v>19</v>
      </c>
      <c r="J9" s="115">
        <v>18.5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</row>
    <row r="10" spans="2:39">
      <c r="B10" s="48" t="s">
        <v>10</v>
      </c>
      <c r="C10" s="38" t="s">
        <v>8</v>
      </c>
      <c r="D10" s="71">
        <f t="shared" si="1"/>
        <v>72</v>
      </c>
      <c r="E10" s="115">
        <v>0</v>
      </c>
      <c r="F10" s="115">
        <v>24</v>
      </c>
      <c r="G10" s="115">
        <v>24</v>
      </c>
      <c r="H10" s="115">
        <v>24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</row>
    <row r="11" spans="2:39">
      <c r="B11" s="48" t="s">
        <v>11</v>
      </c>
      <c r="C11" s="38" t="s">
        <v>8</v>
      </c>
      <c r="D11" s="71">
        <f t="shared" si="1"/>
        <v>13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13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</row>
    <row r="12" spans="2:39">
      <c r="B12" s="48" t="s">
        <v>12</v>
      </c>
      <c r="C12" s="38" t="s">
        <v>8</v>
      </c>
      <c r="D12" s="71">
        <f t="shared" si="1"/>
        <v>15</v>
      </c>
      <c r="E12" s="115">
        <v>15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</row>
    <row r="13" spans="2:39">
      <c r="B13" s="48" t="s">
        <v>13</v>
      </c>
      <c r="C13" s="38" t="s">
        <v>8</v>
      </c>
      <c r="D13" s="71">
        <f t="shared" si="1"/>
        <v>5</v>
      </c>
      <c r="E13" s="115">
        <v>0</v>
      </c>
      <c r="F13" s="115">
        <v>0</v>
      </c>
      <c r="G13" s="115">
        <v>0</v>
      </c>
      <c r="H13" s="115">
        <v>0</v>
      </c>
      <c r="I13" s="115">
        <v>5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</row>
    <row r="14" spans="2:39">
      <c r="B14" s="49" t="s">
        <v>14</v>
      </c>
      <c r="C14" s="40" t="s">
        <v>8</v>
      </c>
      <c r="D14" s="71">
        <f t="shared" si="1"/>
        <v>19</v>
      </c>
      <c r="E14" s="116">
        <v>0</v>
      </c>
      <c r="F14" s="116">
        <v>0</v>
      </c>
      <c r="G14" s="118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11</v>
      </c>
      <c r="AA14" s="116">
        <v>8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  <c r="AM14" s="116">
        <v>0</v>
      </c>
    </row>
    <row r="15" spans="2:39">
      <c r="B15" s="68" t="s">
        <v>15</v>
      </c>
      <c r="C15" s="69" t="s">
        <v>8</v>
      </c>
      <c r="D15" s="70">
        <f t="shared" si="1"/>
        <v>711</v>
      </c>
      <c r="E15" s="117">
        <f t="shared" ref="E15:AM15" si="2">SUM(E8:E14)</f>
        <v>15</v>
      </c>
      <c r="F15" s="117">
        <f t="shared" si="2"/>
        <v>24</v>
      </c>
      <c r="G15" s="117">
        <f t="shared" si="2"/>
        <v>24</v>
      </c>
      <c r="H15" s="117">
        <f t="shared" si="2"/>
        <v>24</v>
      </c>
      <c r="I15" s="117">
        <f t="shared" si="2"/>
        <v>24</v>
      </c>
      <c r="J15" s="117">
        <f t="shared" si="2"/>
        <v>24</v>
      </c>
      <c r="K15" s="117">
        <f t="shared" si="2"/>
        <v>24</v>
      </c>
      <c r="L15" s="117">
        <f t="shared" si="2"/>
        <v>24</v>
      </c>
      <c r="M15" s="117">
        <f t="shared" si="2"/>
        <v>24</v>
      </c>
      <c r="N15" s="117">
        <f t="shared" si="2"/>
        <v>24</v>
      </c>
      <c r="O15" s="117">
        <f t="shared" si="2"/>
        <v>24</v>
      </c>
      <c r="P15" s="117">
        <f t="shared" si="2"/>
        <v>24</v>
      </c>
      <c r="Q15" s="117">
        <f t="shared" si="2"/>
        <v>24</v>
      </c>
      <c r="R15" s="117">
        <f t="shared" si="2"/>
        <v>24</v>
      </c>
      <c r="S15" s="117">
        <f t="shared" si="2"/>
        <v>24</v>
      </c>
      <c r="T15" s="117">
        <f t="shared" si="2"/>
        <v>24</v>
      </c>
      <c r="U15" s="117">
        <f t="shared" si="2"/>
        <v>24</v>
      </c>
      <c r="V15" s="117">
        <f t="shared" si="2"/>
        <v>24</v>
      </c>
      <c r="W15" s="117">
        <f t="shared" si="2"/>
        <v>24</v>
      </c>
      <c r="X15" s="117">
        <f t="shared" si="2"/>
        <v>24</v>
      </c>
      <c r="Y15" s="117">
        <f t="shared" si="2"/>
        <v>24</v>
      </c>
      <c r="Z15" s="117">
        <f t="shared" si="2"/>
        <v>24</v>
      </c>
      <c r="AA15" s="117">
        <f t="shared" si="2"/>
        <v>24</v>
      </c>
      <c r="AB15" s="117">
        <f t="shared" si="2"/>
        <v>24</v>
      </c>
      <c r="AC15" s="117">
        <f t="shared" si="2"/>
        <v>24</v>
      </c>
      <c r="AD15" s="117">
        <f t="shared" si="2"/>
        <v>24</v>
      </c>
      <c r="AE15" s="117">
        <f t="shared" si="2"/>
        <v>24</v>
      </c>
      <c r="AF15" s="117">
        <f t="shared" si="2"/>
        <v>24</v>
      </c>
      <c r="AG15" s="117">
        <f t="shared" si="2"/>
        <v>24</v>
      </c>
      <c r="AH15" s="117">
        <f t="shared" si="2"/>
        <v>24</v>
      </c>
      <c r="AI15" s="117">
        <f t="shared" si="2"/>
        <v>0</v>
      </c>
      <c r="AJ15" s="117">
        <f t="shared" si="2"/>
        <v>0</v>
      </c>
      <c r="AK15" s="117">
        <f t="shared" si="2"/>
        <v>0</v>
      </c>
      <c r="AL15" s="117">
        <f t="shared" si="2"/>
        <v>0</v>
      </c>
      <c r="AM15" s="117">
        <f t="shared" si="2"/>
        <v>0</v>
      </c>
    </row>
    <row r="17" spans="1:39">
      <c r="B17" s="50" t="s">
        <v>16</v>
      </c>
      <c r="C17" s="50" t="s">
        <v>0</v>
      </c>
      <c r="D17" s="58">
        <f>SUM(E17:AI17)</f>
        <v>0</v>
      </c>
      <c r="E17" s="127"/>
      <c r="F17" s="66"/>
      <c r="G17" s="66"/>
      <c r="H17" s="66"/>
      <c r="I17" s="65"/>
      <c r="J17" s="58" t="s">
        <v>142</v>
      </c>
      <c r="K17" s="127" t="s">
        <v>142</v>
      </c>
      <c r="L17" s="58" t="s">
        <v>142</v>
      </c>
      <c r="M17" s="58" t="s">
        <v>142</v>
      </c>
      <c r="N17" s="120" t="s">
        <v>142</v>
      </c>
      <c r="O17" s="65" t="s">
        <v>142</v>
      </c>
      <c r="P17" s="58" t="s">
        <v>142</v>
      </c>
      <c r="Q17" s="120" t="s">
        <v>142</v>
      </c>
      <c r="R17" s="66" t="s">
        <v>142</v>
      </c>
      <c r="S17" s="66" t="s">
        <v>142</v>
      </c>
      <c r="T17" s="66" t="s">
        <v>143</v>
      </c>
      <c r="U17" s="66" t="s">
        <v>143</v>
      </c>
      <c r="V17" s="66" t="s">
        <v>143</v>
      </c>
      <c r="W17" s="66" t="s">
        <v>143</v>
      </c>
      <c r="X17" s="65" t="s">
        <v>144</v>
      </c>
      <c r="Y17" s="58" t="s">
        <v>142</v>
      </c>
      <c r="Z17" s="58" t="s">
        <v>142</v>
      </c>
      <c r="AA17" s="58" t="s">
        <v>142</v>
      </c>
      <c r="AB17" s="58" t="s">
        <v>142</v>
      </c>
      <c r="AC17" s="58" t="s">
        <v>144</v>
      </c>
      <c r="AD17" s="58" t="s">
        <v>144</v>
      </c>
      <c r="AE17" s="58" t="s">
        <v>144</v>
      </c>
      <c r="AF17" s="58" t="s">
        <v>142</v>
      </c>
      <c r="AG17" s="58"/>
      <c r="AH17" s="58"/>
      <c r="AI17" s="58"/>
      <c r="AJ17" s="58"/>
      <c r="AK17" s="58"/>
      <c r="AL17" s="58"/>
      <c r="AM17" s="58"/>
    </row>
    <row r="18" spans="1:39">
      <c r="B18" s="37" t="s">
        <v>31</v>
      </c>
      <c r="C18" s="37" t="s">
        <v>32</v>
      </c>
      <c r="D18" s="131">
        <f>SUM(E18:AI18)</f>
        <v>432</v>
      </c>
      <c r="E18" s="162"/>
      <c r="F18" s="123"/>
      <c r="G18" s="123"/>
      <c r="H18" s="123"/>
      <c r="I18" s="122"/>
      <c r="J18" s="124">
        <v>5.5</v>
      </c>
      <c r="K18" s="128">
        <v>17</v>
      </c>
      <c r="L18" s="124">
        <v>19</v>
      </c>
      <c r="M18" s="124">
        <v>22</v>
      </c>
      <c r="N18" s="125">
        <v>21.5</v>
      </c>
      <c r="O18" s="122">
        <v>17</v>
      </c>
      <c r="P18" s="124">
        <v>21.5</v>
      </c>
      <c r="Q18" s="125">
        <v>21.5</v>
      </c>
      <c r="R18" s="123">
        <v>20</v>
      </c>
      <c r="S18" s="123">
        <v>21</v>
      </c>
      <c r="T18" s="123">
        <v>19</v>
      </c>
      <c r="U18" s="123" t="s">
        <v>145</v>
      </c>
      <c r="V18" s="123">
        <v>20</v>
      </c>
      <c r="W18" s="123">
        <v>20</v>
      </c>
      <c r="X18" s="126">
        <v>20</v>
      </c>
      <c r="Y18" s="124">
        <v>18</v>
      </c>
      <c r="Z18" s="124">
        <v>12</v>
      </c>
      <c r="AA18" s="124">
        <v>10.5</v>
      </c>
      <c r="AB18" s="124">
        <v>18</v>
      </c>
      <c r="AC18" s="124">
        <v>23</v>
      </c>
      <c r="AD18" s="124">
        <v>22</v>
      </c>
      <c r="AE18" s="124">
        <v>16</v>
      </c>
      <c r="AF18" s="124">
        <v>20</v>
      </c>
      <c r="AG18" s="124">
        <v>19.5</v>
      </c>
      <c r="AH18" s="124">
        <v>8</v>
      </c>
      <c r="AI18" s="124"/>
      <c r="AJ18" s="124"/>
      <c r="AK18" s="124"/>
      <c r="AL18" s="124"/>
      <c r="AM18" s="124"/>
    </row>
    <row r="19" spans="1:39">
      <c r="B19" s="37" t="s">
        <v>35</v>
      </c>
      <c r="C19" s="37" t="s">
        <v>36</v>
      </c>
      <c r="D19" s="131">
        <f>SUM(E19:AI19)</f>
        <v>84</v>
      </c>
      <c r="E19" s="162"/>
      <c r="F19" s="123"/>
      <c r="G19" s="123"/>
      <c r="H19" s="123"/>
      <c r="I19" s="122"/>
      <c r="J19" s="124">
        <v>2</v>
      </c>
      <c r="K19" s="128">
        <v>3</v>
      </c>
      <c r="L19" s="124">
        <v>3</v>
      </c>
      <c r="M19" s="124">
        <v>4</v>
      </c>
      <c r="N19" s="125">
        <v>4</v>
      </c>
      <c r="O19" s="122">
        <v>3</v>
      </c>
      <c r="P19" s="124">
        <v>4</v>
      </c>
      <c r="Q19" s="125">
        <v>4</v>
      </c>
      <c r="R19" s="123">
        <v>4</v>
      </c>
      <c r="S19" s="123">
        <v>4</v>
      </c>
      <c r="T19" s="123">
        <v>3</v>
      </c>
      <c r="U19" s="123">
        <v>4</v>
      </c>
      <c r="V19" s="123">
        <v>4</v>
      </c>
      <c r="W19" s="123">
        <v>4</v>
      </c>
      <c r="X19" s="126">
        <v>4</v>
      </c>
      <c r="Y19" s="124">
        <v>3</v>
      </c>
      <c r="Z19" s="124">
        <v>2</v>
      </c>
      <c r="AA19" s="124">
        <v>2</v>
      </c>
      <c r="AB19" s="124">
        <v>3</v>
      </c>
      <c r="AC19" s="124">
        <v>4</v>
      </c>
      <c r="AD19" s="124">
        <v>4</v>
      </c>
      <c r="AE19" s="124">
        <v>2</v>
      </c>
      <c r="AF19" s="124">
        <v>4</v>
      </c>
      <c r="AG19" s="124">
        <v>4</v>
      </c>
      <c r="AH19" s="124">
        <v>2</v>
      </c>
      <c r="AI19" s="124"/>
      <c r="AJ19" s="124"/>
      <c r="AK19" s="124"/>
      <c r="AL19" s="124"/>
      <c r="AM19" s="124"/>
    </row>
    <row r="20" spans="1:39">
      <c r="B20" s="39" t="s">
        <v>37</v>
      </c>
      <c r="C20" s="39" t="s">
        <v>38</v>
      </c>
      <c r="D20" s="67">
        <f>SUM(E20:AI20)</f>
        <v>0</v>
      </c>
      <c r="E20" s="129"/>
      <c r="F20" s="56"/>
      <c r="G20" s="56"/>
      <c r="H20" s="56"/>
      <c r="I20" s="60"/>
      <c r="J20" s="67" t="s">
        <v>146</v>
      </c>
      <c r="K20" s="165" t="s">
        <v>146</v>
      </c>
      <c r="L20" s="67" t="s">
        <v>146</v>
      </c>
      <c r="M20" s="67" t="s">
        <v>146</v>
      </c>
      <c r="N20" s="121" t="s">
        <v>146</v>
      </c>
      <c r="O20" s="60" t="s">
        <v>147</v>
      </c>
      <c r="P20" s="67" t="s">
        <v>146</v>
      </c>
      <c r="Q20" s="121" t="s">
        <v>146</v>
      </c>
      <c r="R20" s="56" t="s">
        <v>146</v>
      </c>
      <c r="S20" s="56" t="s">
        <v>146</v>
      </c>
      <c r="T20" s="56" t="s">
        <v>146</v>
      </c>
      <c r="U20" s="56" t="s">
        <v>146</v>
      </c>
      <c r="V20" s="56" t="s">
        <v>146</v>
      </c>
      <c r="W20" s="56" t="s">
        <v>146</v>
      </c>
      <c r="X20" s="59" t="s">
        <v>146</v>
      </c>
      <c r="Y20" s="61" t="s">
        <v>146</v>
      </c>
      <c r="Z20" s="61" t="s">
        <v>146</v>
      </c>
      <c r="AA20" s="61" t="s">
        <v>148</v>
      </c>
      <c r="AB20" s="61" t="s">
        <v>146</v>
      </c>
      <c r="AC20" s="61" t="s">
        <v>146</v>
      </c>
      <c r="AD20" s="61" t="s">
        <v>147</v>
      </c>
      <c r="AE20" s="61" t="s">
        <v>146</v>
      </c>
      <c r="AF20" s="61" t="s">
        <v>146</v>
      </c>
      <c r="AG20" s="61" t="s">
        <v>146</v>
      </c>
      <c r="AH20" s="61" t="s">
        <v>146</v>
      </c>
      <c r="AI20" s="61"/>
      <c r="AJ20" s="61"/>
      <c r="AK20" s="61"/>
      <c r="AL20" s="61"/>
      <c r="AM20" s="61"/>
    </row>
    <row r="21" spans="1:39">
      <c r="B21" s="39" t="s">
        <v>41</v>
      </c>
      <c r="C21" s="39" t="s">
        <v>42</v>
      </c>
      <c r="D21" s="130"/>
      <c r="E21" s="57"/>
      <c r="F21" s="62"/>
      <c r="G21" s="63"/>
      <c r="H21" s="63"/>
      <c r="I21" s="63"/>
      <c r="J21" s="63"/>
      <c r="K21" s="63"/>
      <c r="L21" s="63">
        <v>0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</row>
    <row r="23" spans="1:39">
      <c r="B23" s="167" t="s">
        <v>43</v>
      </c>
      <c r="C23" s="168">
        <f>D25/D18</f>
        <v>1126.6388888888889</v>
      </c>
    </row>
    <row r="24" spans="1:39">
      <c r="D24" s="10"/>
    </row>
    <row r="25" spans="1:39">
      <c r="A25" s="312" t="s">
        <v>44</v>
      </c>
      <c r="B25" s="35" t="s">
        <v>45</v>
      </c>
      <c r="C25" s="36" t="s">
        <v>46</v>
      </c>
      <c r="D25" s="70">
        <f>SUM(E25:AI25)</f>
        <v>486708</v>
      </c>
      <c r="E25" s="75">
        <f t="shared" ref="E25:AM25" si="3">SUM(E26:E37)</f>
        <v>0</v>
      </c>
      <c r="F25" s="70">
        <f t="shared" si="3"/>
        <v>0</v>
      </c>
      <c r="G25" s="76">
        <f t="shared" si="3"/>
        <v>0</v>
      </c>
      <c r="H25" s="75">
        <f t="shared" si="3"/>
        <v>0</v>
      </c>
      <c r="I25" s="70">
        <f t="shared" si="3"/>
        <v>0</v>
      </c>
      <c r="J25" s="75">
        <f t="shared" si="3"/>
        <v>3747</v>
      </c>
      <c r="K25" s="70">
        <f t="shared" si="3"/>
        <v>17497</v>
      </c>
      <c r="L25" s="75">
        <f t="shared" si="3"/>
        <v>24916</v>
      </c>
      <c r="M25" s="70">
        <f t="shared" si="3"/>
        <v>28509</v>
      </c>
      <c r="N25" s="75">
        <f t="shared" si="3"/>
        <v>23315</v>
      </c>
      <c r="O25" s="70">
        <f t="shared" si="3"/>
        <v>19342</v>
      </c>
      <c r="P25" s="75">
        <f t="shared" si="3"/>
        <v>23352</v>
      </c>
      <c r="Q25" s="70">
        <f t="shared" si="3"/>
        <v>21292</v>
      </c>
      <c r="R25" s="75">
        <f t="shared" si="3"/>
        <v>16609</v>
      </c>
      <c r="S25" s="155">
        <f t="shared" si="3"/>
        <v>22676</v>
      </c>
      <c r="T25" s="155">
        <f t="shared" si="3"/>
        <v>24468</v>
      </c>
      <c r="U25" s="156">
        <f t="shared" si="3"/>
        <v>26209</v>
      </c>
      <c r="V25" s="157">
        <f t="shared" si="3"/>
        <v>24232</v>
      </c>
      <c r="W25" s="157">
        <f t="shared" si="3"/>
        <v>24400</v>
      </c>
      <c r="X25" s="155">
        <f t="shared" si="3"/>
        <v>27454</v>
      </c>
      <c r="Y25" s="158">
        <f t="shared" si="3"/>
        <v>27188</v>
      </c>
      <c r="Z25" s="158">
        <f t="shared" si="3"/>
        <v>10983</v>
      </c>
      <c r="AA25" s="158">
        <f t="shared" si="3"/>
        <v>11660</v>
      </c>
      <c r="AB25" s="158">
        <f t="shared" si="3"/>
        <v>14588</v>
      </c>
      <c r="AC25" s="158">
        <f t="shared" si="3"/>
        <v>16119</v>
      </c>
      <c r="AD25" s="158">
        <f t="shared" si="3"/>
        <v>19799</v>
      </c>
      <c r="AE25" s="158">
        <f t="shared" si="3"/>
        <v>12985</v>
      </c>
      <c r="AF25" s="158">
        <f t="shared" si="3"/>
        <v>15270</v>
      </c>
      <c r="AG25" s="158">
        <f t="shared" si="3"/>
        <v>20676</v>
      </c>
      <c r="AH25" s="158">
        <f t="shared" si="3"/>
        <v>9422</v>
      </c>
      <c r="AI25" s="158">
        <f t="shared" si="3"/>
        <v>0</v>
      </c>
      <c r="AJ25" s="158">
        <f t="shared" si="3"/>
        <v>0</v>
      </c>
      <c r="AK25" s="158">
        <f t="shared" si="3"/>
        <v>0</v>
      </c>
      <c r="AL25" s="158">
        <f t="shared" si="3"/>
        <v>0</v>
      </c>
      <c r="AM25" s="158">
        <f t="shared" si="3"/>
        <v>0</v>
      </c>
    </row>
    <row r="26" spans="1:39">
      <c r="A26" s="313"/>
      <c r="B26" s="37" t="s">
        <v>47</v>
      </c>
      <c r="C26" s="38" t="s">
        <v>48</v>
      </c>
      <c r="D26" s="72">
        <f>SUM(E26:AI26)</f>
        <v>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</row>
    <row r="27" spans="1:39">
      <c r="A27" s="313"/>
      <c r="B27" s="37" t="s">
        <v>49</v>
      </c>
      <c r="C27" s="38" t="s">
        <v>48</v>
      </c>
      <c r="D27" s="73">
        <f>SUM(E27:AI27)</f>
        <v>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</row>
    <row r="28" spans="1:39">
      <c r="A28" s="313"/>
      <c r="B28" s="37" t="s">
        <v>50</v>
      </c>
      <c r="C28" s="38" t="s">
        <v>48</v>
      </c>
      <c r="D28" s="73">
        <f>SUM(E28:AI28)</f>
        <v>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</row>
    <row r="29" spans="1:39">
      <c r="A29" s="313"/>
      <c r="B29" s="37" t="s">
        <v>51</v>
      </c>
      <c r="C29" s="38" t="s">
        <v>48</v>
      </c>
      <c r="D29" s="73">
        <f>SUM(E29:Y29)</f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</row>
    <row r="30" spans="1:39">
      <c r="A30" s="313"/>
      <c r="B30" s="37" t="s">
        <v>52</v>
      </c>
      <c r="C30" s="38" t="s">
        <v>48</v>
      </c>
      <c r="D30" s="73">
        <f>SUM(E30:AI30)</f>
        <v>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</row>
    <row r="31" spans="1:39">
      <c r="A31" s="313"/>
      <c r="B31" s="37" t="s">
        <v>53</v>
      </c>
      <c r="C31" s="38" t="s">
        <v>48</v>
      </c>
      <c r="D31" s="73">
        <f>SUM(E31:AI31)</f>
        <v>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</row>
    <row r="32" spans="1:39">
      <c r="A32" s="313"/>
      <c r="B32" s="37" t="s">
        <v>54</v>
      </c>
      <c r="C32" s="38" t="s">
        <v>48</v>
      </c>
      <c r="D32" s="73">
        <f>SUM(E32:AI32)</f>
        <v>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</row>
    <row r="33" spans="1:39">
      <c r="A33" s="313"/>
      <c r="B33" s="37" t="s">
        <v>55</v>
      </c>
      <c r="C33" s="38" t="s">
        <v>48</v>
      </c>
      <c r="D33" s="73">
        <f>SUM(E33:AL33)</f>
        <v>0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</row>
    <row r="34" spans="1:39">
      <c r="A34" s="313"/>
      <c r="B34" s="37" t="s">
        <v>56</v>
      </c>
      <c r="C34" s="38" t="s">
        <v>48</v>
      </c>
      <c r="D34" s="73">
        <f>SUM(E34:AI34)</f>
        <v>0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</row>
    <row r="35" spans="1:39">
      <c r="A35" s="313"/>
      <c r="B35" s="37" t="s">
        <v>57</v>
      </c>
      <c r="C35" s="38" t="s">
        <v>48</v>
      </c>
      <c r="D35" s="73">
        <f>SUM(E35:AI35)</f>
        <v>396546</v>
      </c>
      <c r="E35" s="55"/>
      <c r="F35" s="55"/>
      <c r="G35" s="55"/>
      <c r="H35" s="55"/>
      <c r="I35" s="55"/>
      <c r="J35" s="55">
        <v>1562</v>
      </c>
      <c r="K35" s="55">
        <v>13464</v>
      </c>
      <c r="L35" s="55">
        <v>23656</v>
      </c>
      <c r="M35" s="55">
        <v>23880</v>
      </c>
      <c r="N35" s="55">
        <v>14742</v>
      </c>
      <c r="O35" s="55">
        <v>14742</v>
      </c>
      <c r="P35" s="55">
        <v>18858</v>
      </c>
      <c r="Q35" s="55">
        <v>18648</v>
      </c>
      <c r="R35" s="55">
        <v>11697</v>
      </c>
      <c r="S35" s="55">
        <v>21966</v>
      </c>
      <c r="T35" s="55">
        <v>23877</v>
      </c>
      <c r="U35" s="55">
        <v>23583</v>
      </c>
      <c r="V35" s="55">
        <v>17031</v>
      </c>
      <c r="W35" s="55">
        <v>18858</v>
      </c>
      <c r="X35" s="55">
        <v>22197</v>
      </c>
      <c r="Y35" s="55">
        <v>24003</v>
      </c>
      <c r="Z35" s="55">
        <v>10983</v>
      </c>
      <c r="AA35" s="55">
        <v>9408</v>
      </c>
      <c r="AB35" s="55">
        <v>11529</v>
      </c>
      <c r="AC35" s="55">
        <v>12201</v>
      </c>
      <c r="AD35" s="55">
        <v>16905</v>
      </c>
      <c r="AE35" s="55">
        <v>11214</v>
      </c>
      <c r="AF35" s="55">
        <v>10563</v>
      </c>
      <c r="AG35" s="55">
        <v>13314</v>
      </c>
      <c r="AH35" s="55">
        <v>7665</v>
      </c>
      <c r="AI35" s="55"/>
      <c r="AJ35" s="55"/>
      <c r="AK35" s="55"/>
      <c r="AL35" s="55"/>
      <c r="AM35" s="55"/>
    </row>
    <row r="36" spans="1:39">
      <c r="A36" s="313"/>
      <c r="B36" s="37" t="s">
        <v>58</v>
      </c>
      <c r="C36" s="38" t="s">
        <v>48</v>
      </c>
      <c r="D36" s="73">
        <f>SUM(E36:AI36)</f>
        <v>90162</v>
      </c>
      <c r="E36" s="55"/>
      <c r="F36" s="55"/>
      <c r="G36" s="55"/>
      <c r="H36" s="55"/>
      <c r="I36" s="55"/>
      <c r="J36" s="55">
        <v>2185</v>
      </c>
      <c r="K36" s="55">
        <f>2788+1245</f>
        <v>4033</v>
      </c>
      <c r="L36" s="55">
        <v>1260</v>
      </c>
      <c r="M36" s="55">
        <v>4629</v>
      </c>
      <c r="N36" s="55">
        <v>8573</v>
      </c>
      <c r="O36" s="55">
        <v>4600</v>
      </c>
      <c r="P36" s="55">
        <v>4494</v>
      </c>
      <c r="Q36" s="55">
        <v>2644</v>
      </c>
      <c r="R36" s="55">
        <v>4912</v>
      </c>
      <c r="S36" s="55">
        <v>710</v>
      </c>
      <c r="T36" s="55">
        <v>591</v>
      </c>
      <c r="U36" s="55">
        <v>2626</v>
      </c>
      <c r="V36" s="55">
        <v>7201</v>
      </c>
      <c r="W36" s="55">
        <v>5542</v>
      </c>
      <c r="X36" s="55">
        <v>5257</v>
      </c>
      <c r="Y36" s="55">
        <v>3185</v>
      </c>
      <c r="Z36" s="55"/>
      <c r="AA36" s="55">
        <v>2252</v>
      </c>
      <c r="AB36" s="55">
        <v>3059</v>
      </c>
      <c r="AC36" s="55">
        <v>3918</v>
      </c>
      <c r="AD36" s="55">
        <v>2894</v>
      </c>
      <c r="AE36" s="55">
        <v>1771</v>
      </c>
      <c r="AF36" s="55">
        <v>4707</v>
      </c>
      <c r="AG36" s="55">
        <v>7362</v>
      </c>
      <c r="AH36" s="55">
        <v>1757</v>
      </c>
      <c r="AI36" s="55"/>
      <c r="AJ36" s="55"/>
      <c r="AK36" s="55"/>
      <c r="AL36" s="55"/>
      <c r="AM36" s="55"/>
    </row>
    <row r="37" spans="1:39">
      <c r="A37" s="314"/>
      <c r="B37" s="39" t="s">
        <v>59</v>
      </c>
      <c r="C37" s="40" t="s">
        <v>48</v>
      </c>
      <c r="D37" s="73">
        <f>SUM(E37:AI37)</f>
        <v>0</v>
      </c>
      <c r="E37" s="55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</row>
    <row r="38" spans="1:39">
      <c r="A38" s="164"/>
      <c r="B38" s="94" t="s">
        <v>149</v>
      </c>
      <c r="C38" s="166"/>
      <c r="D38" s="169">
        <f t="shared" ref="D38:AM38" si="4">D36/D25</f>
        <v>0.18524865011464781</v>
      </c>
      <c r="E38" s="170" t="e">
        <f t="shared" si="4"/>
        <v>#DIV/0!</v>
      </c>
      <c r="F38" s="170" t="e">
        <f t="shared" si="4"/>
        <v>#DIV/0!</v>
      </c>
      <c r="G38" s="170" t="e">
        <f t="shared" si="4"/>
        <v>#DIV/0!</v>
      </c>
      <c r="H38" s="170" t="e">
        <f t="shared" si="4"/>
        <v>#DIV/0!</v>
      </c>
      <c r="I38" s="170" t="e">
        <f t="shared" si="4"/>
        <v>#DIV/0!</v>
      </c>
      <c r="J38" s="170">
        <f t="shared" si="4"/>
        <v>0.58313317320523084</v>
      </c>
      <c r="K38" s="170">
        <f t="shared" si="4"/>
        <v>0.23049665656969767</v>
      </c>
      <c r="L38" s="170">
        <f t="shared" si="4"/>
        <v>5.0569914914111412E-2</v>
      </c>
      <c r="M38" s="170">
        <f t="shared" si="4"/>
        <v>0.16236977796485322</v>
      </c>
      <c r="N38" s="170">
        <f t="shared" si="4"/>
        <v>0.367703195367789</v>
      </c>
      <c r="O38" s="170">
        <f t="shared" si="4"/>
        <v>0.23782442353427774</v>
      </c>
      <c r="P38" s="170">
        <f t="shared" si="4"/>
        <v>0.19244604316546762</v>
      </c>
      <c r="Q38" s="170">
        <f t="shared" si="4"/>
        <v>0.12417809505917715</v>
      </c>
      <c r="R38" s="170">
        <f t="shared" si="4"/>
        <v>0.29574327172015175</v>
      </c>
      <c r="S38" s="170">
        <f t="shared" si="4"/>
        <v>3.131063679661316E-2</v>
      </c>
      <c r="T38" s="170">
        <f t="shared" si="4"/>
        <v>2.4153997057381069E-2</v>
      </c>
      <c r="U38" s="170">
        <f t="shared" si="4"/>
        <v>0.10019458964477851</v>
      </c>
      <c r="V38" s="170">
        <f t="shared" si="4"/>
        <v>0.29716903268405415</v>
      </c>
      <c r="W38" s="170">
        <f t="shared" si="4"/>
        <v>0.2271311475409836</v>
      </c>
      <c r="X38" s="170">
        <f t="shared" si="4"/>
        <v>0.19148393676695563</v>
      </c>
      <c r="Y38" s="170">
        <f t="shared" si="4"/>
        <v>0.11714727085478888</v>
      </c>
      <c r="Z38" s="170">
        <f t="shared" si="4"/>
        <v>0</v>
      </c>
      <c r="AA38" s="170">
        <f t="shared" si="4"/>
        <v>0.19313893653516295</v>
      </c>
      <c r="AB38" s="170">
        <f t="shared" si="4"/>
        <v>0.20969289827255277</v>
      </c>
      <c r="AC38" s="170">
        <f t="shared" si="4"/>
        <v>0.24306718779080588</v>
      </c>
      <c r="AD38" s="170">
        <f t="shared" si="4"/>
        <v>0.14616899843426437</v>
      </c>
      <c r="AE38" s="170">
        <f t="shared" si="4"/>
        <v>0.13638814016172507</v>
      </c>
      <c r="AF38" s="170">
        <f t="shared" si="4"/>
        <v>0.30825147347740667</v>
      </c>
      <c r="AG38" s="170">
        <f t="shared" si="4"/>
        <v>0.35606500290191528</v>
      </c>
      <c r="AH38" s="170">
        <f t="shared" si="4"/>
        <v>0.18647845468053492</v>
      </c>
      <c r="AI38" s="170" t="e">
        <f t="shared" si="4"/>
        <v>#DIV/0!</v>
      </c>
      <c r="AJ38" s="170" t="e">
        <f t="shared" si="4"/>
        <v>#DIV/0!</v>
      </c>
      <c r="AK38" s="170" t="e">
        <f t="shared" si="4"/>
        <v>#DIV/0!</v>
      </c>
      <c r="AL38" s="170" t="e">
        <f t="shared" si="4"/>
        <v>#DIV/0!</v>
      </c>
      <c r="AM38" s="170" t="e">
        <f t="shared" si="4"/>
        <v>#DIV/0!</v>
      </c>
    </row>
    <row r="39" spans="1:39">
      <c r="A39" s="33"/>
      <c r="C39" s="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</row>
    <row r="40" spans="1:39">
      <c r="A40" s="324" t="s">
        <v>60</v>
      </c>
      <c r="B40" s="50" t="s">
        <v>61</v>
      </c>
      <c r="C40" s="91" t="s">
        <v>62</v>
      </c>
      <c r="D40" s="81">
        <f>SUM(E40:AI40)</f>
        <v>460014</v>
      </c>
      <c r="E40" s="86">
        <v>4</v>
      </c>
      <c r="F40" s="86">
        <v>3</v>
      </c>
      <c r="G40" s="86">
        <v>3</v>
      </c>
      <c r="H40" s="86">
        <v>4</v>
      </c>
      <c r="I40" s="86">
        <v>15000</v>
      </c>
      <c r="J40" s="86">
        <v>18000</v>
      </c>
      <c r="K40" s="86">
        <v>17000</v>
      </c>
      <c r="L40" s="86">
        <v>18000</v>
      </c>
      <c r="M40" s="86">
        <v>17000</v>
      </c>
      <c r="N40" s="86">
        <v>18000</v>
      </c>
      <c r="O40" s="86">
        <v>17000</v>
      </c>
      <c r="P40" s="86">
        <v>18000</v>
      </c>
      <c r="Q40" s="86">
        <v>18000</v>
      </c>
      <c r="R40" s="86">
        <v>18000</v>
      </c>
      <c r="S40" s="86">
        <v>18000</v>
      </c>
      <c r="T40" s="86">
        <v>18000</v>
      </c>
      <c r="U40" s="86">
        <v>19000</v>
      </c>
      <c r="V40" s="86">
        <v>18000</v>
      </c>
      <c r="W40" s="86">
        <v>18000</v>
      </c>
      <c r="X40" s="86">
        <v>17000</v>
      </c>
      <c r="Y40" s="86">
        <v>17000</v>
      </c>
      <c r="Z40" s="86">
        <v>16000</v>
      </c>
      <c r="AA40" s="86">
        <v>15000</v>
      </c>
      <c r="AB40" s="86">
        <v>19000</v>
      </c>
      <c r="AC40" s="86">
        <v>18000</v>
      </c>
      <c r="AD40" s="86">
        <v>19000</v>
      </c>
      <c r="AE40" s="86">
        <v>17000</v>
      </c>
      <c r="AF40" s="86">
        <v>16000</v>
      </c>
      <c r="AG40" s="86">
        <v>16000</v>
      </c>
      <c r="AH40" s="86">
        <v>15000</v>
      </c>
      <c r="AI40" s="86">
        <v>10000</v>
      </c>
      <c r="AJ40" s="86">
        <v>6000</v>
      </c>
      <c r="AK40" s="86">
        <v>0</v>
      </c>
      <c r="AL40" s="86">
        <v>0</v>
      </c>
      <c r="AM40" s="86">
        <v>0</v>
      </c>
    </row>
    <row r="41" spans="1:39">
      <c r="A41" s="325"/>
      <c r="B41" s="39" t="s">
        <v>63</v>
      </c>
      <c r="C41" s="92" t="s">
        <v>62</v>
      </c>
      <c r="D41" s="82">
        <f>SUM(E41:AI41)</f>
        <v>1300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100</v>
      </c>
      <c r="M41" s="87"/>
      <c r="N41" s="87">
        <v>0</v>
      </c>
      <c r="O41" s="87">
        <v>200</v>
      </c>
      <c r="P41" s="87"/>
      <c r="Q41" s="87">
        <v>0</v>
      </c>
      <c r="R41" s="87">
        <v>0</v>
      </c>
      <c r="S41" s="87">
        <v>0</v>
      </c>
      <c r="T41" s="87">
        <v>0</v>
      </c>
      <c r="U41" s="87"/>
      <c r="V41" s="87">
        <v>300</v>
      </c>
      <c r="W41" s="87"/>
      <c r="X41" s="87"/>
      <c r="Y41" s="87">
        <v>300</v>
      </c>
      <c r="Z41" s="87"/>
      <c r="AA41" s="87">
        <v>0</v>
      </c>
      <c r="AB41" s="87">
        <v>0</v>
      </c>
      <c r="AC41" s="87">
        <v>200</v>
      </c>
      <c r="AD41" s="87"/>
      <c r="AE41" s="87">
        <v>0</v>
      </c>
      <c r="AF41" s="87">
        <v>0</v>
      </c>
      <c r="AG41" s="87">
        <v>0</v>
      </c>
      <c r="AH41" s="87">
        <v>200</v>
      </c>
      <c r="AI41" s="87">
        <v>0</v>
      </c>
      <c r="AJ41" s="87">
        <v>200</v>
      </c>
      <c r="AK41" s="87">
        <v>0</v>
      </c>
      <c r="AL41" s="87">
        <v>0</v>
      </c>
      <c r="AM41" s="87">
        <v>0</v>
      </c>
    </row>
    <row r="43" spans="1:39">
      <c r="W43" s="10"/>
    </row>
    <row r="44" spans="1:39" ht="13.5" customHeight="1"/>
    <row r="45" spans="1:39" ht="15" customHeight="1">
      <c r="A45" s="312" t="s">
        <v>64</v>
      </c>
      <c r="B45" s="93" t="s">
        <v>65</v>
      </c>
      <c r="C45" s="47" t="s">
        <v>8</v>
      </c>
      <c r="D45" s="83">
        <f>SUM(E45:AI45)</f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8">
        <v>0</v>
      </c>
      <c r="AH45" s="88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</row>
    <row r="46" spans="1:39">
      <c r="A46" s="313"/>
      <c r="B46" s="94" t="s">
        <v>66</v>
      </c>
      <c r="C46" s="38" t="s">
        <v>8</v>
      </c>
      <c r="D46" s="84">
        <f>SUM(E46:AI46)</f>
        <v>0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</row>
    <row r="47" spans="1:39">
      <c r="A47" s="313"/>
      <c r="B47" s="94" t="s">
        <v>67</v>
      </c>
      <c r="C47" s="38" t="s">
        <v>8</v>
      </c>
      <c r="D47" s="84">
        <f>SUM(E47:AI47)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</row>
    <row r="48" spans="1:39">
      <c r="A48" s="313"/>
      <c r="B48" s="95" t="s">
        <v>68</v>
      </c>
      <c r="C48" s="40" t="s">
        <v>8</v>
      </c>
      <c r="D48" s="84">
        <f>SUM(E48:AI48)</f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90">
        <v>0</v>
      </c>
      <c r="AJ48" s="90">
        <v>0</v>
      </c>
      <c r="AK48" s="90">
        <v>0</v>
      </c>
      <c r="AL48" s="90">
        <v>0</v>
      </c>
      <c r="AM48" s="90">
        <v>0</v>
      </c>
    </row>
    <row r="49" spans="1:39" ht="15" customHeight="1">
      <c r="A49" s="313"/>
      <c r="B49" s="93" t="s">
        <v>69</v>
      </c>
      <c r="C49" s="91" t="s">
        <v>48</v>
      </c>
      <c r="D49" s="85">
        <f>SUM(E49:Y49)</f>
        <v>0</v>
      </c>
      <c r="E49" s="86">
        <v>0</v>
      </c>
      <c r="F49" s="86">
        <v>0</v>
      </c>
      <c r="G49" s="86">
        <v>0</v>
      </c>
      <c r="H49" s="86">
        <v>0</v>
      </c>
      <c r="I49" s="86"/>
      <c r="J49" s="86"/>
      <c r="K49" s="86">
        <v>0</v>
      </c>
      <c r="L49" s="86"/>
      <c r="M49" s="86"/>
      <c r="N49" s="86">
        <v>0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6">
        <v>0</v>
      </c>
      <c r="AK49" s="86">
        <v>0</v>
      </c>
      <c r="AL49" s="86">
        <v>0</v>
      </c>
      <c r="AM49" s="86">
        <v>0</v>
      </c>
    </row>
    <row r="50" spans="1:39">
      <c r="A50" s="314"/>
      <c r="B50" s="95" t="s">
        <v>70</v>
      </c>
      <c r="C50" s="92" t="s">
        <v>48</v>
      </c>
      <c r="D50" s="82">
        <f>SUM(E50:Y50)</f>
        <v>0</v>
      </c>
      <c r="E50" s="87">
        <v>0</v>
      </c>
      <c r="F50" s="87">
        <v>0</v>
      </c>
      <c r="G50" s="87">
        <v>0</v>
      </c>
      <c r="H50" s="87">
        <v>0</v>
      </c>
      <c r="I50" s="87"/>
      <c r="J50" s="87"/>
      <c r="K50" s="87">
        <v>0</v>
      </c>
      <c r="L50" s="87"/>
      <c r="M50" s="87"/>
      <c r="N50" s="87">
        <v>0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>
        <v>0</v>
      </c>
      <c r="AE50" s="87">
        <v>0</v>
      </c>
      <c r="AF50" s="87">
        <v>0</v>
      </c>
      <c r="AG50" s="87">
        <v>0</v>
      </c>
      <c r="AH50" s="87">
        <v>0</v>
      </c>
      <c r="AI50" s="87">
        <v>0</v>
      </c>
      <c r="AJ50" s="87">
        <v>0</v>
      </c>
      <c r="AK50" s="87">
        <v>0</v>
      </c>
      <c r="AL50" s="87">
        <v>0</v>
      </c>
      <c r="AM50" s="87">
        <v>0</v>
      </c>
    </row>
    <row r="51" spans="1:39">
      <c r="B51" s="4"/>
      <c r="C51" s="4"/>
      <c r="D51" s="3"/>
      <c r="E51" s="3"/>
      <c r="G51" s="3"/>
      <c r="I51" s="3"/>
      <c r="K51" s="3"/>
      <c r="M51" s="3"/>
      <c r="O51" s="3"/>
      <c r="Q51" s="3"/>
      <c r="S51" s="3"/>
      <c r="U51" s="3"/>
      <c r="W51" s="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9">
      <c r="A52" s="315" t="s">
        <v>71</v>
      </c>
      <c r="B52" s="50" t="s">
        <v>72</v>
      </c>
      <c r="C52" s="45" t="s">
        <v>73</v>
      </c>
      <c r="D52" s="7" t="s">
        <v>73</v>
      </c>
      <c r="E52" s="7" t="s">
        <v>73</v>
      </c>
      <c r="F52" s="7" t="s">
        <v>73</v>
      </c>
      <c r="G52" s="7" t="s">
        <v>73</v>
      </c>
      <c r="H52" s="7" t="s">
        <v>73</v>
      </c>
      <c r="I52" s="7" t="s">
        <v>73</v>
      </c>
      <c r="J52" s="7" t="s">
        <v>73</v>
      </c>
      <c r="K52" s="7" t="s">
        <v>73</v>
      </c>
      <c r="L52" s="7" t="s">
        <v>73</v>
      </c>
      <c r="M52" s="7" t="s">
        <v>73</v>
      </c>
      <c r="N52" s="7" t="s">
        <v>73</v>
      </c>
      <c r="O52" s="7" t="s">
        <v>73</v>
      </c>
      <c r="P52" s="7" t="s">
        <v>73</v>
      </c>
      <c r="Q52" s="7" t="s">
        <v>73</v>
      </c>
      <c r="R52" s="7" t="s">
        <v>73</v>
      </c>
      <c r="S52" s="7" t="s">
        <v>73</v>
      </c>
      <c r="T52" s="7" t="s">
        <v>73</v>
      </c>
      <c r="U52" s="7" t="s">
        <v>73</v>
      </c>
      <c r="V52" s="7" t="s">
        <v>73</v>
      </c>
      <c r="W52" s="7" t="s">
        <v>73</v>
      </c>
      <c r="X52" s="7" t="s">
        <v>73</v>
      </c>
      <c r="Y52" s="7" t="s">
        <v>73</v>
      </c>
      <c r="Z52" s="7" t="s">
        <v>150</v>
      </c>
      <c r="AA52" s="7" t="s">
        <v>151</v>
      </c>
      <c r="AB52" s="7" t="s">
        <v>152</v>
      </c>
      <c r="AC52" s="7" t="s">
        <v>153</v>
      </c>
      <c r="AD52" s="7" t="s">
        <v>73</v>
      </c>
      <c r="AE52" s="7" t="s">
        <v>154</v>
      </c>
      <c r="AF52" s="7" t="s">
        <v>73</v>
      </c>
      <c r="AG52" s="7" t="s">
        <v>73</v>
      </c>
      <c r="AH52" s="7" t="s">
        <v>73</v>
      </c>
      <c r="AI52" s="7" t="s">
        <v>73</v>
      </c>
      <c r="AJ52" s="7" t="s">
        <v>73</v>
      </c>
      <c r="AK52" s="7" t="s">
        <v>73</v>
      </c>
      <c r="AL52" s="7" t="s">
        <v>73</v>
      </c>
      <c r="AM52" s="7" t="s">
        <v>73</v>
      </c>
    </row>
    <row r="53" spans="1:39">
      <c r="A53" s="316"/>
      <c r="B53" s="37" t="s">
        <v>74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75</v>
      </c>
      <c r="N53" s="8" t="s">
        <v>75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  <c r="AL53" s="8" t="s">
        <v>75</v>
      </c>
      <c r="AM53" s="8" t="s">
        <v>75</v>
      </c>
    </row>
    <row r="54" spans="1:39">
      <c r="A54" s="316"/>
      <c r="B54" s="37" t="s">
        <v>7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</row>
    <row r="55" spans="1:39">
      <c r="A55" s="316"/>
      <c r="B55" s="37" t="s">
        <v>76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/>
      <c r="Q55" s="8" t="s">
        <v>75</v>
      </c>
      <c r="R55" s="8"/>
      <c r="S55" s="8"/>
      <c r="T55" s="8" t="s">
        <v>75</v>
      </c>
      <c r="U55" s="8"/>
      <c r="V55" s="8" t="s">
        <v>75</v>
      </c>
      <c r="W55" s="8" t="s">
        <v>75</v>
      </c>
      <c r="X55" s="8" t="s">
        <v>75</v>
      </c>
      <c r="Y55" s="8" t="s">
        <v>75</v>
      </c>
      <c r="Z55" s="8"/>
      <c r="AA55" s="8" t="s">
        <v>75</v>
      </c>
      <c r="AB55" s="8" t="s">
        <v>75</v>
      </c>
      <c r="AC55" s="8" t="s">
        <v>75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</row>
    <row r="56" spans="1:39">
      <c r="A56" s="317"/>
      <c r="B56" s="39" t="s">
        <v>82</v>
      </c>
      <c r="C56" s="52" t="s">
        <v>75</v>
      </c>
      <c r="D56" s="9" t="s">
        <v>75</v>
      </c>
      <c r="E56" s="9" t="s">
        <v>75</v>
      </c>
      <c r="F56" s="9" t="s">
        <v>75</v>
      </c>
      <c r="G56" s="9" t="s">
        <v>75</v>
      </c>
      <c r="H56" s="9" t="s">
        <v>75</v>
      </c>
      <c r="I56" s="9" t="s">
        <v>75</v>
      </c>
      <c r="J56" s="9" t="s">
        <v>75</v>
      </c>
      <c r="K56" s="9" t="s">
        <v>75</v>
      </c>
      <c r="L56" s="9" t="s">
        <v>75</v>
      </c>
      <c r="M56" s="9" t="s">
        <v>75</v>
      </c>
      <c r="N56" s="9" t="s">
        <v>75</v>
      </c>
      <c r="O56" s="9" t="s">
        <v>75</v>
      </c>
      <c r="P56" s="9" t="s">
        <v>75</v>
      </c>
      <c r="Q56" s="9" t="s">
        <v>75</v>
      </c>
      <c r="R56" s="9" t="s">
        <v>75</v>
      </c>
      <c r="S56" s="9" t="s">
        <v>75</v>
      </c>
      <c r="T56" s="9" t="s">
        <v>75</v>
      </c>
      <c r="U56" s="9" t="s">
        <v>75</v>
      </c>
      <c r="V56" s="9" t="s">
        <v>75</v>
      </c>
      <c r="W56" s="9" t="s">
        <v>75</v>
      </c>
      <c r="X56" s="9" t="s">
        <v>75</v>
      </c>
      <c r="Y56" s="9" t="s">
        <v>75</v>
      </c>
      <c r="Z56" s="9" t="s">
        <v>75</v>
      </c>
      <c r="AA56" s="9" t="s">
        <v>75</v>
      </c>
      <c r="AB56" s="9" t="s">
        <v>75</v>
      </c>
      <c r="AC56" s="9" t="s">
        <v>75</v>
      </c>
      <c r="AD56" s="9" t="s">
        <v>75</v>
      </c>
      <c r="AE56" s="9" t="s">
        <v>75</v>
      </c>
      <c r="AF56" s="9" t="s">
        <v>75</v>
      </c>
      <c r="AG56" s="9" t="s">
        <v>75</v>
      </c>
      <c r="AH56" s="9" t="s">
        <v>75</v>
      </c>
      <c r="AI56" s="9" t="s">
        <v>75</v>
      </c>
      <c r="AJ56" s="9" t="s">
        <v>75</v>
      </c>
      <c r="AK56" s="9" t="s">
        <v>75</v>
      </c>
      <c r="AL56" s="9" t="s">
        <v>75</v>
      </c>
      <c r="AM56" s="9" t="s">
        <v>75</v>
      </c>
    </row>
    <row r="58" spans="1:39" ht="15.75">
      <c r="B58" s="53" t="s">
        <v>83</v>
      </c>
      <c r="C58" s="99" t="s">
        <v>84</v>
      </c>
      <c r="D58" s="100">
        <f t="shared" ref="D58:AM58" si="5">SUM(D59:D71)</f>
        <v>13916676</v>
      </c>
      <c r="E58" s="101">
        <f t="shared" si="5"/>
        <v>0</v>
      </c>
      <c r="F58" s="101">
        <f t="shared" si="5"/>
        <v>0</v>
      </c>
      <c r="G58" s="101">
        <f t="shared" si="5"/>
        <v>0</v>
      </c>
      <c r="H58" s="101">
        <f t="shared" si="5"/>
        <v>0</v>
      </c>
      <c r="I58" s="101">
        <f t="shared" si="5"/>
        <v>0</v>
      </c>
      <c r="J58" s="101">
        <f t="shared" si="5"/>
        <v>128012</v>
      </c>
      <c r="K58" s="101">
        <f t="shared" si="5"/>
        <v>511384</v>
      </c>
      <c r="L58" s="101">
        <f t="shared" si="5"/>
        <v>665456</v>
      </c>
      <c r="M58" s="101">
        <f t="shared" si="5"/>
        <v>806040</v>
      </c>
      <c r="N58" s="101">
        <f t="shared" si="5"/>
        <v>726212</v>
      </c>
      <c r="O58" s="101">
        <f t="shared" si="5"/>
        <v>567292</v>
      </c>
      <c r="P58" s="101">
        <f t="shared" si="5"/>
        <v>670068</v>
      </c>
      <c r="Q58" s="101">
        <f t="shared" si="5"/>
        <v>590608</v>
      </c>
      <c r="R58" s="102">
        <f t="shared" si="5"/>
        <v>500602</v>
      </c>
      <c r="S58" s="101">
        <f t="shared" si="5"/>
        <v>599516</v>
      </c>
      <c r="T58" s="100">
        <f t="shared" si="5"/>
        <v>644442</v>
      </c>
      <c r="U58" s="101">
        <f t="shared" si="5"/>
        <v>718198</v>
      </c>
      <c r="V58" s="101">
        <f t="shared" si="5"/>
        <v>730846</v>
      </c>
      <c r="W58" s="101">
        <f t="shared" si="5"/>
        <v>711988</v>
      </c>
      <c r="X58" s="102">
        <f t="shared" si="5"/>
        <v>787402</v>
      </c>
      <c r="Y58" s="101">
        <f t="shared" si="5"/>
        <v>751478</v>
      </c>
      <c r="Z58" s="101">
        <f t="shared" si="5"/>
        <v>285558</v>
      </c>
      <c r="AA58" s="101">
        <f t="shared" si="5"/>
        <v>334688</v>
      </c>
      <c r="AB58" s="101">
        <f t="shared" si="5"/>
        <v>422114</v>
      </c>
      <c r="AC58" s="101">
        <f t="shared" si="5"/>
        <v>473946</v>
      </c>
      <c r="AD58" s="101">
        <f t="shared" si="5"/>
        <v>555290</v>
      </c>
      <c r="AE58" s="101">
        <f t="shared" si="5"/>
        <v>362404</v>
      </c>
      <c r="AF58" s="101">
        <f t="shared" si="5"/>
        <v>462918</v>
      </c>
      <c r="AG58" s="101">
        <f t="shared" si="5"/>
        <v>640644</v>
      </c>
      <c r="AH58" s="101">
        <f t="shared" si="5"/>
        <v>269570</v>
      </c>
      <c r="AI58" s="103">
        <f t="shared" si="5"/>
        <v>0</v>
      </c>
      <c r="AJ58" s="103">
        <f t="shared" si="5"/>
        <v>0</v>
      </c>
      <c r="AK58" s="103">
        <f t="shared" si="5"/>
        <v>0</v>
      </c>
      <c r="AL58" s="103">
        <f t="shared" si="5"/>
        <v>0</v>
      </c>
      <c r="AM58" s="103">
        <f t="shared" si="5"/>
        <v>0</v>
      </c>
    </row>
    <row r="59" spans="1:39">
      <c r="B59" s="96" t="s">
        <v>47</v>
      </c>
      <c r="C59" s="111">
        <v>41.89</v>
      </c>
      <c r="D59" s="97">
        <f t="shared" ref="D59:AM59" si="6">D26*$C59</f>
        <v>0</v>
      </c>
      <c r="E59" s="104">
        <f t="shared" si="6"/>
        <v>0</v>
      </c>
      <c r="F59" s="104">
        <f t="shared" si="6"/>
        <v>0</v>
      </c>
      <c r="G59" s="104">
        <f t="shared" si="6"/>
        <v>0</v>
      </c>
      <c r="H59" s="104">
        <f t="shared" si="6"/>
        <v>0</v>
      </c>
      <c r="I59" s="104">
        <f t="shared" si="6"/>
        <v>0</v>
      </c>
      <c r="J59" s="104">
        <f t="shared" si="6"/>
        <v>0</v>
      </c>
      <c r="K59" s="104">
        <f t="shared" si="6"/>
        <v>0</v>
      </c>
      <c r="L59" s="104">
        <f t="shared" si="6"/>
        <v>0</v>
      </c>
      <c r="M59" s="104">
        <f t="shared" si="6"/>
        <v>0</v>
      </c>
      <c r="N59" s="104">
        <f t="shared" si="6"/>
        <v>0</v>
      </c>
      <c r="O59" s="104">
        <f t="shared" si="6"/>
        <v>0</v>
      </c>
      <c r="P59" s="104">
        <f t="shared" si="6"/>
        <v>0</v>
      </c>
      <c r="Q59" s="104">
        <f t="shared" si="6"/>
        <v>0</v>
      </c>
      <c r="R59" s="104">
        <f t="shared" si="6"/>
        <v>0</v>
      </c>
      <c r="S59" s="104">
        <f t="shared" si="6"/>
        <v>0</v>
      </c>
      <c r="T59" s="104">
        <f t="shared" si="6"/>
        <v>0</v>
      </c>
      <c r="U59" s="104">
        <f t="shared" si="6"/>
        <v>0</v>
      </c>
      <c r="V59" s="104">
        <f t="shared" si="6"/>
        <v>0</v>
      </c>
      <c r="W59" s="104">
        <f t="shared" si="6"/>
        <v>0</v>
      </c>
      <c r="X59" s="105">
        <f t="shared" si="6"/>
        <v>0</v>
      </c>
      <c r="Y59" s="104">
        <f t="shared" si="6"/>
        <v>0</v>
      </c>
      <c r="Z59" s="104">
        <f t="shared" si="6"/>
        <v>0</v>
      </c>
      <c r="AA59" s="104">
        <f t="shared" si="6"/>
        <v>0</v>
      </c>
      <c r="AB59" s="104">
        <f t="shared" si="6"/>
        <v>0</v>
      </c>
      <c r="AC59" s="104">
        <f t="shared" si="6"/>
        <v>0</v>
      </c>
      <c r="AD59" s="104">
        <f t="shared" si="6"/>
        <v>0</v>
      </c>
      <c r="AE59" s="104">
        <f t="shared" si="6"/>
        <v>0</v>
      </c>
      <c r="AF59" s="104">
        <f t="shared" si="6"/>
        <v>0</v>
      </c>
      <c r="AG59" s="104">
        <f t="shared" si="6"/>
        <v>0</v>
      </c>
      <c r="AH59" s="104">
        <f t="shared" si="6"/>
        <v>0</v>
      </c>
      <c r="AI59" s="104">
        <f t="shared" si="6"/>
        <v>0</v>
      </c>
      <c r="AJ59" s="104">
        <f t="shared" si="6"/>
        <v>0</v>
      </c>
      <c r="AK59" s="104">
        <f t="shared" si="6"/>
        <v>0</v>
      </c>
      <c r="AL59" s="104">
        <f t="shared" si="6"/>
        <v>0</v>
      </c>
      <c r="AM59" s="104">
        <f t="shared" si="6"/>
        <v>0</v>
      </c>
    </row>
    <row r="60" spans="1:39">
      <c r="B60" s="96" t="s">
        <v>49</v>
      </c>
      <c r="C60" s="111">
        <v>28.98</v>
      </c>
      <c r="D60" s="97">
        <f t="shared" ref="D60:AM60" si="7">D27*$C60</f>
        <v>0</v>
      </c>
      <c r="E60" s="104">
        <f t="shared" si="7"/>
        <v>0</v>
      </c>
      <c r="F60" s="104">
        <f t="shared" si="7"/>
        <v>0</v>
      </c>
      <c r="G60" s="104">
        <f t="shared" si="7"/>
        <v>0</v>
      </c>
      <c r="H60" s="104">
        <f t="shared" si="7"/>
        <v>0</v>
      </c>
      <c r="I60" s="104">
        <f t="shared" si="7"/>
        <v>0</v>
      </c>
      <c r="J60" s="104">
        <f t="shared" si="7"/>
        <v>0</v>
      </c>
      <c r="K60" s="104">
        <f t="shared" si="7"/>
        <v>0</v>
      </c>
      <c r="L60" s="104">
        <f t="shared" si="7"/>
        <v>0</v>
      </c>
      <c r="M60" s="104">
        <f t="shared" si="7"/>
        <v>0</v>
      </c>
      <c r="N60" s="104">
        <f t="shared" si="7"/>
        <v>0</v>
      </c>
      <c r="O60" s="104">
        <f t="shared" si="7"/>
        <v>0</v>
      </c>
      <c r="P60" s="104">
        <f t="shared" si="7"/>
        <v>0</v>
      </c>
      <c r="Q60" s="104">
        <f t="shared" si="7"/>
        <v>0</v>
      </c>
      <c r="R60" s="105">
        <f t="shared" si="7"/>
        <v>0</v>
      </c>
      <c r="S60" s="104">
        <f t="shared" si="7"/>
        <v>0</v>
      </c>
      <c r="T60" s="106">
        <f t="shared" si="7"/>
        <v>0</v>
      </c>
      <c r="U60" s="104">
        <f t="shared" si="7"/>
        <v>0</v>
      </c>
      <c r="V60" s="104">
        <f t="shared" si="7"/>
        <v>0</v>
      </c>
      <c r="W60" s="104">
        <f t="shared" si="7"/>
        <v>0</v>
      </c>
      <c r="X60" s="105">
        <f t="shared" si="7"/>
        <v>0</v>
      </c>
      <c r="Y60" s="104">
        <f t="shared" si="7"/>
        <v>0</v>
      </c>
      <c r="Z60" s="104">
        <f t="shared" si="7"/>
        <v>0</v>
      </c>
      <c r="AA60" s="104">
        <f t="shared" si="7"/>
        <v>0</v>
      </c>
      <c r="AB60" s="104">
        <f t="shared" si="7"/>
        <v>0</v>
      </c>
      <c r="AC60" s="104">
        <f t="shared" si="7"/>
        <v>0</v>
      </c>
      <c r="AD60" s="104">
        <f t="shared" si="7"/>
        <v>0</v>
      </c>
      <c r="AE60" s="104">
        <f t="shared" si="7"/>
        <v>0</v>
      </c>
      <c r="AF60" s="104">
        <f t="shared" si="7"/>
        <v>0</v>
      </c>
      <c r="AG60" s="104">
        <f t="shared" si="7"/>
        <v>0</v>
      </c>
      <c r="AH60" s="104">
        <f t="shared" si="7"/>
        <v>0</v>
      </c>
      <c r="AI60" s="104">
        <f t="shared" si="7"/>
        <v>0</v>
      </c>
      <c r="AJ60" s="104">
        <f t="shared" si="7"/>
        <v>0</v>
      </c>
      <c r="AK60" s="104">
        <f t="shared" si="7"/>
        <v>0</v>
      </c>
      <c r="AL60" s="104">
        <f t="shared" si="7"/>
        <v>0</v>
      </c>
      <c r="AM60" s="104">
        <f t="shared" si="7"/>
        <v>0</v>
      </c>
    </row>
    <row r="61" spans="1:39">
      <c r="B61" s="96" t="s">
        <v>50</v>
      </c>
      <c r="C61" s="111">
        <v>20.88</v>
      </c>
      <c r="D61" s="97">
        <f t="shared" ref="D61:AM61" si="8">D28*$C61</f>
        <v>0</v>
      </c>
      <c r="E61" s="104">
        <f t="shared" si="8"/>
        <v>0</v>
      </c>
      <c r="F61" s="104">
        <f t="shared" si="8"/>
        <v>0</v>
      </c>
      <c r="G61" s="104">
        <f t="shared" si="8"/>
        <v>0</v>
      </c>
      <c r="H61" s="104">
        <f t="shared" si="8"/>
        <v>0</v>
      </c>
      <c r="I61" s="104">
        <f t="shared" si="8"/>
        <v>0</v>
      </c>
      <c r="J61" s="104">
        <f t="shared" si="8"/>
        <v>0</v>
      </c>
      <c r="K61" s="104">
        <f t="shared" si="8"/>
        <v>0</v>
      </c>
      <c r="L61" s="104">
        <f t="shared" si="8"/>
        <v>0</v>
      </c>
      <c r="M61" s="104">
        <f t="shared" si="8"/>
        <v>0</v>
      </c>
      <c r="N61" s="104">
        <f t="shared" si="8"/>
        <v>0</v>
      </c>
      <c r="O61" s="104">
        <f t="shared" si="8"/>
        <v>0</v>
      </c>
      <c r="P61" s="104">
        <f t="shared" si="8"/>
        <v>0</v>
      </c>
      <c r="Q61" s="104">
        <f t="shared" si="8"/>
        <v>0</v>
      </c>
      <c r="R61" s="105">
        <f t="shared" si="8"/>
        <v>0</v>
      </c>
      <c r="S61" s="104">
        <f t="shared" si="8"/>
        <v>0</v>
      </c>
      <c r="T61" s="106">
        <f t="shared" si="8"/>
        <v>0</v>
      </c>
      <c r="U61" s="104">
        <f t="shared" si="8"/>
        <v>0</v>
      </c>
      <c r="V61" s="104">
        <f t="shared" si="8"/>
        <v>0</v>
      </c>
      <c r="W61" s="104">
        <f t="shared" si="8"/>
        <v>0</v>
      </c>
      <c r="X61" s="105">
        <f t="shared" si="8"/>
        <v>0</v>
      </c>
      <c r="Y61" s="104">
        <f t="shared" si="8"/>
        <v>0</v>
      </c>
      <c r="Z61" s="104">
        <f t="shared" si="8"/>
        <v>0</v>
      </c>
      <c r="AA61" s="104">
        <f t="shared" si="8"/>
        <v>0</v>
      </c>
      <c r="AB61" s="104">
        <f t="shared" si="8"/>
        <v>0</v>
      </c>
      <c r="AC61" s="104">
        <f t="shared" si="8"/>
        <v>0</v>
      </c>
      <c r="AD61" s="104">
        <f t="shared" si="8"/>
        <v>0</v>
      </c>
      <c r="AE61" s="104">
        <f t="shared" si="8"/>
        <v>0</v>
      </c>
      <c r="AF61" s="104">
        <f t="shared" si="8"/>
        <v>0</v>
      </c>
      <c r="AG61" s="104">
        <f t="shared" si="8"/>
        <v>0</v>
      </c>
      <c r="AH61" s="104">
        <f t="shared" si="8"/>
        <v>0</v>
      </c>
      <c r="AI61" s="104">
        <f t="shared" si="8"/>
        <v>0</v>
      </c>
      <c r="AJ61" s="104">
        <f t="shared" si="8"/>
        <v>0</v>
      </c>
      <c r="AK61" s="104">
        <f t="shared" si="8"/>
        <v>0</v>
      </c>
      <c r="AL61" s="104">
        <f t="shared" si="8"/>
        <v>0</v>
      </c>
      <c r="AM61" s="104">
        <f t="shared" si="8"/>
        <v>0</v>
      </c>
    </row>
    <row r="62" spans="1:39">
      <c r="B62" s="96" t="s">
        <v>51</v>
      </c>
      <c r="C62" s="111">
        <v>15</v>
      </c>
      <c r="D62" s="97">
        <f t="shared" ref="D62:AM62" si="9">D29*$C62</f>
        <v>0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0</v>
      </c>
      <c r="K62" s="104">
        <f t="shared" si="9"/>
        <v>0</v>
      </c>
      <c r="L62" s="104">
        <f t="shared" si="9"/>
        <v>0</v>
      </c>
      <c r="M62" s="104">
        <f t="shared" si="9"/>
        <v>0</v>
      </c>
      <c r="N62" s="104">
        <f t="shared" si="9"/>
        <v>0</v>
      </c>
      <c r="O62" s="104">
        <f t="shared" si="9"/>
        <v>0</v>
      </c>
      <c r="P62" s="104">
        <f t="shared" si="9"/>
        <v>0</v>
      </c>
      <c r="Q62" s="104">
        <f t="shared" si="9"/>
        <v>0</v>
      </c>
      <c r="R62" s="105">
        <f t="shared" si="9"/>
        <v>0</v>
      </c>
      <c r="S62" s="104">
        <f t="shared" si="9"/>
        <v>0</v>
      </c>
      <c r="T62" s="106">
        <f t="shared" si="9"/>
        <v>0</v>
      </c>
      <c r="U62" s="104">
        <f t="shared" si="9"/>
        <v>0</v>
      </c>
      <c r="V62" s="104">
        <f t="shared" si="9"/>
        <v>0</v>
      </c>
      <c r="W62" s="104">
        <f t="shared" si="9"/>
        <v>0</v>
      </c>
      <c r="X62" s="105">
        <f t="shared" si="9"/>
        <v>0</v>
      </c>
      <c r="Y62" s="104">
        <f t="shared" si="9"/>
        <v>0</v>
      </c>
      <c r="Z62" s="104">
        <f t="shared" si="9"/>
        <v>0</v>
      </c>
      <c r="AA62" s="104">
        <f t="shared" si="9"/>
        <v>0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0</v>
      </c>
      <c r="AF62" s="104">
        <f t="shared" si="9"/>
        <v>0</v>
      </c>
      <c r="AG62" s="104">
        <f t="shared" si="9"/>
        <v>0</v>
      </c>
      <c r="AH62" s="104">
        <f t="shared" si="9"/>
        <v>0</v>
      </c>
      <c r="AI62" s="104">
        <f t="shared" si="9"/>
        <v>0</v>
      </c>
      <c r="AJ62" s="104">
        <f t="shared" si="9"/>
        <v>0</v>
      </c>
      <c r="AK62" s="104">
        <f t="shared" si="9"/>
        <v>0</v>
      </c>
      <c r="AL62" s="104">
        <f t="shared" si="9"/>
        <v>0</v>
      </c>
      <c r="AM62" s="104">
        <f t="shared" si="9"/>
        <v>0</v>
      </c>
    </row>
    <row r="63" spans="1:39">
      <c r="B63" s="96" t="s">
        <v>52</v>
      </c>
      <c r="C63" s="111">
        <v>6</v>
      </c>
      <c r="D63" s="97">
        <f t="shared" ref="D63:AM63" si="10">D30*$C63</f>
        <v>0</v>
      </c>
      <c r="E63" s="104">
        <f t="shared" si="10"/>
        <v>0</v>
      </c>
      <c r="F63" s="104">
        <f t="shared" si="10"/>
        <v>0</v>
      </c>
      <c r="G63" s="104">
        <f t="shared" si="10"/>
        <v>0</v>
      </c>
      <c r="H63" s="104">
        <f t="shared" si="10"/>
        <v>0</v>
      </c>
      <c r="I63" s="104">
        <f t="shared" si="10"/>
        <v>0</v>
      </c>
      <c r="J63" s="104">
        <f t="shared" si="10"/>
        <v>0</v>
      </c>
      <c r="K63" s="104">
        <f t="shared" si="10"/>
        <v>0</v>
      </c>
      <c r="L63" s="104">
        <f t="shared" si="10"/>
        <v>0</v>
      </c>
      <c r="M63" s="104">
        <f t="shared" si="10"/>
        <v>0</v>
      </c>
      <c r="N63" s="104">
        <f t="shared" si="10"/>
        <v>0</v>
      </c>
      <c r="O63" s="104">
        <f t="shared" si="10"/>
        <v>0</v>
      </c>
      <c r="P63" s="104">
        <f t="shared" si="10"/>
        <v>0</v>
      </c>
      <c r="Q63" s="104">
        <f t="shared" si="10"/>
        <v>0</v>
      </c>
      <c r="R63" s="105">
        <f t="shared" si="10"/>
        <v>0</v>
      </c>
      <c r="S63" s="104">
        <f t="shared" si="10"/>
        <v>0</v>
      </c>
      <c r="T63" s="106">
        <f t="shared" si="10"/>
        <v>0</v>
      </c>
      <c r="U63" s="104">
        <f t="shared" si="10"/>
        <v>0</v>
      </c>
      <c r="V63" s="104">
        <f t="shared" si="10"/>
        <v>0</v>
      </c>
      <c r="W63" s="104">
        <f t="shared" si="10"/>
        <v>0</v>
      </c>
      <c r="X63" s="105">
        <f t="shared" si="10"/>
        <v>0</v>
      </c>
      <c r="Y63" s="104">
        <f t="shared" si="10"/>
        <v>0</v>
      </c>
      <c r="Z63" s="104">
        <f t="shared" si="10"/>
        <v>0</v>
      </c>
      <c r="AA63" s="104">
        <f t="shared" si="10"/>
        <v>0</v>
      </c>
      <c r="AB63" s="104">
        <f t="shared" si="10"/>
        <v>0</v>
      </c>
      <c r="AC63" s="104">
        <f t="shared" si="10"/>
        <v>0</v>
      </c>
      <c r="AD63" s="104">
        <f t="shared" si="10"/>
        <v>0</v>
      </c>
      <c r="AE63" s="104">
        <f t="shared" si="10"/>
        <v>0</v>
      </c>
      <c r="AF63" s="104">
        <f t="shared" si="10"/>
        <v>0</v>
      </c>
      <c r="AG63" s="104">
        <f t="shared" si="10"/>
        <v>0</v>
      </c>
      <c r="AH63" s="104">
        <f t="shared" si="10"/>
        <v>0</v>
      </c>
      <c r="AI63" s="104">
        <f t="shared" si="10"/>
        <v>0</v>
      </c>
      <c r="AJ63" s="104">
        <f t="shared" si="10"/>
        <v>0</v>
      </c>
      <c r="AK63" s="104">
        <f t="shared" si="10"/>
        <v>0</v>
      </c>
      <c r="AL63" s="104">
        <f t="shared" si="10"/>
        <v>0</v>
      </c>
      <c r="AM63" s="104">
        <f t="shared" si="10"/>
        <v>0</v>
      </c>
    </row>
    <row r="64" spans="1:39">
      <c r="B64" s="96" t="s">
        <v>53</v>
      </c>
      <c r="C64" s="111">
        <v>12</v>
      </c>
      <c r="D64" s="97"/>
      <c r="E64" s="104">
        <f t="shared" ref="E64:AM64" si="11">E31*$C64</f>
        <v>0</v>
      </c>
      <c r="F64" s="104">
        <f t="shared" si="11"/>
        <v>0</v>
      </c>
      <c r="G64" s="104">
        <f t="shared" si="11"/>
        <v>0</v>
      </c>
      <c r="H64" s="104">
        <f t="shared" si="11"/>
        <v>0</v>
      </c>
      <c r="I64" s="104">
        <f t="shared" si="11"/>
        <v>0</v>
      </c>
      <c r="J64" s="104">
        <f t="shared" si="11"/>
        <v>0</v>
      </c>
      <c r="K64" s="104">
        <f t="shared" si="11"/>
        <v>0</v>
      </c>
      <c r="L64" s="104">
        <f t="shared" si="11"/>
        <v>0</v>
      </c>
      <c r="M64" s="104">
        <f t="shared" si="11"/>
        <v>0</v>
      </c>
      <c r="N64" s="104">
        <f t="shared" si="11"/>
        <v>0</v>
      </c>
      <c r="O64" s="104">
        <f t="shared" si="11"/>
        <v>0</v>
      </c>
      <c r="P64" s="104">
        <f t="shared" si="11"/>
        <v>0</v>
      </c>
      <c r="Q64" s="104">
        <f t="shared" si="11"/>
        <v>0</v>
      </c>
      <c r="R64" s="105">
        <f t="shared" si="11"/>
        <v>0</v>
      </c>
      <c r="S64" s="104">
        <f t="shared" si="11"/>
        <v>0</v>
      </c>
      <c r="T64" s="106">
        <f t="shared" si="11"/>
        <v>0</v>
      </c>
      <c r="U64" s="104">
        <f t="shared" si="11"/>
        <v>0</v>
      </c>
      <c r="V64" s="104">
        <f t="shared" si="11"/>
        <v>0</v>
      </c>
      <c r="W64" s="104">
        <f t="shared" si="11"/>
        <v>0</v>
      </c>
      <c r="X64" s="105">
        <f t="shared" si="11"/>
        <v>0</v>
      </c>
      <c r="Y64" s="104">
        <f t="shared" si="11"/>
        <v>0</v>
      </c>
      <c r="Z64" s="104">
        <f t="shared" si="11"/>
        <v>0</v>
      </c>
      <c r="AA64" s="104">
        <f t="shared" si="11"/>
        <v>0</v>
      </c>
      <c r="AB64" s="104">
        <f t="shared" si="11"/>
        <v>0</v>
      </c>
      <c r="AC64" s="104">
        <f t="shared" si="11"/>
        <v>0</v>
      </c>
      <c r="AD64" s="104">
        <f t="shared" si="11"/>
        <v>0</v>
      </c>
      <c r="AE64" s="104">
        <f t="shared" si="11"/>
        <v>0</v>
      </c>
      <c r="AF64" s="104">
        <f t="shared" si="11"/>
        <v>0</v>
      </c>
      <c r="AG64" s="104">
        <f t="shared" si="11"/>
        <v>0</v>
      </c>
      <c r="AH64" s="104">
        <f t="shared" si="11"/>
        <v>0</v>
      </c>
      <c r="AI64" s="104">
        <f t="shared" si="11"/>
        <v>0</v>
      </c>
      <c r="AJ64" s="104">
        <f t="shared" si="11"/>
        <v>0</v>
      </c>
      <c r="AK64" s="104">
        <f t="shared" si="11"/>
        <v>0</v>
      </c>
      <c r="AL64" s="104">
        <f t="shared" si="11"/>
        <v>0</v>
      </c>
      <c r="AM64" s="104">
        <f t="shared" si="11"/>
        <v>0</v>
      </c>
    </row>
    <row r="65" spans="2:39">
      <c r="B65" s="96" t="s">
        <v>54</v>
      </c>
      <c r="C65" s="111">
        <v>4</v>
      </c>
      <c r="D65" s="97">
        <f t="shared" ref="D65:D70" si="12">D32*$C65</f>
        <v>0</v>
      </c>
      <c r="E65" s="104">
        <f t="shared" ref="E65:AM65" si="13">E32*$C65</f>
        <v>0</v>
      </c>
      <c r="F65" s="104">
        <f t="shared" si="13"/>
        <v>0</v>
      </c>
      <c r="G65" s="104">
        <f t="shared" si="13"/>
        <v>0</v>
      </c>
      <c r="H65" s="104">
        <f t="shared" si="13"/>
        <v>0</v>
      </c>
      <c r="I65" s="104">
        <f t="shared" si="13"/>
        <v>0</v>
      </c>
      <c r="J65" s="104">
        <f t="shared" si="13"/>
        <v>0</v>
      </c>
      <c r="K65" s="104">
        <f t="shared" si="13"/>
        <v>0</v>
      </c>
      <c r="L65" s="104">
        <f t="shared" si="13"/>
        <v>0</v>
      </c>
      <c r="M65" s="104">
        <f t="shared" si="13"/>
        <v>0</v>
      </c>
      <c r="N65" s="104">
        <f t="shared" si="13"/>
        <v>0</v>
      </c>
      <c r="O65" s="104">
        <f t="shared" si="13"/>
        <v>0</v>
      </c>
      <c r="P65" s="104">
        <f t="shared" si="13"/>
        <v>0</v>
      </c>
      <c r="Q65" s="104">
        <f t="shared" si="13"/>
        <v>0</v>
      </c>
      <c r="R65" s="105">
        <f t="shared" si="13"/>
        <v>0</v>
      </c>
      <c r="S65" s="104">
        <f t="shared" si="13"/>
        <v>0</v>
      </c>
      <c r="T65" s="106">
        <f t="shared" si="13"/>
        <v>0</v>
      </c>
      <c r="U65" s="104">
        <f t="shared" si="13"/>
        <v>0</v>
      </c>
      <c r="V65" s="104">
        <f t="shared" si="13"/>
        <v>0</v>
      </c>
      <c r="W65" s="104">
        <f t="shared" si="13"/>
        <v>0</v>
      </c>
      <c r="X65" s="105">
        <f t="shared" si="13"/>
        <v>0</v>
      </c>
      <c r="Y65" s="104">
        <f t="shared" si="13"/>
        <v>0</v>
      </c>
      <c r="Z65" s="104">
        <f t="shared" si="13"/>
        <v>0</v>
      </c>
      <c r="AA65" s="104">
        <f t="shared" si="13"/>
        <v>0</v>
      </c>
      <c r="AB65" s="104">
        <f t="shared" si="13"/>
        <v>0</v>
      </c>
      <c r="AC65" s="104">
        <f t="shared" si="13"/>
        <v>0</v>
      </c>
      <c r="AD65" s="104">
        <f t="shared" si="13"/>
        <v>0</v>
      </c>
      <c r="AE65" s="104">
        <f t="shared" si="13"/>
        <v>0</v>
      </c>
      <c r="AF65" s="104">
        <f t="shared" si="13"/>
        <v>0</v>
      </c>
      <c r="AG65" s="104">
        <f t="shared" si="13"/>
        <v>0</v>
      </c>
      <c r="AH65" s="104">
        <f t="shared" si="13"/>
        <v>0</v>
      </c>
      <c r="AI65" s="104">
        <f t="shared" si="13"/>
        <v>0</v>
      </c>
      <c r="AJ65" s="104">
        <f t="shared" si="13"/>
        <v>0</v>
      </c>
      <c r="AK65" s="104">
        <f t="shared" si="13"/>
        <v>0</v>
      </c>
      <c r="AL65" s="104">
        <f t="shared" si="13"/>
        <v>0</v>
      </c>
      <c r="AM65" s="104">
        <f t="shared" si="13"/>
        <v>0</v>
      </c>
    </row>
    <row r="66" spans="2:39">
      <c r="B66" s="96" t="s">
        <v>55</v>
      </c>
      <c r="C66" s="111">
        <v>47.6</v>
      </c>
      <c r="D66" s="97">
        <f t="shared" si="12"/>
        <v>0</v>
      </c>
      <c r="E66" s="104">
        <f t="shared" ref="E66:AH66" si="14">E33*$C66</f>
        <v>0</v>
      </c>
      <c r="F66" s="104">
        <f t="shared" si="14"/>
        <v>0</v>
      </c>
      <c r="G66" s="104">
        <f t="shared" si="14"/>
        <v>0</v>
      </c>
      <c r="H66" s="104">
        <f t="shared" si="14"/>
        <v>0</v>
      </c>
      <c r="I66" s="104">
        <f t="shared" si="14"/>
        <v>0</v>
      </c>
      <c r="J66" s="104">
        <f t="shared" si="14"/>
        <v>0</v>
      </c>
      <c r="K66" s="104">
        <f t="shared" si="14"/>
        <v>0</v>
      </c>
      <c r="L66" s="104">
        <f t="shared" si="14"/>
        <v>0</v>
      </c>
      <c r="M66" s="104">
        <f t="shared" si="14"/>
        <v>0</v>
      </c>
      <c r="N66" s="104">
        <f t="shared" si="14"/>
        <v>0</v>
      </c>
      <c r="O66" s="104">
        <f t="shared" si="14"/>
        <v>0</v>
      </c>
      <c r="P66" s="104">
        <f t="shared" si="14"/>
        <v>0</v>
      </c>
      <c r="Q66" s="104">
        <f t="shared" si="14"/>
        <v>0</v>
      </c>
      <c r="R66" s="105">
        <f t="shared" si="14"/>
        <v>0</v>
      </c>
      <c r="S66" s="104">
        <f t="shared" si="14"/>
        <v>0</v>
      </c>
      <c r="T66" s="106">
        <f t="shared" si="14"/>
        <v>0</v>
      </c>
      <c r="U66" s="104">
        <f t="shared" si="14"/>
        <v>0</v>
      </c>
      <c r="V66" s="104">
        <f t="shared" si="14"/>
        <v>0</v>
      </c>
      <c r="W66" s="104">
        <f t="shared" si="14"/>
        <v>0</v>
      </c>
      <c r="X66" s="105">
        <f t="shared" si="14"/>
        <v>0</v>
      </c>
      <c r="Y66" s="104">
        <f t="shared" si="14"/>
        <v>0</v>
      </c>
      <c r="Z66" s="104">
        <f t="shared" si="14"/>
        <v>0</v>
      </c>
      <c r="AA66" s="104">
        <f t="shared" si="14"/>
        <v>0</v>
      </c>
      <c r="AB66" s="104">
        <f t="shared" si="14"/>
        <v>0</v>
      </c>
      <c r="AC66" s="104">
        <f t="shared" si="14"/>
        <v>0</v>
      </c>
      <c r="AD66" s="104">
        <f t="shared" si="14"/>
        <v>0</v>
      </c>
      <c r="AE66" s="104">
        <f t="shared" si="14"/>
        <v>0</v>
      </c>
      <c r="AF66" s="104">
        <f t="shared" si="14"/>
        <v>0</v>
      </c>
      <c r="AG66" s="104">
        <f t="shared" si="14"/>
        <v>0</v>
      </c>
      <c r="AH66" s="104">
        <f t="shared" si="14"/>
        <v>0</v>
      </c>
      <c r="AI66" s="104">
        <f>AL33*$C66</f>
        <v>0</v>
      </c>
      <c r="AJ66" s="104">
        <f>AM33*$C66</f>
        <v>0</v>
      </c>
      <c r="AK66" s="104">
        <f>AN33*$C66</f>
        <v>0</v>
      </c>
      <c r="AL66" s="104">
        <f>AO33*$C66</f>
        <v>0</v>
      </c>
      <c r="AM66" s="104">
        <f>AP33*$C66</f>
        <v>0</v>
      </c>
    </row>
    <row r="67" spans="2:39">
      <c r="B67" s="96" t="s">
        <v>56</v>
      </c>
      <c r="C67" s="111">
        <v>27.39</v>
      </c>
      <c r="D67" s="97">
        <f t="shared" si="12"/>
        <v>0</v>
      </c>
      <c r="E67" s="104">
        <f t="shared" ref="E67:AH67" si="15">E34*$C67</f>
        <v>0</v>
      </c>
      <c r="F67" s="104">
        <f t="shared" si="15"/>
        <v>0</v>
      </c>
      <c r="G67" s="104">
        <f t="shared" si="15"/>
        <v>0</v>
      </c>
      <c r="H67" s="104">
        <f t="shared" si="15"/>
        <v>0</v>
      </c>
      <c r="I67" s="104">
        <f t="shared" si="15"/>
        <v>0</v>
      </c>
      <c r="J67" s="104">
        <f t="shared" si="15"/>
        <v>0</v>
      </c>
      <c r="K67" s="104">
        <f t="shared" si="15"/>
        <v>0</v>
      </c>
      <c r="L67" s="104">
        <f t="shared" si="15"/>
        <v>0</v>
      </c>
      <c r="M67" s="104">
        <f t="shared" si="15"/>
        <v>0</v>
      </c>
      <c r="N67" s="104">
        <f t="shared" si="15"/>
        <v>0</v>
      </c>
      <c r="O67" s="104">
        <f t="shared" si="15"/>
        <v>0</v>
      </c>
      <c r="P67" s="104">
        <f t="shared" si="15"/>
        <v>0</v>
      </c>
      <c r="Q67" s="104">
        <f t="shared" si="15"/>
        <v>0</v>
      </c>
      <c r="R67" s="105">
        <f t="shared" si="15"/>
        <v>0</v>
      </c>
      <c r="S67" s="104">
        <f t="shared" si="15"/>
        <v>0</v>
      </c>
      <c r="T67" s="106">
        <f t="shared" si="15"/>
        <v>0</v>
      </c>
      <c r="U67" s="104">
        <f t="shared" si="15"/>
        <v>0</v>
      </c>
      <c r="V67" s="104">
        <f t="shared" si="15"/>
        <v>0</v>
      </c>
      <c r="W67" s="104">
        <f t="shared" si="15"/>
        <v>0</v>
      </c>
      <c r="X67" s="105">
        <f t="shared" si="15"/>
        <v>0</v>
      </c>
      <c r="Y67" s="104">
        <f t="shared" si="15"/>
        <v>0</v>
      </c>
      <c r="Z67" s="104">
        <f t="shared" si="15"/>
        <v>0</v>
      </c>
      <c r="AA67" s="104">
        <f t="shared" si="15"/>
        <v>0</v>
      </c>
      <c r="AB67" s="104">
        <f t="shared" si="15"/>
        <v>0</v>
      </c>
      <c r="AC67" s="104">
        <f t="shared" si="15"/>
        <v>0</v>
      </c>
      <c r="AD67" s="104">
        <f t="shared" si="15"/>
        <v>0</v>
      </c>
      <c r="AE67" s="104">
        <f t="shared" si="15"/>
        <v>0</v>
      </c>
      <c r="AF67" s="104">
        <f t="shared" si="15"/>
        <v>0</v>
      </c>
      <c r="AG67" s="104">
        <f t="shared" si="15"/>
        <v>0</v>
      </c>
      <c r="AH67" s="104">
        <f t="shared" si="15"/>
        <v>0</v>
      </c>
      <c r="AI67" s="104">
        <f t="shared" ref="AI67:AM70" si="16">AI34*$C67</f>
        <v>0</v>
      </c>
      <c r="AJ67" s="104">
        <f t="shared" si="16"/>
        <v>0</v>
      </c>
      <c r="AK67" s="104">
        <f t="shared" si="16"/>
        <v>0</v>
      </c>
      <c r="AL67" s="104">
        <f t="shared" si="16"/>
        <v>0</v>
      </c>
      <c r="AM67" s="104">
        <f t="shared" si="16"/>
        <v>0</v>
      </c>
    </row>
    <row r="68" spans="2:39">
      <c r="B68" s="96" t="s">
        <v>57</v>
      </c>
      <c r="C68" s="111">
        <v>26</v>
      </c>
      <c r="D68" s="97">
        <f t="shared" si="12"/>
        <v>10310196</v>
      </c>
      <c r="E68" s="104">
        <f t="shared" ref="E68:AH68" si="17">E35*$C68</f>
        <v>0</v>
      </c>
      <c r="F68" s="104">
        <f t="shared" si="17"/>
        <v>0</v>
      </c>
      <c r="G68" s="104">
        <f t="shared" si="17"/>
        <v>0</v>
      </c>
      <c r="H68" s="104">
        <f t="shared" si="17"/>
        <v>0</v>
      </c>
      <c r="I68" s="104">
        <f t="shared" si="17"/>
        <v>0</v>
      </c>
      <c r="J68" s="104">
        <f t="shared" si="17"/>
        <v>40612</v>
      </c>
      <c r="K68" s="104">
        <f t="shared" si="17"/>
        <v>350064</v>
      </c>
      <c r="L68" s="104">
        <f t="shared" si="17"/>
        <v>615056</v>
      </c>
      <c r="M68" s="104">
        <f t="shared" si="17"/>
        <v>620880</v>
      </c>
      <c r="N68" s="104">
        <f t="shared" si="17"/>
        <v>383292</v>
      </c>
      <c r="O68" s="104">
        <f t="shared" si="17"/>
        <v>383292</v>
      </c>
      <c r="P68" s="104">
        <f t="shared" si="17"/>
        <v>490308</v>
      </c>
      <c r="Q68" s="104">
        <f t="shared" si="17"/>
        <v>484848</v>
      </c>
      <c r="R68" s="105">
        <f t="shared" si="17"/>
        <v>304122</v>
      </c>
      <c r="S68" s="104">
        <f t="shared" si="17"/>
        <v>571116</v>
      </c>
      <c r="T68" s="106">
        <f t="shared" si="17"/>
        <v>620802</v>
      </c>
      <c r="U68" s="104">
        <f t="shared" si="17"/>
        <v>613158</v>
      </c>
      <c r="V68" s="104">
        <f t="shared" si="17"/>
        <v>442806</v>
      </c>
      <c r="W68" s="104">
        <f t="shared" si="17"/>
        <v>490308</v>
      </c>
      <c r="X68" s="105">
        <f t="shared" si="17"/>
        <v>577122</v>
      </c>
      <c r="Y68" s="104">
        <f t="shared" si="17"/>
        <v>624078</v>
      </c>
      <c r="Z68" s="104">
        <f t="shared" si="17"/>
        <v>285558</v>
      </c>
      <c r="AA68" s="104">
        <f t="shared" si="17"/>
        <v>244608</v>
      </c>
      <c r="AB68" s="104">
        <f t="shared" si="17"/>
        <v>299754</v>
      </c>
      <c r="AC68" s="104">
        <f t="shared" si="17"/>
        <v>317226</v>
      </c>
      <c r="AD68" s="104">
        <f t="shared" si="17"/>
        <v>439530</v>
      </c>
      <c r="AE68" s="104">
        <f t="shared" si="17"/>
        <v>291564</v>
      </c>
      <c r="AF68" s="104">
        <f t="shared" si="17"/>
        <v>274638</v>
      </c>
      <c r="AG68" s="104">
        <f t="shared" si="17"/>
        <v>346164</v>
      </c>
      <c r="AH68" s="104">
        <f t="shared" si="17"/>
        <v>199290</v>
      </c>
      <c r="AI68" s="104">
        <f t="shared" si="16"/>
        <v>0</v>
      </c>
      <c r="AJ68" s="104">
        <f t="shared" si="16"/>
        <v>0</v>
      </c>
      <c r="AK68" s="104">
        <f t="shared" si="16"/>
        <v>0</v>
      </c>
      <c r="AL68" s="104">
        <f t="shared" si="16"/>
        <v>0</v>
      </c>
      <c r="AM68" s="104">
        <f t="shared" si="16"/>
        <v>0</v>
      </c>
    </row>
    <row r="69" spans="2:39">
      <c r="B69" s="96" t="s">
        <v>58</v>
      </c>
      <c r="C69" s="111">
        <v>40</v>
      </c>
      <c r="D69" s="97">
        <f t="shared" si="12"/>
        <v>3606480</v>
      </c>
      <c r="E69" s="104">
        <f t="shared" ref="E69:AH69" si="18">E36*$C69</f>
        <v>0</v>
      </c>
      <c r="F69" s="104">
        <f t="shared" si="18"/>
        <v>0</v>
      </c>
      <c r="G69" s="104">
        <f t="shared" si="18"/>
        <v>0</v>
      </c>
      <c r="H69" s="104">
        <f t="shared" si="18"/>
        <v>0</v>
      </c>
      <c r="I69" s="104">
        <f t="shared" si="18"/>
        <v>0</v>
      </c>
      <c r="J69" s="104">
        <f t="shared" si="18"/>
        <v>87400</v>
      </c>
      <c r="K69" s="104">
        <f t="shared" si="18"/>
        <v>161320</v>
      </c>
      <c r="L69" s="104">
        <f t="shared" si="18"/>
        <v>50400</v>
      </c>
      <c r="M69" s="104">
        <f t="shared" si="18"/>
        <v>185160</v>
      </c>
      <c r="N69" s="104">
        <f t="shared" si="18"/>
        <v>342920</v>
      </c>
      <c r="O69" s="104">
        <f t="shared" si="18"/>
        <v>184000</v>
      </c>
      <c r="P69" s="104">
        <f t="shared" si="18"/>
        <v>179760</v>
      </c>
      <c r="Q69" s="104">
        <f t="shared" si="18"/>
        <v>105760</v>
      </c>
      <c r="R69" s="105">
        <f t="shared" si="18"/>
        <v>196480</v>
      </c>
      <c r="S69" s="104">
        <f t="shared" si="18"/>
        <v>28400</v>
      </c>
      <c r="T69" s="106">
        <f t="shared" si="18"/>
        <v>23640</v>
      </c>
      <c r="U69" s="104">
        <f t="shared" si="18"/>
        <v>105040</v>
      </c>
      <c r="V69" s="104">
        <f t="shared" si="18"/>
        <v>288040</v>
      </c>
      <c r="W69" s="104">
        <f t="shared" si="18"/>
        <v>221680</v>
      </c>
      <c r="X69" s="105">
        <f t="shared" si="18"/>
        <v>210280</v>
      </c>
      <c r="Y69" s="104">
        <f t="shared" si="18"/>
        <v>127400</v>
      </c>
      <c r="Z69" s="104">
        <f t="shared" si="18"/>
        <v>0</v>
      </c>
      <c r="AA69" s="104">
        <f t="shared" si="18"/>
        <v>90080</v>
      </c>
      <c r="AB69" s="104">
        <f t="shared" si="18"/>
        <v>122360</v>
      </c>
      <c r="AC69" s="104">
        <f t="shared" si="18"/>
        <v>156720</v>
      </c>
      <c r="AD69" s="104">
        <f t="shared" si="18"/>
        <v>115760</v>
      </c>
      <c r="AE69" s="104">
        <f t="shared" si="18"/>
        <v>70840</v>
      </c>
      <c r="AF69" s="104">
        <f t="shared" si="18"/>
        <v>188280</v>
      </c>
      <c r="AG69" s="104">
        <f t="shared" si="18"/>
        <v>294480</v>
      </c>
      <c r="AH69" s="104">
        <f t="shared" si="18"/>
        <v>70280</v>
      </c>
      <c r="AI69" s="104">
        <f t="shared" si="16"/>
        <v>0</v>
      </c>
      <c r="AJ69" s="104">
        <f t="shared" si="16"/>
        <v>0</v>
      </c>
      <c r="AK69" s="104">
        <f t="shared" si="16"/>
        <v>0</v>
      </c>
      <c r="AL69" s="104">
        <f t="shared" si="16"/>
        <v>0</v>
      </c>
      <c r="AM69" s="104">
        <f t="shared" si="16"/>
        <v>0</v>
      </c>
    </row>
    <row r="70" spans="2:39">
      <c r="B70" s="96" t="s">
        <v>59</v>
      </c>
      <c r="C70" s="112">
        <v>8</v>
      </c>
      <c r="D70" s="97">
        <f t="shared" si="12"/>
        <v>0</v>
      </c>
      <c r="E70" s="104">
        <f t="shared" ref="E70:AH70" si="19">E37*$C70</f>
        <v>0</v>
      </c>
      <c r="F70" s="104">
        <f t="shared" si="19"/>
        <v>0</v>
      </c>
      <c r="G70" s="104">
        <f t="shared" si="19"/>
        <v>0</v>
      </c>
      <c r="H70" s="104">
        <f t="shared" si="19"/>
        <v>0</v>
      </c>
      <c r="I70" s="104">
        <f t="shared" si="19"/>
        <v>0</v>
      </c>
      <c r="J70" s="104">
        <f t="shared" si="19"/>
        <v>0</v>
      </c>
      <c r="K70" s="104">
        <f t="shared" si="19"/>
        <v>0</v>
      </c>
      <c r="L70" s="104">
        <f t="shared" si="19"/>
        <v>0</v>
      </c>
      <c r="M70" s="104">
        <f t="shared" si="19"/>
        <v>0</v>
      </c>
      <c r="N70" s="104">
        <f t="shared" si="19"/>
        <v>0</v>
      </c>
      <c r="O70" s="104">
        <f t="shared" si="19"/>
        <v>0</v>
      </c>
      <c r="P70" s="104">
        <f t="shared" si="19"/>
        <v>0</v>
      </c>
      <c r="Q70" s="104">
        <f t="shared" si="19"/>
        <v>0</v>
      </c>
      <c r="R70" s="105">
        <f t="shared" si="19"/>
        <v>0</v>
      </c>
      <c r="S70" s="104">
        <f t="shared" si="19"/>
        <v>0</v>
      </c>
      <c r="T70" s="106">
        <f t="shared" si="19"/>
        <v>0</v>
      </c>
      <c r="U70" s="104">
        <f t="shared" si="19"/>
        <v>0</v>
      </c>
      <c r="V70" s="104">
        <f t="shared" si="19"/>
        <v>0</v>
      </c>
      <c r="W70" s="104">
        <f t="shared" si="19"/>
        <v>0</v>
      </c>
      <c r="X70" s="105">
        <f t="shared" si="19"/>
        <v>0</v>
      </c>
      <c r="Y70" s="104">
        <f t="shared" si="19"/>
        <v>0</v>
      </c>
      <c r="Z70" s="104">
        <f t="shared" si="19"/>
        <v>0</v>
      </c>
      <c r="AA70" s="104">
        <f t="shared" si="19"/>
        <v>0</v>
      </c>
      <c r="AB70" s="104">
        <f t="shared" si="19"/>
        <v>0</v>
      </c>
      <c r="AC70" s="104">
        <f t="shared" si="19"/>
        <v>0</v>
      </c>
      <c r="AD70" s="104">
        <f t="shared" si="19"/>
        <v>0</v>
      </c>
      <c r="AE70" s="104">
        <f t="shared" si="19"/>
        <v>0</v>
      </c>
      <c r="AF70" s="104">
        <f t="shared" si="19"/>
        <v>0</v>
      </c>
      <c r="AG70" s="104">
        <f t="shared" si="19"/>
        <v>0</v>
      </c>
      <c r="AH70" s="104">
        <f t="shared" si="19"/>
        <v>0</v>
      </c>
      <c r="AI70" s="104">
        <f t="shared" si="16"/>
        <v>0</v>
      </c>
      <c r="AJ70" s="104">
        <f t="shared" si="16"/>
        <v>0</v>
      </c>
      <c r="AK70" s="104">
        <f t="shared" si="16"/>
        <v>0</v>
      </c>
      <c r="AL70" s="104">
        <f t="shared" si="16"/>
        <v>0</v>
      </c>
      <c r="AM70" s="104">
        <f t="shared" si="16"/>
        <v>0</v>
      </c>
    </row>
    <row r="71" spans="2:39">
      <c r="B71" s="35" t="s">
        <v>85</v>
      </c>
      <c r="C71" s="113">
        <v>2.2000000000000002</v>
      </c>
      <c r="D71" s="98">
        <f t="shared" ref="D71:AM71" si="20">D49*C71</f>
        <v>0</v>
      </c>
      <c r="E71" s="107">
        <f t="shared" si="20"/>
        <v>0</v>
      </c>
      <c r="F71" s="107">
        <f t="shared" si="20"/>
        <v>0</v>
      </c>
      <c r="G71" s="107">
        <f t="shared" si="20"/>
        <v>0</v>
      </c>
      <c r="H71" s="107">
        <f t="shared" si="20"/>
        <v>0</v>
      </c>
      <c r="I71" s="107">
        <f t="shared" si="20"/>
        <v>0</v>
      </c>
      <c r="J71" s="107">
        <f t="shared" si="20"/>
        <v>0</v>
      </c>
      <c r="K71" s="107">
        <f t="shared" si="20"/>
        <v>0</v>
      </c>
      <c r="L71" s="107">
        <f t="shared" si="20"/>
        <v>0</v>
      </c>
      <c r="M71" s="107">
        <f t="shared" si="20"/>
        <v>0</v>
      </c>
      <c r="N71" s="107">
        <f t="shared" si="20"/>
        <v>0</v>
      </c>
      <c r="O71" s="107">
        <f t="shared" si="20"/>
        <v>0</v>
      </c>
      <c r="P71" s="107">
        <f t="shared" si="20"/>
        <v>0</v>
      </c>
      <c r="Q71" s="107">
        <f t="shared" si="20"/>
        <v>0</v>
      </c>
      <c r="R71" s="107">
        <f t="shared" si="20"/>
        <v>0</v>
      </c>
      <c r="S71" s="107">
        <f t="shared" si="20"/>
        <v>0</v>
      </c>
      <c r="T71" s="107">
        <f t="shared" si="20"/>
        <v>0</v>
      </c>
      <c r="U71" s="107">
        <f t="shared" si="20"/>
        <v>0</v>
      </c>
      <c r="V71" s="107">
        <f t="shared" si="20"/>
        <v>0</v>
      </c>
      <c r="W71" s="107">
        <f t="shared" si="20"/>
        <v>0</v>
      </c>
      <c r="X71" s="107">
        <f t="shared" si="20"/>
        <v>0</v>
      </c>
      <c r="Y71" s="107">
        <f t="shared" si="20"/>
        <v>0</v>
      </c>
      <c r="Z71" s="107">
        <f t="shared" si="20"/>
        <v>0</v>
      </c>
      <c r="AA71" s="107">
        <f t="shared" si="20"/>
        <v>0</v>
      </c>
      <c r="AB71" s="107">
        <f t="shared" si="20"/>
        <v>0</v>
      </c>
      <c r="AC71" s="107">
        <f t="shared" si="20"/>
        <v>0</v>
      </c>
      <c r="AD71" s="107">
        <f t="shared" si="20"/>
        <v>0</v>
      </c>
      <c r="AE71" s="107">
        <f t="shared" si="20"/>
        <v>0</v>
      </c>
      <c r="AF71" s="107">
        <f t="shared" si="20"/>
        <v>0</v>
      </c>
      <c r="AG71" s="107">
        <f t="shared" si="20"/>
        <v>0</v>
      </c>
      <c r="AH71" s="107">
        <f t="shared" si="20"/>
        <v>0</v>
      </c>
      <c r="AI71" s="107">
        <f t="shared" si="20"/>
        <v>0</v>
      </c>
      <c r="AJ71" s="107">
        <f t="shared" si="20"/>
        <v>0</v>
      </c>
      <c r="AK71" s="107">
        <f t="shared" si="20"/>
        <v>0</v>
      </c>
      <c r="AL71" s="107">
        <f t="shared" si="20"/>
        <v>0</v>
      </c>
      <c r="AM71" s="107">
        <f t="shared" si="20"/>
        <v>0</v>
      </c>
    </row>
    <row r="72" spans="2:39">
      <c r="X72" s="10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9">
      <c r="B73" s="318" t="s">
        <v>86</v>
      </c>
      <c r="C73" s="319"/>
      <c r="D73" s="108">
        <f>AVERAGEIF(E58:Y58, "&gt;0")</f>
        <v>631846.5</v>
      </c>
      <c r="E73" s="11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2:39"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2:39">
      <c r="B75" s="12" t="s">
        <v>87</v>
      </c>
      <c r="C75" s="13">
        <v>0.3</v>
      </c>
      <c r="D75" s="14">
        <f>SUM(E75:AI75)</f>
        <v>4175002.8</v>
      </c>
      <c r="E75" s="163">
        <f t="shared" ref="E75:AM75" si="21">E58*$C$75</f>
        <v>0</v>
      </c>
      <c r="F75" s="14">
        <f t="shared" si="21"/>
        <v>0</v>
      </c>
      <c r="G75" s="171">
        <f t="shared" si="21"/>
        <v>0</v>
      </c>
      <c r="H75" s="14">
        <f t="shared" si="21"/>
        <v>0</v>
      </c>
      <c r="I75" s="14">
        <f t="shared" si="21"/>
        <v>0</v>
      </c>
      <c r="J75" s="14">
        <f t="shared" si="21"/>
        <v>38403.599999999999</v>
      </c>
      <c r="K75" s="14">
        <f t="shared" si="21"/>
        <v>153415.19999999998</v>
      </c>
      <c r="L75" s="14">
        <f t="shared" si="21"/>
        <v>199636.8</v>
      </c>
      <c r="M75" s="14">
        <f t="shared" si="21"/>
        <v>241812</v>
      </c>
      <c r="N75" s="14">
        <f t="shared" si="21"/>
        <v>217863.6</v>
      </c>
      <c r="O75" s="14">
        <f t="shared" si="21"/>
        <v>170187.6</v>
      </c>
      <c r="P75" s="14">
        <f t="shared" si="21"/>
        <v>201020.4</v>
      </c>
      <c r="Q75" s="14">
        <f t="shared" si="21"/>
        <v>177182.4</v>
      </c>
      <c r="R75" s="14">
        <f t="shared" si="21"/>
        <v>150180.6</v>
      </c>
      <c r="S75" s="14">
        <f t="shared" si="21"/>
        <v>179854.8</v>
      </c>
      <c r="T75" s="14">
        <f t="shared" si="21"/>
        <v>193332.6</v>
      </c>
      <c r="U75" s="14">
        <f t="shared" si="21"/>
        <v>215459.4</v>
      </c>
      <c r="V75" s="14">
        <f t="shared" si="21"/>
        <v>219253.8</v>
      </c>
      <c r="W75" s="14">
        <f t="shared" si="21"/>
        <v>213596.4</v>
      </c>
      <c r="X75" s="14">
        <f t="shared" si="21"/>
        <v>236220.59999999998</v>
      </c>
      <c r="Y75" s="14">
        <f t="shared" si="21"/>
        <v>225443.4</v>
      </c>
      <c r="Z75" s="14">
        <f t="shared" si="21"/>
        <v>85667.4</v>
      </c>
      <c r="AA75" s="14">
        <f t="shared" si="21"/>
        <v>100406.39999999999</v>
      </c>
      <c r="AB75" s="14">
        <f t="shared" si="21"/>
        <v>126634.2</v>
      </c>
      <c r="AC75" s="14">
        <f t="shared" si="21"/>
        <v>142183.79999999999</v>
      </c>
      <c r="AD75" s="14">
        <f t="shared" si="21"/>
        <v>166587</v>
      </c>
      <c r="AE75" s="14">
        <f t="shared" si="21"/>
        <v>108721.2</v>
      </c>
      <c r="AF75" s="14">
        <f t="shared" si="21"/>
        <v>138875.4</v>
      </c>
      <c r="AG75" s="14">
        <f t="shared" si="21"/>
        <v>192193.19999999998</v>
      </c>
      <c r="AH75" s="14">
        <f t="shared" si="21"/>
        <v>80871</v>
      </c>
      <c r="AI75" s="14">
        <f t="shared" si="21"/>
        <v>0</v>
      </c>
      <c r="AJ75" s="14">
        <f t="shared" si="21"/>
        <v>0</v>
      </c>
      <c r="AK75" s="14">
        <f t="shared" si="21"/>
        <v>0</v>
      </c>
      <c r="AL75" s="14">
        <f t="shared" si="21"/>
        <v>0</v>
      </c>
      <c r="AM75" s="14">
        <f t="shared" si="21"/>
        <v>0</v>
      </c>
    </row>
    <row r="76" spans="2:39">
      <c r="B76" s="16" t="s">
        <v>88</v>
      </c>
      <c r="C76" s="17">
        <f>10800000/325</f>
        <v>33230.769230769234</v>
      </c>
      <c r="D76" s="18">
        <f>SUM(E76:AI76)</f>
        <v>930461.53846153885</v>
      </c>
      <c r="E76" s="19">
        <v>0</v>
      </c>
      <c r="F76" s="18">
        <v>0</v>
      </c>
      <c r="G76" s="19">
        <v>0</v>
      </c>
      <c r="H76" s="18">
        <f t="shared" ref="H76:AJ76" si="22">$C$76</f>
        <v>33230.769230769234</v>
      </c>
      <c r="I76" s="18">
        <f t="shared" si="22"/>
        <v>33230.769230769234</v>
      </c>
      <c r="J76" s="18">
        <f t="shared" si="22"/>
        <v>33230.769230769234</v>
      </c>
      <c r="K76" s="18">
        <f t="shared" si="22"/>
        <v>33230.769230769234</v>
      </c>
      <c r="L76" s="18">
        <f t="shared" si="22"/>
        <v>33230.769230769234</v>
      </c>
      <c r="M76" s="18">
        <f t="shared" si="22"/>
        <v>33230.769230769234</v>
      </c>
      <c r="N76" s="18">
        <f t="shared" si="22"/>
        <v>33230.769230769234</v>
      </c>
      <c r="O76" s="18">
        <f t="shared" si="22"/>
        <v>33230.769230769234</v>
      </c>
      <c r="P76" s="18">
        <f t="shared" si="22"/>
        <v>33230.769230769234</v>
      </c>
      <c r="Q76" s="18">
        <f t="shared" si="22"/>
        <v>33230.769230769234</v>
      </c>
      <c r="R76" s="18">
        <f t="shared" si="22"/>
        <v>33230.769230769234</v>
      </c>
      <c r="S76" s="18">
        <f t="shared" si="22"/>
        <v>33230.769230769234</v>
      </c>
      <c r="T76" s="18">
        <f t="shared" si="22"/>
        <v>33230.769230769234</v>
      </c>
      <c r="U76" s="18">
        <f t="shared" si="22"/>
        <v>33230.769230769234</v>
      </c>
      <c r="V76" s="18">
        <f t="shared" si="22"/>
        <v>33230.769230769234</v>
      </c>
      <c r="W76" s="18">
        <f t="shared" si="22"/>
        <v>33230.769230769234</v>
      </c>
      <c r="X76" s="18">
        <f t="shared" si="22"/>
        <v>33230.769230769234</v>
      </c>
      <c r="Y76" s="18">
        <f t="shared" si="22"/>
        <v>33230.769230769234</v>
      </c>
      <c r="Z76" s="18">
        <f t="shared" si="22"/>
        <v>33230.769230769234</v>
      </c>
      <c r="AA76" s="18">
        <f t="shared" si="22"/>
        <v>33230.769230769234</v>
      </c>
      <c r="AB76" s="18">
        <f t="shared" si="22"/>
        <v>33230.769230769234</v>
      </c>
      <c r="AC76" s="18">
        <f t="shared" si="22"/>
        <v>33230.769230769234</v>
      </c>
      <c r="AD76" s="18">
        <f t="shared" si="22"/>
        <v>33230.769230769234</v>
      </c>
      <c r="AE76" s="18">
        <f t="shared" si="22"/>
        <v>33230.769230769234</v>
      </c>
      <c r="AF76" s="18">
        <f t="shared" si="22"/>
        <v>33230.769230769234</v>
      </c>
      <c r="AG76" s="18">
        <f t="shared" si="22"/>
        <v>33230.769230769234</v>
      </c>
      <c r="AH76" s="18">
        <f t="shared" si="22"/>
        <v>33230.769230769234</v>
      </c>
      <c r="AI76" s="18">
        <f t="shared" si="22"/>
        <v>33230.769230769234</v>
      </c>
      <c r="AJ76" s="18">
        <f t="shared" si="22"/>
        <v>33230.769230769234</v>
      </c>
      <c r="AK76" s="18">
        <v>0</v>
      </c>
      <c r="AL76" s="18">
        <v>0</v>
      </c>
      <c r="AM76" s="18">
        <v>0</v>
      </c>
    </row>
    <row r="77" spans="2:39">
      <c r="B77" s="16" t="s">
        <v>89</v>
      </c>
      <c r="C77" s="17">
        <v>46071</v>
      </c>
      <c r="D77" s="18">
        <f>SUM(E77:AI77)</f>
        <v>1289988</v>
      </c>
      <c r="E77" s="19">
        <v>0</v>
      </c>
      <c r="F77" s="18">
        <v>0</v>
      </c>
      <c r="G77" s="19">
        <v>0</v>
      </c>
      <c r="H77" s="18">
        <f t="shared" ref="H77:AJ77" si="23">$C$77</f>
        <v>46071</v>
      </c>
      <c r="I77" s="18">
        <f t="shared" si="23"/>
        <v>46071</v>
      </c>
      <c r="J77" s="18">
        <f t="shared" si="23"/>
        <v>46071</v>
      </c>
      <c r="K77" s="18">
        <f t="shared" si="23"/>
        <v>46071</v>
      </c>
      <c r="L77" s="18">
        <f t="shared" si="23"/>
        <v>46071</v>
      </c>
      <c r="M77" s="18">
        <f t="shared" si="23"/>
        <v>46071</v>
      </c>
      <c r="N77" s="18">
        <f t="shared" si="23"/>
        <v>46071</v>
      </c>
      <c r="O77" s="18">
        <f t="shared" si="23"/>
        <v>46071</v>
      </c>
      <c r="P77" s="18">
        <f t="shared" si="23"/>
        <v>46071</v>
      </c>
      <c r="Q77" s="18">
        <f t="shared" si="23"/>
        <v>46071</v>
      </c>
      <c r="R77" s="18">
        <f t="shared" si="23"/>
        <v>46071</v>
      </c>
      <c r="S77" s="18">
        <f t="shared" si="23"/>
        <v>46071</v>
      </c>
      <c r="T77" s="18">
        <f t="shared" si="23"/>
        <v>46071</v>
      </c>
      <c r="U77" s="18">
        <f t="shared" si="23"/>
        <v>46071</v>
      </c>
      <c r="V77" s="18">
        <f t="shared" si="23"/>
        <v>46071</v>
      </c>
      <c r="W77" s="18">
        <f t="shared" si="23"/>
        <v>46071</v>
      </c>
      <c r="X77" s="18">
        <f t="shared" si="23"/>
        <v>46071</v>
      </c>
      <c r="Y77" s="18">
        <f t="shared" si="23"/>
        <v>46071</v>
      </c>
      <c r="Z77" s="18">
        <f t="shared" si="23"/>
        <v>46071</v>
      </c>
      <c r="AA77" s="18">
        <f t="shared" si="23"/>
        <v>46071</v>
      </c>
      <c r="AB77" s="18">
        <f t="shared" si="23"/>
        <v>46071</v>
      </c>
      <c r="AC77" s="18">
        <f t="shared" si="23"/>
        <v>46071</v>
      </c>
      <c r="AD77" s="18">
        <f t="shared" si="23"/>
        <v>46071</v>
      </c>
      <c r="AE77" s="18">
        <f t="shared" si="23"/>
        <v>46071</v>
      </c>
      <c r="AF77" s="18">
        <f t="shared" si="23"/>
        <v>46071</v>
      </c>
      <c r="AG77" s="18">
        <f t="shared" si="23"/>
        <v>46071</v>
      </c>
      <c r="AH77" s="18">
        <f t="shared" si="23"/>
        <v>46071</v>
      </c>
      <c r="AI77" s="18">
        <f t="shared" si="23"/>
        <v>46071</v>
      </c>
      <c r="AJ77" s="18">
        <f t="shared" si="23"/>
        <v>46071</v>
      </c>
      <c r="AK77" s="18">
        <v>0</v>
      </c>
      <c r="AL77" s="18">
        <v>0</v>
      </c>
      <c r="AM77" s="18">
        <v>0</v>
      </c>
    </row>
    <row r="78" spans="2:39">
      <c r="B78" s="20" t="s">
        <v>90</v>
      </c>
      <c r="C78" s="21">
        <v>9.5</v>
      </c>
      <c r="D78" s="23">
        <f>SUM(E78:AI78)</f>
        <v>4370038</v>
      </c>
      <c r="E78" s="22">
        <v>0</v>
      </c>
      <c r="F78" s="23">
        <v>0</v>
      </c>
      <c r="G78" s="22">
        <v>0</v>
      </c>
      <c r="H78" s="23">
        <f t="shared" ref="H78:AK78" si="24">$C$78*H40</f>
        <v>38</v>
      </c>
      <c r="I78" s="23">
        <f t="shared" si="24"/>
        <v>142500</v>
      </c>
      <c r="J78" s="23">
        <f t="shared" si="24"/>
        <v>171000</v>
      </c>
      <c r="K78" s="23">
        <f t="shared" si="24"/>
        <v>161500</v>
      </c>
      <c r="L78" s="23">
        <f t="shared" si="24"/>
        <v>171000</v>
      </c>
      <c r="M78" s="23">
        <f t="shared" si="24"/>
        <v>161500</v>
      </c>
      <c r="N78" s="23">
        <f t="shared" si="24"/>
        <v>171000</v>
      </c>
      <c r="O78" s="23">
        <f t="shared" si="24"/>
        <v>161500</v>
      </c>
      <c r="P78" s="18">
        <f t="shared" si="24"/>
        <v>171000</v>
      </c>
      <c r="Q78" s="23">
        <f t="shared" si="24"/>
        <v>171000</v>
      </c>
      <c r="R78" s="18">
        <f t="shared" si="24"/>
        <v>171000</v>
      </c>
      <c r="S78" s="23">
        <f t="shared" si="24"/>
        <v>171000</v>
      </c>
      <c r="T78" s="18">
        <f t="shared" si="24"/>
        <v>171000</v>
      </c>
      <c r="U78" s="23">
        <f t="shared" si="24"/>
        <v>180500</v>
      </c>
      <c r="V78" s="18">
        <f t="shared" si="24"/>
        <v>171000</v>
      </c>
      <c r="W78" s="23">
        <f t="shared" si="24"/>
        <v>171000</v>
      </c>
      <c r="X78" s="18">
        <f t="shared" si="24"/>
        <v>161500</v>
      </c>
      <c r="Y78" s="23">
        <f t="shared" si="24"/>
        <v>161500</v>
      </c>
      <c r="Z78" s="23">
        <f t="shared" si="24"/>
        <v>152000</v>
      </c>
      <c r="AA78" s="23">
        <f t="shared" si="24"/>
        <v>142500</v>
      </c>
      <c r="AB78" s="23">
        <f t="shared" si="24"/>
        <v>180500</v>
      </c>
      <c r="AC78" s="23">
        <f t="shared" si="24"/>
        <v>171000</v>
      </c>
      <c r="AD78" s="23">
        <f t="shared" si="24"/>
        <v>180500</v>
      </c>
      <c r="AE78" s="23">
        <f t="shared" si="24"/>
        <v>161500</v>
      </c>
      <c r="AF78" s="23">
        <f t="shared" si="24"/>
        <v>152000</v>
      </c>
      <c r="AG78" s="23">
        <f t="shared" si="24"/>
        <v>152000</v>
      </c>
      <c r="AH78" s="23">
        <f t="shared" si="24"/>
        <v>142500</v>
      </c>
      <c r="AI78" s="23">
        <f t="shared" si="24"/>
        <v>95000</v>
      </c>
      <c r="AJ78" s="23">
        <f t="shared" si="24"/>
        <v>57000</v>
      </c>
      <c r="AK78" s="23">
        <f t="shared" si="24"/>
        <v>0</v>
      </c>
      <c r="AL78" s="23">
        <f t="shared" ref="AL78:AM78" si="25">$C$78*AL40</f>
        <v>0</v>
      </c>
      <c r="AM78" s="23">
        <f t="shared" si="25"/>
        <v>0</v>
      </c>
    </row>
    <row r="79" spans="2:39">
      <c r="B79" s="24" t="s">
        <v>155</v>
      </c>
      <c r="C79" s="25">
        <f>SUM(E79:AI79)</f>
        <v>3151185.6615384612</v>
      </c>
      <c r="D79" s="161">
        <f t="shared" ref="D79:AM79" si="26">D58-D75-D76-D77-D78</f>
        <v>3151185.6615384612</v>
      </c>
      <c r="E79" s="27">
        <f t="shared" si="26"/>
        <v>0</v>
      </c>
      <c r="F79" s="178">
        <f t="shared" si="26"/>
        <v>0</v>
      </c>
      <c r="G79" s="27">
        <f t="shared" si="26"/>
        <v>0</v>
      </c>
      <c r="H79" s="27">
        <f t="shared" si="26"/>
        <v>-79339.769230769234</v>
      </c>
      <c r="I79" s="27">
        <f t="shared" si="26"/>
        <v>-221801.76923076925</v>
      </c>
      <c r="J79" s="27">
        <f t="shared" si="26"/>
        <v>-160693.36923076923</v>
      </c>
      <c r="K79" s="27">
        <f t="shared" si="26"/>
        <v>117167.0307692308</v>
      </c>
      <c r="L79" s="27">
        <f t="shared" si="26"/>
        <v>215517.43076923076</v>
      </c>
      <c r="M79" s="27">
        <f t="shared" si="26"/>
        <v>323426.23076923075</v>
      </c>
      <c r="N79" s="27">
        <f t="shared" si="26"/>
        <v>258046.63076923077</v>
      </c>
      <c r="O79" s="27">
        <f t="shared" si="26"/>
        <v>156302.63076923077</v>
      </c>
      <c r="P79" s="26">
        <f t="shared" si="26"/>
        <v>218745.83076923073</v>
      </c>
      <c r="Q79" s="27">
        <f t="shared" si="26"/>
        <v>163123.83076923073</v>
      </c>
      <c r="R79" s="26">
        <f t="shared" si="26"/>
        <v>100119.63076923077</v>
      </c>
      <c r="S79" s="27">
        <f t="shared" si="26"/>
        <v>169359.43076923076</v>
      </c>
      <c r="T79" s="26">
        <f t="shared" si="26"/>
        <v>200807.63076923077</v>
      </c>
      <c r="U79" s="27">
        <f t="shared" si="26"/>
        <v>242936.83076923073</v>
      </c>
      <c r="V79" s="26">
        <f t="shared" si="26"/>
        <v>261290.43076923076</v>
      </c>
      <c r="W79" s="27">
        <f t="shared" si="26"/>
        <v>248089.83076923073</v>
      </c>
      <c r="X79" s="26">
        <f t="shared" si="26"/>
        <v>310379.63076923077</v>
      </c>
      <c r="Y79" s="177">
        <f t="shared" si="26"/>
        <v>285232.83076923073</v>
      </c>
      <c r="Z79" s="26">
        <f t="shared" si="26"/>
        <v>-31411.169230769214</v>
      </c>
      <c r="AA79" s="26">
        <f t="shared" si="26"/>
        <v>12479.830769230786</v>
      </c>
      <c r="AB79" s="26">
        <f t="shared" si="26"/>
        <v>35678.03076923074</v>
      </c>
      <c r="AC79" s="26">
        <f t="shared" si="26"/>
        <v>81460.430769230763</v>
      </c>
      <c r="AD79" s="26">
        <f t="shared" si="26"/>
        <v>128901.23076923075</v>
      </c>
      <c r="AE79" s="26">
        <f t="shared" si="26"/>
        <v>12881.03076923074</v>
      </c>
      <c r="AF79" s="26">
        <f t="shared" si="26"/>
        <v>92740.830769230728</v>
      </c>
      <c r="AG79" s="26">
        <f t="shared" si="26"/>
        <v>217149.0307692308</v>
      </c>
      <c r="AH79" s="26">
        <f t="shared" si="26"/>
        <v>-33102.769230769249</v>
      </c>
      <c r="AI79" s="26">
        <f t="shared" si="26"/>
        <v>-174301.76923076925</v>
      </c>
      <c r="AJ79" s="26">
        <f t="shared" si="26"/>
        <v>-136301.76923076925</v>
      </c>
      <c r="AK79" s="26">
        <f t="shared" si="26"/>
        <v>0</v>
      </c>
      <c r="AL79" s="26">
        <f t="shared" si="26"/>
        <v>0</v>
      </c>
      <c r="AM79" s="26">
        <f t="shared" si="26"/>
        <v>0</v>
      </c>
    </row>
    <row r="80" spans="2:39">
      <c r="B80" s="320" t="s">
        <v>92</v>
      </c>
      <c r="C80" s="321"/>
      <c r="D80" s="322"/>
      <c r="E80" s="28">
        <f>E79</f>
        <v>0</v>
      </c>
      <c r="F80" s="28">
        <f t="shared" ref="F80:AM80" si="27">F79+E80</f>
        <v>0</v>
      </c>
      <c r="G80" s="28">
        <f t="shared" si="27"/>
        <v>0</v>
      </c>
      <c r="H80" s="28">
        <f t="shared" si="27"/>
        <v>-79339.769230769234</v>
      </c>
      <c r="I80" s="28">
        <f t="shared" si="27"/>
        <v>-301141.5384615385</v>
      </c>
      <c r="J80" s="28">
        <f t="shared" si="27"/>
        <v>-461834.90769230772</v>
      </c>
      <c r="K80" s="28">
        <f t="shared" si="27"/>
        <v>-344667.87692307692</v>
      </c>
      <c r="L80" s="28">
        <f t="shared" si="27"/>
        <v>-129150.44615384616</v>
      </c>
      <c r="M80" s="28">
        <f t="shared" si="27"/>
        <v>194275.78461538459</v>
      </c>
      <c r="N80" s="28">
        <f t="shared" si="27"/>
        <v>452322.41538461536</v>
      </c>
      <c r="O80" s="28">
        <f t="shared" si="27"/>
        <v>608625.0461538462</v>
      </c>
      <c r="P80" s="28">
        <f t="shared" si="27"/>
        <v>827370.87692307692</v>
      </c>
      <c r="Q80" s="28">
        <f t="shared" si="27"/>
        <v>990494.70769230765</v>
      </c>
      <c r="R80" s="28">
        <f t="shared" si="27"/>
        <v>1090614.3384615383</v>
      </c>
      <c r="S80" s="28">
        <f t="shared" si="27"/>
        <v>1259973.769230769</v>
      </c>
      <c r="T80" s="28">
        <f t="shared" si="27"/>
        <v>1460781.4</v>
      </c>
      <c r="U80" s="28">
        <f t="shared" si="27"/>
        <v>1703718.2307692305</v>
      </c>
      <c r="V80" s="28">
        <f t="shared" si="27"/>
        <v>1965008.6615384612</v>
      </c>
      <c r="W80" s="28">
        <f t="shared" si="27"/>
        <v>2213098.4923076918</v>
      </c>
      <c r="X80" s="28">
        <f t="shared" si="27"/>
        <v>2523478.1230769227</v>
      </c>
      <c r="Y80" s="29">
        <f t="shared" si="27"/>
        <v>2808710.9538461533</v>
      </c>
      <c r="Z80" s="29">
        <f t="shared" si="27"/>
        <v>2777299.7846153839</v>
      </c>
      <c r="AA80" s="29">
        <f t="shared" si="27"/>
        <v>2789779.6153846146</v>
      </c>
      <c r="AB80" s="29">
        <f t="shared" si="27"/>
        <v>2825457.6461538454</v>
      </c>
      <c r="AC80" s="29">
        <f t="shared" si="27"/>
        <v>2906918.0769230761</v>
      </c>
      <c r="AD80" s="29">
        <f t="shared" si="27"/>
        <v>3035819.307692307</v>
      </c>
      <c r="AE80" s="29">
        <f t="shared" si="27"/>
        <v>3048700.3384615378</v>
      </c>
      <c r="AF80" s="29">
        <f t="shared" si="27"/>
        <v>3141441.1692307685</v>
      </c>
      <c r="AG80" s="29">
        <f t="shared" si="27"/>
        <v>3358590.1999999993</v>
      </c>
      <c r="AH80" s="29">
        <f t="shared" si="27"/>
        <v>3325487.4307692302</v>
      </c>
      <c r="AI80" s="29">
        <f t="shared" si="27"/>
        <v>3151185.6615384612</v>
      </c>
      <c r="AJ80" s="29">
        <f t="shared" si="27"/>
        <v>3014883.8923076922</v>
      </c>
      <c r="AK80" s="29">
        <f t="shared" si="27"/>
        <v>3014883.8923076922</v>
      </c>
      <c r="AL80" s="29">
        <f t="shared" si="27"/>
        <v>3014883.8923076922</v>
      </c>
      <c r="AM80" s="29">
        <f t="shared" si="27"/>
        <v>3014883.8923076922</v>
      </c>
    </row>
    <row r="83" spans="2:13">
      <c r="B83" s="30" t="s">
        <v>93</v>
      </c>
      <c r="C83" s="31">
        <f>D40/D25</f>
        <v>0.94515397322419192</v>
      </c>
    </row>
    <row r="84" spans="2:13">
      <c r="D84" s="10"/>
      <c r="G84" s="323"/>
      <c r="H84" s="323"/>
      <c r="I84" s="323"/>
      <c r="J84" s="323"/>
      <c r="K84" s="32"/>
      <c r="L84" s="32"/>
    </row>
    <row r="85" spans="2:13">
      <c r="D85" s="10"/>
    </row>
    <row r="86" spans="2:13">
      <c r="D86">
        <v>745</v>
      </c>
      <c r="G86" s="309" t="s">
        <v>94</v>
      </c>
      <c r="H86" s="310"/>
      <c r="I86" s="310"/>
      <c r="J86" s="310"/>
      <c r="K86" s="310"/>
      <c r="L86" s="310"/>
      <c r="M86" s="311"/>
    </row>
    <row r="87" spans="2:13">
      <c r="D87">
        <v>15625</v>
      </c>
      <c r="G87" s="37" t="s">
        <v>95</v>
      </c>
      <c r="H87" s="94" t="s">
        <v>96</v>
      </c>
      <c r="I87" s="94" t="s">
        <v>97</v>
      </c>
      <c r="J87" s="94" t="s">
        <v>98</v>
      </c>
      <c r="K87" s="94" t="s">
        <v>99</v>
      </c>
      <c r="L87" s="94" t="s">
        <v>100</v>
      </c>
      <c r="M87" s="141" t="s">
        <v>101</v>
      </c>
    </row>
    <row r="88" spans="2:13">
      <c r="D88">
        <v>1650</v>
      </c>
      <c r="G88" s="142" t="s">
        <v>47</v>
      </c>
      <c r="H88" s="134" t="s">
        <v>102</v>
      </c>
      <c r="I88" s="134" t="s">
        <v>103</v>
      </c>
      <c r="J88" s="134" t="s">
        <v>104</v>
      </c>
      <c r="K88" s="135">
        <v>2608</v>
      </c>
      <c r="L88" s="140">
        <v>38.229999999999997</v>
      </c>
      <c r="M88" s="145"/>
    </row>
    <row r="89" spans="2:13">
      <c r="D89">
        <v>8195</v>
      </c>
      <c r="G89" s="142" t="s">
        <v>47</v>
      </c>
      <c r="H89" s="134" t="s">
        <v>105</v>
      </c>
      <c r="I89" s="134" t="s">
        <v>106</v>
      </c>
      <c r="J89" s="134" t="s">
        <v>104</v>
      </c>
      <c r="K89" s="135">
        <v>85647</v>
      </c>
      <c r="L89" s="136">
        <v>34.909999999999997</v>
      </c>
      <c r="M89" s="145">
        <v>1.7935075871774091</v>
      </c>
    </row>
    <row r="90" spans="2:13">
      <c r="G90" s="142" t="s">
        <v>47</v>
      </c>
      <c r="H90" s="134" t="s">
        <v>107</v>
      </c>
      <c r="I90" s="134" t="s">
        <v>106</v>
      </c>
      <c r="J90" s="134" t="s">
        <v>104</v>
      </c>
      <c r="K90" s="135">
        <v>742226</v>
      </c>
      <c r="L90" s="136">
        <v>39.049999999999997</v>
      </c>
      <c r="M90" s="145">
        <v>17.38594958037633</v>
      </c>
    </row>
    <row r="91" spans="2:13">
      <c r="G91" s="142" t="s">
        <v>47</v>
      </c>
      <c r="H91" s="134" t="s">
        <v>108</v>
      </c>
      <c r="I91" s="134" t="s">
        <v>106</v>
      </c>
      <c r="J91" s="134" t="s">
        <v>104</v>
      </c>
      <c r="K91" s="135">
        <v>587570</v>
      </c>
      <c r="L91" s="136">
        <v>45.15</v>
      </c>
      <c r="M91" s="145">
        <v>15.913238885266473</v>
      </c>
    </row>
    <row r="92" spans="2:13">
      <c r="G92" s="142" t="s">
        <v>47</v>
      </c>
      <c r="H92" s="134" t="s">
        <v>109</v>
      </c>
      <c r="I92" s="134" t="s">
        <v>106</v>
      </c>
      <c r="J92" s="134" t="s">
        <v>104</v>
      </c>
      <c r="K92" s="135">
        <v>80371</v>
      </c>
      <c r="L92" s="136">
        <v>35.58</v>
      </c>
      <c r="M92" s="145">
        <v>1.7153254445323556</v>
      </c>
    </row>
    <row r="93" spans="2:13">
      <c r="G93" s="147" t="s">
        <v>47</v>
      </c>
      <c r="H93" s="137" t="s">
        <v>110</v>
      </c>
      <c r="I93" s="137" t="s">
        <v>106</v>
      </c>
      <c r="J93" s="137" t="s">
        <v>104</v>
      </c>
      <c r="K93" s="138">
        <v>168667</v>
      </c>
      <c r="L93" s="139">
        <v>50.23</v>
      </c>
      <c r="M93" s="148">
        <v>5.0819982676389799</v>
      </c>
    </row>
    <row r="94" spans="2:13">
      <c r="G94" s="150"/>
      <c r="H94" s="151"/>
      <c r="I94" s="151"/>
      <c r="J94" s="151"/>
      <c r="K94" s="152">
        <v>1667089</v>
      </c>
      <c r="L94" s="153"/>
      <c r="M94" s="154">
        <v>41.89001976499155</v>
      </c>
    </row>
    <row r="95" spans="2:13">
      <c r="G95" s="142"/>
      <c r="H95" s="134"/>
      <c r="I95" s="134"/>
      <c r="J95" s="134"/>
      <c r="K95" s="135"/>
      <c r="L95" s="136"/>
      <c r="M95" s="145"/>
    </row>
    <row r="96" spans="2:13">
      <c r="G96" s="142" t="s">
        <v>49</v>
      </c>
      <c r="H96" s="134" t="s">
        <v>111</v>
      </c>
      <c r="I96" s="134" t="s">
        <v>106</v>
      </c>
      <c r="J96" s="134" t="s">
        <v>104</v>
      </c>
      <c r="K96" s="135">
        <v>77875</v>
      </c>
      <c r="L96" s="136">
        <v>26.49</v>
      </c>
      <c r="M96" s="145">
        <v>8.5388830249596417</v>
      </c>
    </row>
    <row r="97" spans="7:13">
      <c r="G97" s="147" t="s">
        <v>49</v>
      </c>
      <c r="H97" s="137" t="s">
        <v>112</v>
      </c>
      <c r="I97" s="137" t="s">
        <v>106</v>
      </c>
      <c r="J97" s="137" t="s">
        <v>104</v>
      </c>
      <c r="K97" s="138">
        <v>163715</v>
      </c>
      <c r="L97" s="139">
        <v>30.17</v>
      </c>
      <c r="M97" s="148">
        <v>20.444892379651478</v>
      </c>
    </row>
    <row r="98" spans="7:13">
      <c r="G98" s="150"/>
      <c r="H98" s="151"/>
      <c r="I98" s="151"/>
      <c r="J98" s="151"/>
      <c r="K98" s="152">
        <v>241590</v>
      </c>
      <c r="L98" s="153"/>
      <c r="M98" s="154">
        <v>28.983775404611119</v>
      </c>
    </row>
    <row r="99" spans="7:13">
      <c r="G99" s="142"/>
      <c r="H99" s="134"/>
      <c r="I99" s="134"/>
      <c r="J99" s="134"/>
      <c r="K99" s="135"/>
      <c r="L99" s="136"/>
      <c r="M99" s="145"/>
    </row>
    <row r="100" spans="7:13">
      <c r="G100" s="142" t="s">
        <v>113</v>
      </c>
      <c r="H100" s="134" t="s">
        <v>114</v>
      </c>
      <c r="I100" s="134" t="s">
        <v>106</v>
      </c>
      <c r="J100" s="134" t="s">
        <v>104</v>
      </c>
      <c r="K100" s="135">
        <v>64834</v>
      </c>
      <c r="L100" s="136">
        <v>18.75</v>
      </c>
      <c r="M100" s="145">
        <v>3.1173469518590418</v>
      </c>
    </row>
    <row r="101" spans="7:13">
      <c r="G101" s="142" t="s">
        <v>113</v>
      </c>
      <c r="H101" s="134" t="s">
        <v>115</v>
      </c>
      <c r="I101" s="134" t="s">
        <v>106</v>
      </c>
      <c r="J101" s="134" t="s">
        <v>104</v>
      </c>
      <c r="K101" s="135">
        <v>305804</v>
      </c>
      <c r="L101" s="136">
        <v>21.25</v>
      </c>
      <c r="M101" s="145">
        <v>16.664149308004177</v>
      </c>
    </row>
    <row r="102" spans="7:13">
      <c r="G102" s="147" t="s">
        <v>113</v>
      </c>
      <c r="H102" s="137" t="s">
        <v>116</v>
      </c>
      <c r="I102" s="137" t="s">
        <v>106</v>
      </c>
      <c r="J102" s="137" t="s">
        <v>104</v>
      </c>
      <c r="K102" s="138">
        <v>19321</v>
      </c>
      <c r="L102" s="139">
        <v>22.25</v>
      </c>
      <c r="M102" s="148">
        <v>1.102403714236625</v>
      </c>
    </row>
    <row r="103" spans="7:13">
      <c r="G103" s="147"/>
      <c r="H103" s="137"/>
      <c r="I103" s="137"/>
      <c r="J103" s="137"/>
      <c r="K103" s="138">
        <v>389959</v>
      </c>
      <c r="L103" s="139"/>
      <c r="M103" s="149">
        <v>20.883899974099844</v>
      </c>
    </row>
  </sheetData>
  <mergeCells count="8">
    <mergeCell ref="G84:J84"/>
    <mergeCell ref="G86:M86"/>
    <mergeCell ref="A25:A37"/>
    <mergeCell ref="A40:A41"/>
    <mergeCell ref="A45:A50"/>
    <mergeCell ref="A52:A56"/>
    <mergeCell ref="B73:C73"/>
    <mergeCell ref="B80:D80"/>
  </mergeCells>
  <conditionalFormatting sqref="E80:AM80 B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1AEC-9601-4680-A542-89278FAFFAD0}">
  <dimension ref="A2:AM103"/>
  <sheetViews>
    <sheetView topLeftCell="B1" workbookViewId="0">
      <selection activeCell="E40" sqref="E40"/>
    </sheetView>
  </sheetViews>
  <sheetFormatPr defaultColWidth="11.42578125" defaultRowHeight="15"/>
  <cols>
    <col min="1" max="1" width="15" customWidth="1"/>
    <col min="2" max="2" width="27.42578125" customWidth="1"/>
    <col min="3" max="3" width="16.42578125" bestFit="1" customWidth="1"/>
    <col min="4" max="4" width="19.28515625" customWidth="1"/>
    <col min="5" max="5" width="11" bestFit="1" customWidth="1"/>
    <col min="6" max="6" width="12.42578125" customWidth="1"/>
    <col min="7" max="7" width="13.7109375" customWidth="1"/>
    <col min="8" max="8" width="11.85546875" customWidth="1"/>
    <col min="9" max="9" width="13.85546875" customWidth="1"/>
    <col min="10" max="18" width="15.140625" bestFit="1" customWidth="1"/>
    <col min="19" max="21" width="12.42578125" customWidth="1"/>
    <col min="22" max="22" width="12.140625" customWidth="1"/>
    <col min="23" max="23" width="12.42578125" bestFit="1" customWidth="1"/>
    <col min="24" max="24" width="12.42578125" customWidth="1"/>
  </cols>
  <sheetData>
    <row r="2" spans="2:39" ht="15.75">
      <c r="B2" s="54" t="s">
        <v>0</v>
      </c>
      <c r="C2" s="109" t="s">
        <v>1</v>
      </c>
    </row>
    <row r="3" spans="2:39" ht="15.75">
      <c r="B3" s="54" t="s">
        <v>2</v>
      </c>
      <c r="C3" s="109">
        <v>3</v>
      </c>
    </row>
    <row r="4" spans="2:39" ht="15.75">
      <c r="B4" s="54" t="s">
        <v>3</v>
      </c>
      <c r="C4" s="110">
        <v>44693</v>
      </c>
      <c r="M4" s="1"/>
    </row>
    <row r="5" spans="2:39" ht="15.75">
      <c r="B5" s="54" t="s">
        <v>4</v>
      </c>
      <c r="C5" s="110">
        <v>44726</v>
      </c>
    </row>
    <row r="6" spans="2:39" ht="15.75">
      <c r="B6" s="2"/>
      <c r="C6" s="2"/>
    </row>
    <row r="7" spans="2:39" ht="15.75">
      <c r="B7" s="54" t="s">
        <v>5</v>
      </c>
      <c r="D7" s="41" t="s">
        <v>6</v>
      </c>
      <c r="E7" s="42">
        <v>44693</v>
      </c>
      <c r="F7" s="42">
        <f t="shared" ref="F7:AM7" si="0">E7+1</f>
        <v>44694</v>
      </c>
      <c r="G7" s="42">
        <f t="shared" si="0"/>
        <v>44695</v>
      </c>
      <c r="H7" s="42">
        <f t="shared" si="0"/>
        <v>44696</v>
      </c>
      <c r="I7" s="42">
        <f t="shared" si="0"/>
        <v>44697</v>
      </c>
      <c r="J7" s="42">
        <f t="shared" si="0"/>
        <v>44698</v>
      </c>
      <c r="K7" s="42">
        <f t="shared" si="0"/>
        <v>44699</v>
      </c>
      <c r="L7" s="42">
        <f t="shared" si="0"/>
        <v>44700</v>
      </c>
      <c r="M7" s="42">
        <f t="shared" si="0"/>
        <v>44701</v>
      </c>
      <c r="N7" s="42">
        <f t="shared" si="0"/>
        <v>44702</v>
      </c>
      <c r="O7" s="42">
        <f t="shared" si="0"/>
        <v>44703</v>
      </c>
      <c r="P7" s="42">
        <f t="shared" si="0"/>
        <v>44704</v>
      </c>
      <c r="Q7" s="42">
        <f t="shared" si="0"/>
        <v>44705</v>
      </c>
      <c r="R7" s="42">
        <f t="shared" si="0"/>
        <v>44706</v>
      </c>
      <c r="S7" s="42">
        <f t="shared" si="0"/>
        <v>44707</v>
      </c>
      <c r="T7" s="42">
        <f t="shared" si="0"/>
        <v>44708</v>
      </c>
      <c r="U7" s="42">
        <f t="shared" si="0"/>
        <v>44709</v>
      </c>
      <c r="V7" s="42">
        <f t="shared" si="0"/>
        <v>44710</v>
      </c>
      <c r="W7" s="42">
        <f t="shared" si="0"/>
        <v>44711</v>
      </c>
      <c r="X7" s="43">
        <f t="shared" si="0"/>
        <v>44712</v>
      </c>
      <c r="Y7" s="44">
        <f t="shared" si="0"/>
        <v>44713</v>
      </c>
      <c r="Z7" s="44">
        <f t="shared" si="0"/>
        <v>44714</v>
      </c>
      <c r="AA7" s="44">
        <f t="shared" si="0"/>
        <v>44715</v>
      </c>
      <c r="AB7" s="44">
        <f t="shared" si="0"/>
        <v>44716</v>
      </c>
      <c r="AC7" s="44">
        <f t="shared" si="0"/>
        <v>44717</v>
      </c>
      <c r="AD7" s="44">
        <f t="shared" si="0"/>
        <v>44718</v>
      </c>
      <c r="AE7" s="44">
        <f t="shared" si="0"/>
        <v>44719</v>
      </c>
      <c r="AF7" s="44">
        <f t="shared" si="0"/>
        <v>44720</v>
      </c>
      <c r="AG7" s="44">
        <f t="shared" si="0"/>
        <v>44721</v>
      </c>
      <c r="AH7" s="44">
        <f t="shared" si="0"/>
        <v>44722</v>
      </c>
      <c r="AI7" s="44">
        <f t="shared" si="0"/>
        <v>44723</v>
      </c>
      <c r="AJ7" s="44">
        <f t="shared" si="0"/>
        <v>44724</v>
      </c>
      <c r="AK7" s="44">
        <f t="shared" si="0"/>
        <v>44725</v>
      </c>
      <c r="AL7" s="44">
        <f t="shared" si="0"/>
        <v>44726</v>
      </c>
      <c r="AM7" s="44">
        <f t="shared" si="0"/>
        <v>44727</v>
      </c>
    </row>
    <row r="8" spans="2:39">
      <c r="B8" s="46" t="s">
        <v>7</v>
      </c>
      <c r="C8" s="47" t="s">
        <v>8</v>
      </c>
      <c r="D8" s="71">
        <f t="shared" ref="D8:D15" si="1">SUM(E8:AI8)</f>
        <v>660</v>
      </c>
      <c r="E8" s="114">
        <v>0</v>
      </c>
      <c r="F8" s="114">
        <v>14.5</v>
      </c>
      <c r="G8" s="114">
        <v>24</v>
      </c>
      <c r="H8" s="114">
        <v>24</v>
      </c>
      <c r="I8" s="114">
        <v>24</v>
      </c>
      <c r="J8" s="114">
        <v>24</v>
      </c>
      <c r="K8" s="114">
        <v>24</v>
      </c>
      <c r="L8" s="114">
        <v>24</v>
      </c>
      <c r="M8" s="114">
        <v>24</v>
      </c>
      <c r="N8" s="114">
        <v>24</v>
      </c>
      <c r="O8" s="114">
        <v>24</v>
      </c>
      <c r="P8" s="114">
        <v>24</v>
      </c>
      <c r="Q8" s="114">
        <v>24</v>
      </c>
      <c r="R8" s="114">
        <v>19</v>
      </c>
      <c r="S8" s="114">
        <v>18</v>
      </c>
      <c r="T8" s="114">
        <v>20</v>
      </c>
      <c r="U8" s="114">
        <v>22</v>
      </c>
      <c r="V8" s="114">
        <v>24</v>
      </c>
      <c r="W8" s="114">
        <v>24</v>
      </c>
      <c r="X8" s="114">
        <v>24</v>
      </c>
      <c r="Y8" s="114">
        <v>24</v>
      </c>
      <c r="Z8" s="114">
        <v>24</v>
      </c>
      <c r="AA8" s="114">
        <v>24</v>
      </c>
      <c r="AB8" s="114">
        <v>24</v>
      </c>
      <c r="AC8" s="114">
        <v>24</v>
      </c>
      <c r="AD8" s="114">
        <v>24</v>
      </c>
      <c r="AE8" s="114">
        <v>24</v>
      </c>
      <c r="AF8" s="114">
        <v>24</v>
      </c>
      <c r="AG8" s="114">
        <v>7</v>
      </c>
      <c r="AH8" s="114">
        <v>24</v>
      </c>
      <c r="AI8" s="114">
        <v>7.5</v>
      </c>
      <c r="AJ8" s="114">
        <v>0</v>
      </c>
      <c r="AK8" s="114">
        <v>0</v>
      </c>
      <c r="AL8" s="114">
        <v>0</v>
      </c>
      <c r="AM8" s="114">
        <v>0</v>
      </c>
    </row>
    <row r="9" spans="2:39">
      <c r="B9" s="48" t="s">
        <v>9</v>
      </c>
      <c r="C9" s="38" t="s">
        <v>8</v>
      </c>
      <c r="D9" s="71">
        <f t="shared" si="1"/>
        <v>67</v>
      </c>
      <c r="E9" s="115">
        <v>24</v>
      </c>
      <c r="F9" s="115">
        <v>9.5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5</v>
      </c>
      <c r="S9" s="115">
        <v>6</v>
      </c>
      <c r="T9" s="115">
        <v>4</v>
      </c>
      <c r="U9" s="115">
        <v>2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16.5</v>
      </c>
      <c r="AJ9" s="115">
        <v>0</v>
      </c>
      <c r="AK9" s="115">
        <v>0</v>
      </c>
      <c r="AL9" s="115">
        <v>0</v>
      </c>
      <c r="AM9" s="115">
        <v>0</v>
      </c>
    </row>
    <row r="10" spans="2:39">
      <c r="B10" s="48" t="s">
        <v>10</v>
      </c>
      <c r="C10" s="38" t="s">
        <v>8</v>
      </c>
      <c r="D10" s="71">
        <f t="shared" si="1"/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</row>
    <row r="11" spans="2:39">
      <c r="B11" s="48" t="s">
        <v>11</v>
      </c>
      <c r="C11" s="38" t="s">
        <v>8</v>
      </c>
      <c r="D11" s="71">
        <f t="shared" si="1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</row>
    <row r="12" spans="2:39">
      <c r="B12" s="48" t="s">
        <v>12</v>
      </c>
      <c r="C12" s="38" t="s">
        <v>8</v>
      </c>
      <c r="D12" s="71">
        <f t="shared" si="1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</row>
    <row r="13" spans="2:39">
      <c r="B13" s="48" t="s">
        <v>13</v>
      </c>
      <c r="C13" s="38" t="s">
        <v>8</v>
      </c>
      <c r="D13" s="71">
        <f t="shared" si="1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</row>
    <row r="14" spans="2:39">
      <c r="B14" s="49" t="s">
        <v>14</v>
      </c>
      <c r="C14" s="40" t="s">
        <v>8</v>
      </c>
      <c r="D14" s="71">
        <f t="shared" si="1"/>
        <v>17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17</v>
      </c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  <c r="AM14" s="116">
        <v>0</v>
      </c>
    </row>
    <row r="15" spans="2:39">
      <c r="B15" s="68" t="s">
        <v>15</v>
      </c>
      <c r="C15" s="69" t="s">
        <v>8</v>
      </c>
      <c r="D15" s="70">
        <f t="shared" si="1"/>
        <v>744</v>
      </c>
      <c r="E15" s="117">
        <f t="shared" ref="E15:AM15" si="2">SUM(E8:E14)</f>
        <v>24</v>
      </c>
      <c r="F15" s="117">
        <f t="shared" si="2"/>
        <v>24</v>
      </c>
      <c r="G15" s="117">
        <f t="shared" si="2"/>
        <v>24</v>
      </c>
      <c r="H15" s="117">
        <f t="shared" si="2"/>
        <v>24</v>
      </c>
      <c r="I15" s="117">
        <f t="shared" si="2"/>
        <v>24</v>
      </c>
      <c r="J15" s="117">
        <f t="shared" si="2"/>
        <v>24</v>
      </c>
      <c r="K15" s="117">
        <f t="shared" si="2"/>
        <v>24</v>
      </c>
      <c r="L15" s="117">
        <f t="shared" si="2"/>
        <v>24</v>
      </c>
      <c r="M15" s="117">
        <f t="shared" si="2"/>
        <v>24</v>
      </c>
      <c r="N15" s="117">
        <f t="shared" si="2"/>
        <v>24</v>
      </c>
      <c r="O15" s="117">
        <f t="shared" si="2"/>
        <v>24</v>
      </c>
      <c r="P15" s="117">
        <f t="shared" si="2"/>
        <v>24</v>
      </c>
      <c r="Q15" s="117">
        <f t="shared" si="2"/>
        <v>24</v>
      </c>
      <c r="R15" s="117">
        <f t="shared" si="2"/>
        <v>24</v>
      </c>
      <c r="S15" s="117">
        <f t="shared" si="2"/>
        <v>24</v>
      </c>
      <c r="T15" s="117">
        <f t="shared" si="2"/>
        <v>24</v>
      </c>
      <c r="U15" s="117">
        <f t="shared" si="2"/>
        <v>24</v>
      </c>
      <c r="V15" s="117">
        <f t="shared" si="2"/>
        <v>24</v>
      </c>
      <c r="W15" s="117">
        <f t="shared" si="2"/>
        <v>24</v>
      </c>
      <c r="X15" s="117">
        <f t="shared" si="2"/>
        <v>24</v>
      </c>
      <c r="Y15" s="117">
        <f t="shared" si="2"/>
        <v>24</v>
      </c>
      <c r="Z15" s="117">
        <f t="shared" si="2"/>
        <v>24</v>
      </c>
      <c r="AA15" s="117">
        <f t="shared" si="2"/>
        <v>24</v>
      </c>
      <c r="AB15" s="117">
        <f t="shared" si="2"/>
        <v>24</v>
      </c>
      <c r="AC15" s="117">
        <f t="shared" si="2"/>
        <v>24</v>
      </c>
      <c r="AD15" s="117">
        <f t="shared" si="2"/>
        <v>24</v>
      </c>
      <c r="AE15" s="117">
        <f t="shared" si="2"/>
        <v>24</v>
      </c>
      <c r="AF15" s="117">
        <f t="shared" si="2"/>
        <v>24</v>
      </c>
      <c r="AG15" s="117">
        <f t="shared" si="2"/>
        <v>24</v>
      </c>
      <c r="AH15" s="117">
        <f t="shared" si="2"/>
        <v>24</v>
      </c>
      <c r="AI15" s="117">
        <f t="shared" si="2"/>
        <v>24</v>
      </c>
      <c r="AJ15" s="117">
        <f t="shared" si="2"/>
        <v>0</v>
      </c>
      <c r="AK15" s="117">
        <f t="shared" si="2"/>
        <v>0</v>
      </c>
      <c r="AL15" s="117">
        <f t="shared" si="2"/>
        <v>0</v>
      </c>
      <c r="AM15" s="117">
        <f t="shared" si="2"/>
        <v>0</v>
      </c>
    </row>
    <row r="17" spans="1:39">
      <c r="B17" s="50" t="s">
        <v>16</v>
      </c>
      <c r="C17" s="50" t="s">
        <v>0</v>
      </c>
      <c r="D17" s="58">
        <f>SUM(E17:AI17)</f>
        <v>0</v>
      </c>
      <c r="E17" s="127" t="s">
        <v>156</v>
      </c>
      <c r="F17" s="66" t="s">
        <v>157</v>
      </c>
      <c r="G17" s="66" t="s">
        <v>157</v>
      </c>
      <c r="H17" s="66" t="s">
        <v>157</v>
      </c>
      <c r="I17" s="65" t="s">
        <v>157</v>
      </c>
      <c r="J17" s="65" t="s">
        <v>158</v>
      </c>
      <c r="K17" s="65" t="s">
        <v>158</v>
      </c>
      <c r="L17" s="65" t="s">
        <v>158</v>
      </c>
      <c r="M17" s="65" t="s">
        <v>157</v>
      </c>
      <c r="N17" s="65" t="s">
        <v>158</v>
      </c>
      <c r="O17" s="65" t="s">
        <v>158</v>
      </c>
      <c r="P17" s="65" t="s">
        <v>157</v>
      </c>
      <c r="Q17" s="65" t="s">
        <v>158</v>
      </c>
      <c r="R17" s="65" t="s">
        <v>158</v>
      </c>
      <c r="S17" s="65" t="s">
        <v>159</v>
      </c>
      <c r="T17" s="65" t="s">
        <v>157</v>
      </c>
      <c r="U17" s="65" t="s">
        <v>160</v>
      </c>
      <c r="V17" s="65" t="s">
        <v>161</v>
      </c>
      <c r="W17" s="65" t="s">
        <v>161</v>
      </c>
      <c r="X17" s="65" t="s">
        <v>161</v>
      </c>
      <c r="Y17" s="65" t="s">
        <v>161</v>
      </c>
      <c r="Z17" s="65" t="s">
        <v>161</v>
      </c>
      <c r="AA17" s="65" t="s">
        <v>161</v>
      </c>
      <c r="AB17" s="65" t="s">
        <v>161</v>
      </c>
      <c r="AC17" s="65" t="s">
        <v>161</v>
      </c>
      <c r="AD17" s="65" t="s">
        <v>161</v>
      </c>
      <c r="AE17" s="65" t="s">
        <v>161</v>
      </c>
      <c r="AF17" s="65" t="s">
        <v>162</v>
      </c>
      <c r="AG17" s="65" t="s">
        <v>162</v>
      </c>
      <c r="AH17" s="65" t="s">
        <v>162</v>
      </c>
      <c r="AI17" s="65" t="s">
        <v>162</v>
      </c>
      <c r="AJ17" s="58"/>
      <c r="AK17" s="58"/>
      <c r="AL17" s="58"/>
      <c r="AM17" s="58"/>
    </row>
    <row r="18" spans="1:39">
      <c r="B18" s="37" t="s">
        <v>31</v>
      </c>
      <c r="C18" s="37" t="s">
        <v>32</v>
      </c>
      <c r="D18" s="131">
        <f>SUM(E18:AI18)</f>
        <v>549</v>
      </c>
      <c r="E18" s="162"/>
      <c r="F18" s="123">
        <v>10</v>
      </c>
      <c r="G18" s="123">
        <v>21</v>
      </c>
      <c r="H18" s="123">
        <v>21.5</v>
      </c>
      <c r="I18" s="122">
        <v>20.2</v>
      </c>
      <c r="J18" s="122">
        <v>16.100000000000001</v>
      </c>
      <c r="K18" s="122">
        <v>21</v>
      </c>
      <c r="L18" s="122">
        <v>20.5</v>
      </c>
      <c r="M18" s="122">
        <v>21.4</v>
      </c>
      <c r="N18" s="122">
        <v>17</v>
      </c>
      <c r="O18" s="122">
        <v>20.3</v>
      </c>
      <c r="P18" s="122">
        <v>21</v>
      </c>
      <c r="Q18" s="122">
        <v>21</v>
      </c>
      <c r="R18" s="122">
        <v>15.5</v>
      </c>
      <c r="S18" s="122">
        <v>15</v>
      </c>
      <c r="T18" s="122">
        <v>17</v>
      </c>
      <c r="U18" s="122">
        <v>20.5</v>
      </c>
      <c r="V18" s="122">
        <v>18.5</v>
      </c>
      <c r="W18" s="122">
        <v>21</v>
      </c>
      <c r="X18" s="122">
        <v>16</v>
      </c>
      <c r="Y18" s="122">
        <v>21.5</v>
      </c>
      <c r="Z18" s="122">
        <v>20.5</v>
      </c>
      <c r="AA18" s="122">
        <v>19.5</v>
      </c>
      <c r="AB18" s="122">
        <v>21.5</v>
      </c>
      <c r="AC18" s="122">
        <v>21.5</v>
      </c>
      <c r="AD18" s="122">
        <v>16.5</v>
      </c>
      <c r="AE18" s="122">
        <v>19.5</v>
      </c>
      <c r="AF18" s="122">
        <v>21.5</v>
      </c>
      <c r="AG18" s="122">
        <v>7</v>
      </c>
      <c r="AH18" s="122">
        <v>18</v>
      </c>
      <c r="AI18" s="122">
        <v>7.5</v>
      </c>
      <c r="AJ18" s="124"/>
      <c r="AK18" s="124"/>
      <c r="AL18" s="124"/>
      <c r="AM18" s="124"/>
    </row>
    <row r="19" spans="1:39">
      <c r="B19" s="37" t="s">
        <v>35</v>
      </c>
      <c r="C19" s="37" t="s">
        <v>36</v>
      </c>
      <c r="D19" s="131">
        <f>SUM(E19:AI19)</f>
        <v>102</v>
      </c>
      <c r="E19" s="162"/>
      <c r="F19" s="123">
        <v>2</v>
      </c>
      <c r="G19" s="123">
        <v>4</v>
      </c>
      <c r="H19" s="123">
        <v>4</v>
      </c>
      <c r="I19" s="122">
        <v>4</v>
      </c>
      <c r="J19" s="122">
        <v>3</v>
      </c>
      <c r="K19" s="122">
        <v>4</v>
      </c>
      <c r="L19" s="122">
        <v>4</v>
      </c>
      <c r="M19" s="122">
        <v>4</v>
      </c>
      <c r="N19" s="122">
        <v>3</v>
      </c>
      <c r="O19" s="122">
        <v>4</v>
      </c>
      <c r="P19" s="122">
        <v>4</v>
      </c>
      <c r="Q19" s="122">
        <v>4</v>
      </c>
      <c r="R19" s="122">
        <v>3</v>
      </c>
      <c r="S19" s="122">
        <v>3</v>
      </c>
      <c r="T19" s="122">
        <v>3</v>
      </c>
      <c r="U19" s="122">
        <v>4</v>
      </c>
      <c r="V19" s="122">
        <v>3</v>
      </c>
      <c r="W19" s="122">
        <v>4</v>
      </c>
      <c r="X19" s="122">
        <v>3</v>
      </c>
      <c r="Y19" s="122">
        <v>4</v>
      </c>
      <c r="Z19" s="122">
        <v>4</v>
      </c>
      <c r="AA19" s="122">
        <v>4</v>
      </c>
      <c r="AB19" s="122">
        <v>4</v>
      </c>
      <c r="AC19" s="122">
        <v>4</v>
      </c>
      <c r="AD19" s="122">
        <v>3</v>
      </c>
      <c r="AE19" s="122">
        <v>3</v>
      </c>
      <c r="AF19" s="122">
        <v>4</v>
      </c>
      <c r="AG19" s="122">
        <v>1</v>
      </c>
      <c r="AH19" s="122">
        <v>3</v>
      </c>
      <c r="AI19" s="122">
        <v>1</v>
      </c>
      <c r="AJ19" s="124"/>
      <c r="AK19" s="124"/>
      <c r="AL19" s="124"/>
      <c r="AM19" s="124"/>
    </row>
    <row r="20" spans="1:39">
      <c r="B20" s="39" t="s">
        <v>37</v>
      </c>
      <c r="C20" s="39" t="s">
        <v>38</v>
      </c>
      <c r="D20" s="67">
        <f>SUM(E20:AI20)</f>
        <v>0</v>
      </c>
      <c r="E20" s="129"/>
      <c r="F20" s="56" t="s">
        <v>163</v>
      </c>
      <c r="G20" s="56" t="s">
        <v>163</v>
      </c>
      <c r="H20" s="56" t="s">
        <v>163</v>
      </c>
      <c r="I20" s="60" t="s">
        <v>163</v>
      </c>
      <c r="J20" s="60" t="s">
        <v>163</v>
      </c>
      <c r="K20" s="60" t="s">
        <v>164</v>
      </c>
      <c r="L20" s="60" t="s">
        <v>163</v>
      </c>
      <c r="M20" s="60" t="s">
        <v>163</v>
      </c>
      <c r="N20" s="60" t="s">
        <v>163</v>
      </c>
      <c r="O20" s="60" t="s">
        <v>163</v>
      </c>
      <c r="P20" s="60" t="s">
        <v>163</v>
      </c>
      <c r="Q20" s="60" t="s">
        <v>164</v>
      </c>
      <c r="R20" s="60" t="s">
        <v>164</v>
      </c>
      <c r="S20" s="60" t="s">
        <v>163</v>
      </c>
      <c r="T20" s="60" t="s">
        <v>164</v>
      </c>
      <c r="U20" s="60" t="s">
        <v>163</v>
      </c>
      <c r="V20" s="60" t="s">
        <v>164</v>
      </c>
      <c r="W20" s="60" t="s">
        <v>163</v>
      </c>
      <c r="X20" s="60" t="s">
        <v>164</v>
      </c>
      <c r="Y20" s="60" t="s">
        <v>164</v>
      </c>
      <c r="Z20" s="60" t="s">
        <v>164</v>
      </c>
      <c r="AA20" s="60" t="s">
        <v>164</v>
      </c>
      <c r="AB20" s="60" t="s">
        <v>164</v>
      </c>
      <c r="AC20" s="60" t="s">
        <v>164</v>
      </c>
      <c r="AD20" s="60" t="s">
        <v>164</v>
      </c>
      <c r="AE20" s="60" t="s">
        <v>164</v>
      </c>
      <c r="AF20" s="60" t="s">
        <v>164</v>
      </c>
      <c r="AG20" s="60" t="s">
        <v>165</v>
      </c>
      <c r="AH20" s="60" t="s">
        <v>164</v>
      </c>
      <c r="AI20" s="60" t="s">
        <v>163</v>
      </c>
      <c r="AJ20" s="61"/>
      <c r="AK20" s="61"/>
      <c r="AL20" s="61"/>
      <c r="AM20" s="61"/>
    </row>
    <row r="21" spans="1:39">
      <c r="B21" s="39" t="s">
        <v>41</v>
      </c>
      <c r="C21" s="39" t="s">
        <v>42</v>
      </c>
      <c r="D21" s="130"/>
      <c r="E21" s="57"/>
      <c r="F21" s="62">
        <v>1.4</v>
      </c>
      <c r="G21" s="63">
        <v>1.6</v>
      </c>
      <c r="H21" s="63">
        <v>2.2000000000000002</v>
      </c>
      <c r="I21" s="63">
        <v>2.1</v>
      </c>
      <c r="J21" s="63">
        <v>2.1</v>
      </c>
      <c r="K21" s="63">
        <v>1.9</v>
      </c>
      <c r="L21" s="63">
        <v>2</v>
      </c>
      <c r="M21" s="63">
        <v>2.1</v>
      </c>
      <c r="N21" s="63">
        <v>1.7</v>
      </c>
      <c r="O21" s="63">
        <v>1.4</v>
      </c>
      <c r="P21" s="63">
        <v>1.8</v>
      </c>
      <c r="Q21" s="63">
        <v>1.2</v>
      </c>
      <c r="R21" s="63">
        <v>1.5</v>
      </c>
      <c r="S21" s="63">
        <v>1.1000000000000001</v>
      </c>
      <c r="T21" s="63">
        <v>0.8</v>
      </c>
      <c r="U21" s="63">
        <v>1.1000000000000001</v>
      </c>
      <c r="V21" s="63">
        <v>1</v>
      </c>
      <c r="W21" s="63">
        <v>0.6</v>
      </c>
      <c r="X21" s="63">
        <v>1.1000000000000001</v>
      </c>
      <c r="Y21" s="64">
        <v>1.1000000000000001</v>
      </c>
      <c r="Z21" s="64">
        <v>1.2</v>
      </c>
      <c r="AA21" s="64">
        <v>0.8</v>
      </c>
      <c r="AB21" s="64">
        <v>0.8</v>
      </c>
      <c r="AC21" s="64">
        <v>0.8</v>
      </c>
      <c r="AD21" s="64">
        <v>0.3</v>
      </c>
      <c r="AE21" s="64">
        <v>0.5</v>
      </c>
      <c r="AF21" s="64">
        <v>0.5</v>
      </c>
      <c r="AG21" s="64">
        <v>0.4</v>
      </c>
      <c r="AH21" s="64">
        <v>0.2</v>
      </c>
      <c r="AI21" s="64">
        <v>0.6</v>
      </c>
      <c r="AJ21" s="64"/>
      <c r="AK21" s="64"/>
      <c r="AL21" s="64"/>
      <c r="AM21" s="64"/>
    </row>
    <row r="23" spans="1:39">
      <c r="B23" s="167" t="s">
        <v>43</v>
      </c>
      <c r="C23" s="168">
        <f>D25/D18</f>
        <v>1011.9617486338798</v>
      </c>
    </row>
    <row r="24" spans="1:39">
      <c r="D24" s="10"/>
    </row>
    <row r="25" spans="1:39">
      <c r="A25" s="312" t="s">
        <v>44</v>
      </c>
      <c r="B25" s="35" t="s">
        <v>45</v>
      </c>
      <c r="C25" s="36" t="s">
        <v>46</v>
      </c>
      <c r="D25" s="70">
        <f>SUM(E25:AI25)</f>
        <v>555567</v>
      </c>
      <c r="E25" s="75">
        <f t="shared" ref="E25:AM25" si="3">SUM(E26:E37)</f>
        <v>0</v>
      </c>
      <c r="F25" s="70">
        <f t="shared" si="3"/>
        <v>9695</v>
      </c>
      <c r="G25" s="76">
        <f t="shared" si="3"/>
        <v>22201</v>
      </c>
      <c r="H25" s="75">
        <f t="shared" si="3"/>
        <v>21897</v>
      </c>
      <c r="I25" s="70">
        <f t="shared" si="3"/>
        <v>22457</v>
      </c>
      <c r="J25" s="75">
        <f t="shared" si="3"/>
        <v>19341</v>
      </c>
      <c r="K25" s="70">
        <f t="shared" si="3"/>
        <v>20769</v>
      </c>
      <c r="L25" s="75">
        <f t="shared" si="3"/>
        <v>20284</v>
      </c>
      <c r="M25" s="70">
        <f t="shared" si="3"/>
        <v>15463</v>
      </c>
      <c r="N25" s="75">
        <f t="shared" si="3"/>
        <v>12978</v>
      </c>
      <c r="O25" s="70">
        <f t="shared" si="3"/>
        <v>17888</v>
      </c>
      <c r="P25" s="75">
        <f t="shared" si="3"/>
        <v>16826</v>
      </c>
      <c r="Q25" s="70">
        <f t="shared" si="3"/>
        <v>15950</v>
      </c>
      <c r="R25" s="75">
        <f t="shared" si="3"/>
        <v>9947</v>
      </c>
      <c r="S25" s="155">
        <f t="shared" si="3"/>
        <v>7273</v>
      </c>
      <c r="T25" s="155">
        <f t="shared" si="3"/>
        <v>11536</v>
      </c>
      <c r="U25" s="156">
        <f t="shared" si="3"/>
        <v>20157</v>
      </c>
      <c r="V25" s="157">
        <f t="shared" si="3"/>
        <v>17329</v>
      </c>
      <c r="W25" s="157">
        <f t="shared" si="3"/>
        <v>25385</v>
      </c>
      <c r="X25" s="155">
        <f t="shared" si="3"/>
        <v>15707</v>
      </c>
      <c r="Y25" s="158">
        <f t="shared" si="3"/>
        <v>19063</v>
      </c>
      <c r="Z25" s="158">
        <f t="shared" si="3"/>
        <v>18416</v>
      </c>
      <c r="AA25" s="158">
        <f t="shared" si="3"/>
        <v>17852</v>
      </c>
      <c r="AB25" s="158">
        <f t="shared" si="3"/>
        <v>23730</v>
      </c>
      <c r="AC25" s="158">
        <f t="shared" si="3"/>
        <v>21762</v>
      </c>
      <c r="AD25" s="158">
        <f t="shared" si="3"/>
        <v>23012</v>
      </c>
      <c r="AE25" s="158">
        <f t="shared" si="3"/>
        <v>35659</v>
      </c>
      <c r="AF25" s="158">
        <f t="shared" si="3"/>
        <v>26530</v>
      </c>
      <c r="AG25" s="158">
        <f t="shared" si="3"/>
        <v>3570</v>
      </c>
      <c r="AH25" s="158">
        <f t="shared" si="3"/>
        <v>30710</v>
      </c>
      <c r="AI25" s="158">
        <f t="shared" si="3"/>
        <v>12180</v>
      </c>
      <c r="AJ25" s="158">
        <f t="shared" si="3"/>
        <v>0</v>
      </c>
      <c r="AK25" s="158">
        <f t="shared" si="3"/>
        <v>0</v>
      </c>
      <c r="AL25" s="158">
        <f t="shared" si="3"/>
        <v>0</v>
      </c>
      <c r="AM25" s="158">
        <f t="shared" si="3"/>
        <v>0</v>
      </c>
    </row>
    <row r="26" spans="1:39">
      <c r="A26" s="313"/>
      <c r="B26" s="37" t="s">
        <v>47</v>
      </c>
      <c r="C26" s="38" t="s">
        <v>48</v>
      </c>
      <c r="D26" s="72">
        <f>SUM(E26:AI26)</f>
        <v>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</row>
    <row r="27" spans="1:39">
      <c r="A27" s="313"/>
      <c r="B27" s="37" t="s">
        <v>49</v>
      </c>
      <c r="C27" s="38" t="s">
        <v>48</v>
      </c>
      <c r="D27" s="73">
        <f>SUM(E27:AI27)</f>
        <v>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</row>
    <row r="28" spans="1:39">
      <c r="A28" s="313"/>
      <c r="B28" s="37" t="s">
        <v>50</v>
      </c>
      <c r="C28" s="38" t="s">
        <v>48</v>
      </c>
      <c r="D28" s="73">
        <f>SUM(E28:AI28)</f>
        <v>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</row>
    <row r="29" spans="1:39">
      <c r="A29" s="313"/>
      <c r="B29" s="37" t="s">
        <v>51</v>
      </c>
      <c r="C29" s="38" t="s">
        <v>48</v>
      </c>
      <c r="D29" s="73">
        <f>SUM(E29:Y29)</f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</row>
    <row r="30" spans="1:39">
      <c r="A30" s="313"/>
      <c r="B30" s="37" t="s">
        <v>52</v>
      </c>
      <c r="C30" s="38" t="s">
        <v>48</v>
      </c>
      <c r="D30" s="73">
        <f>SUM(E30:AI30)</f>
        <v>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</row>
    <row r="31" spans="1:39">
      <c r="A31" s="313"/>
      <c r="B31" s="37" t="s">
        <v>53</v>
      </c>
      <c r="C31" s="38" t="s">
        <v>48</v>
      </c>
      <c r="D31" s="73">
        <f>SUM(E31:AI31)</f>
        <v>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</row>
    <row r="32" spans="1:39">
      <c r="A32" s="313"/>
      <c r="B32" s="37" t="s">
        <v>54</v>
      </c>
      <c r="C32" s="38" t="s">
        <v>48</v>
      </c>
      <c r="D32" s="73">
        <f>SUM(E32:AI32)</f>
        <v>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</row>
    <row r="33" spans="1:39">
      <c r="A33" s="313"/>
      <c r="B33" s="37" t="s">
        <v>55</v>
      </c>
      <c r="C33" s="38" t="s">
        <v>48</v>
      </c>
      <c r="D33" s="73">
        <f>SUM(E33:AL33)</f>
        <v>0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</row>
    <row r="34" spans="1:39">
      <c r="A34" s="313"/>
      <c r="B34" s="37" t="s">
        <v>56</v>
      </c>
      <c r="C34" s="38" t="s">
        <v>48</v>
      </c>
      <c r="D34" s="73">
        <f>SUM(E34:AI34)</f>
        <v>0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</row>
    <row r="35" spans="1:39">
      <c r="A35" s="313"/>
      <c r="B35" s="37" t="s">
        <v>57</v>
      </c>
      <c r="C35" s="38" t="s">
        <v>48</v>
      </c>
      <c r="D35" s="73">
        <f>SUM(E35:AI35)</f>
        <v>479504</v>
      </c>
      <c r="E35" s="55"/>
      <c r="F35" s="55">
        <v>8190</v>
      </c>
      <c r="G35" s="55">
        <v>17598</v>
      </c>
      <c r="H35" s="55">
        <v>18165</v>
      </c>
      <c r="I35" s="55">
        <v>18354</v>
      </c>
      <c r="J35" s="55">
        <v>16716</v>
      </c>
      <c r="K35" s="55">
        <v>16359</v>
      </c>
      <c r="L35" s="55">
        <v>16464</v>
      </c>
      <c r="M35" s="55">
        <v>10395</v>
      </c>
      <c r="N35" s="55">
        <v>9723</v>
      </c>
      <c r="O35" s="55">
        <v>15374</v>
      </c>
      <c r="P35" s="55">
        <v>14175</v>
      </c>
      <c r="Q35" s="55">
        <v>11340</v>
      </c>
      <c r="R35" s="55">
        <v>8421</v>
      </c>
      <c r="S35" s="55">
        <v>5838</v>
      </c>
      <c r="T35" s="55">
        <v>8862</v>
      </c>
      <c r="U35" s="55">
        <v>16674</v>
      </c>
      <c r="V35" s="55">
        <v>16800</v>
      </c>
      <c r="W35" s="55">
        <v>22071</v>
      </c>
      <c r="X35" s="55">
        <v>14491</v>
      </c>
      <c r="Y35" s="55">
        <v>15729</v>
      </c>
      <c r="Z35" s="55">
        <v>16002</v>
      </c>
      <c r="AA35" s="55">
        <v>14469</v>
      </c>
      <c r="AB35" s="55">
        <v>21945</v>
      </c>
      <c r="AC35" s="55">
        <v>19026</v>
      </c>
      <c r="AD35" s="55">
        <v>20139</v>
      </c>
      <c r="AE35" s="55">
        <v>34860</v>
      </c>
      <c r="AF35" s="55">
        <v>25221</v>
      </c>
      <c r="AG35" s="55">
        <v>3570</v>
      </c>
      <c r="AH35" s="55">
        <v>30353</v>
      </c>
      <c r="AI35" s="55">
        <v>12180</v>
      </c>
      <c r="AJ35" s="55"/>
      <c r="AK35" s="55"/>
      <c r="AL35" s="55"/>
      <c r="AM35" s="55"/>
    </row>
    <row r="36" spans="1:39">
      <c r="A36" s="313"/>
      <c r="B36" s="37" t="s">
        <v>58</v>
      </c>
      <c r="C36" s="38" t="s">
        <v>48</v>
      </c>
      <c r="D36" s="73">
        <f>SUM(E36:AI36)</f>
        <v>76063</v>
      </c>
      <c r="E36" s="55"/>
      <c r="F36" s="55">
        <v>1505</v>
      </c>
      <c r="G36" s="55">
        <v>4603</v>
      </c>
      <c r="H36" s="55">
        <v>3732</v>
      </c>
      <c r="I36" s="55">
        <v>4103</v>
      </c>
      <c r="J36" s="55">
        <v>2625</v>
      </c>
      <c r="K36" s="55">
        <v>4410</v>
      </c>
      <c r="L36" s="55">
        <v>3820</v>
      </c>
      <c r="M36" s="55">
        <v>5068</v>
      </c>
      <c r="N36" s="55">
        <v>3255</v>
      </c>
      <c r="O36" s="55">
        <v>2514</v>
      </c>
      <c r="P36" s="55">
        <v>2651</v>
      </c>
      <c r="Q36" s="55">
        <v>4610</v>
      </c>
      <c r="R36" s="55">
        <v>1526</v>
      </c>
      <c r="S36" s="55">
        <v>1435</v>
      </c>
      <c r="T36" s="55">
        <v>2674</v>
      </c>
      <c r="U36" s="55">
        <v>3483</v>
      </c>
      <c r="V36" s="55">
        <v>529</v>
      </c>
      <c r="W36" s="55">
        <v>3314</v>
      </c>
      <c r="X36" s="55">
        <v>1216</v>
      </c>
      <c r="Y36" s="55">
        <v>3334</v>
      </c>
      <c r="Z36" s="55">
        <v>2414</v>
      </c>
      <c r="AA36" s="55">
        <v>3383</v>
      </c>
      <c r="AB36" s="55">
        <v>1785</v>
      </c>
      <c r="AC36" s="55">
        <v>2736</v>
      </c>
      <c r="AD36" s="55">
        <v>2873</v>
      </c>
      <c r="AE36" s="55">
        <v>799</v>
      </c>
      <c r="AF36" s="55">
        <v>1309</v>
      </c>
      <c r="AG36" s="55"/>
      <c r="AH36" s="55">
        <v>357</v>
      </c>
      <c r="AI36" s="55"/>
      <c r="AJ36" s="55"/>
      <c r="AK36" s="55"/>
      <c r="AL36" s="55"/>
      <c r="AM36" s="55"/>
    </row>
    <row r="37" spans="1:39">
      <c r="A37" s="314"/>
      <c r="B37" s="39" t="s">
        <v>59</v>
      </c>
      <c r="C37" s="40" t="s">
        <v>48</v>
      </c>
      <c r="D37" s="73">
        <f>SUM(E37:AI37)</f>
        <v>0</v>
      </c>
      <c r="E37" s="55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</row>
    <row r="38" spans="1:39">
      <c r="A38" s="164"/>
      <c r="B38" s="94" t="s">
        <v>149</v>
      </c>
      <c r="C38" s="166"/>
      <c r="D38" s="169">
        <f t="shared" ref="D38:AM38" si="4">D36/D25</f>
        <v>0.13691057964205938</v>
      </c>
      <c r="E38" s="170" t="e">
        <f t="shared" si="4"/>
        <v>#DIV/0!</v>
      </c>
      <c r="F38" s="170">
        <f t="shared" si="4"/>
        <v>0.1552346570397112</v>
      </c>
      <c r="G38" s="170">
        <f t="shared" si="4"/>
        <v>0.20733300301788207</v>
      </c>
      <c r="H38" s="170">
        <f t="shared" si="4"/>
        <v>0.17043430606932455</v>
      </c>
      <c r="I38" s="170">
        <f t="shared" si="4"/>
        <v>0.182704724584762</v>
      </c>
      <c r="J38" s="170">
        <f t="shared" si="4"/>
        <v>0.13572204125950055</v>
      </c>
      <c r="K38" s="170">
        <f t="shared" si="4"/>
        <v>0.21233569261880689</v>
      </c>
      <c r="L38" s="170">
        <f t="shared" si="4"/>
        <v>0.18832577400907119</v>
      </c>
      <c r="M38" s="170">
        <f t="shared" si="4"/>
        <v>0.3277501131733816</v>
      </c>
      <c r="N38" s="170">
        <f t="shared" si="4"/>
        <v>0.25080906148867316</v>
      </c>
      <c r="O38" s="170">
        <f t="shared" si="4"/>
        <v>0.14054114490161002</v>
      </c>
      <c r="P38" s="170">
        <f t="shared" si="4"/>
        <v>0.15755378580767859</v>
      </c>
      <c r="Q38" s="170">
        <f t="shared" si="4"/>
        <v>0.28902821316614419</v>
      </c>
      <c r="R38" s="170">
        <f t="shared" si="4"/>
        <v>0.15341308937368051</v>
      </c>
      <c r="S38" s="170">
        <f t="shared" si="4"/>
        <v>0.1973051010587103</v>
      </c>
      <c r="T38" s="170">
        <f t="shared" si="4"/>
        <v>0.23179611650485438</v>
      </c>
      <c r="U38" s="170">
        <f t="shared" si="4"/>
        <v>0.17279357047179639</v>
      </c>
      <c r="V38" s="170">
        <f t="shared" si="4"/>
        <v>3.0526862484851983E-2</v>
      </c>
      <c r="W38" s="170">
        <f t="shared" si="4"/>
        <v>0.13054953712822534</v>
      </c>
      <c r="X38" s="170">
        <f t="shared" si="4"/>
        <v>7.7417711848220536E-2</v>
      </c>
      <c r="Y38" s="170">
        <f t="shared" si="4"/>
        <v>0.17489377327807795</v>
      </c>
      <c r="Z38" s="170">
        <f t="shared" si="4"/>
        <v>0.13108166811468289</v>
      </c>
      <c r="AA38" s="170">
        <f t="shared" si="4"/>
        <v>0.18950257674210172</v>
      </c>
      <c r="AB38" s="170">
        <f t="shared" si="4"/>
        <v>7.5221238938053103E-2</v>
      </c>
      <c r="AC38" s="170">
        <f t="shared" si="4"/>
        <v>0.12572373862696443</v>
      </c>
      <c r="AD38" s="170">
        <f t="shared" si="4"/>
        <v>0.12484790544063967</v>
      </c>
      <c r="AE38" s="170">
        <f t="shared" si="4"/>
        <v>2.2406685549230209E-2</v>
      </c>
      <c r="AF38" s="170">
        <f t="shared" si="4"/>
        <v>4.9340369393139842E-2</v>
      </c>
      <c r="AG38" s="170">
        <f t="shared" si="4"/>
        <v>0</v>
      </c>
      <c r="AH38" s="170">
        <f t="shared" si="4"/>
        <v>1.1624877889938131E-2</v>
      </c>
      <c r="AI38" s="170">
        <f t="shared" si="4"/>
        <v>0</v>
      </c>
      <c r="AJ38" s="170" t="e">
        <f t="shared" si="4"/>
        <v>#DIV/0!</v>
      </c>
      <c r="AK38" s="170" t="e">
        <f t="shared" si="4"/>
        <v>#DIV/0!</v>
      </c>
      <c r="AL38" s="170" t="e">
        <f t="shared" si="4"/>
        <v>#DIV/0!</v>
      </c>
      <c r="AM38" s="170" t="e">
        <f t="shared" si="4"/>
        <v>#DIV/0!</v>
      </c>
    </row>
    <row r="39" spans="1:39">
      <c r="A39" s="33"/>
      <c r="C39" s="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</row>
    <row r="40" spans="1:39">
      <c r="A40" s="324" t="s">
        <v>60</v>
      </c>
      <c r="B40" s="50" t="s">
        <v>61</v>
      </c>
      <c r="C40" s="91" t="s">
        <v>62</v>
      </c>
      <c r="D40" s="81">
        <f>SUM(E40:AI40)</f>
        <v>513000</v>
      </c>
      <c r="E40" s="86">
        <v>14000</v>
      </c>
      <c r="F40" s="86">
        <v>16000</v>
      </c>
      <c r="G40" s="86">
        <v>16000</v>
      </c>
      <c r="H40" s="86">
        <v>16000</v>
      </c>
      <c r="I40" s="86">
        <v>16000</v>
      </c>
      <c r="J40" s="86">
        <v>17000</v>
      </c>
      <c r="K40" s="86">
        <v>18000</v>
      </c>
      <c r="L40" s="86">
        <v>17000</v>
      </c>
      <c r="M40" s="86">
        <v>16000</v>
      </c>
      <c r="N40" s="86">
        <v>17000</v>
      </c>
      <c r="O40" s="86">
        <v>17000</v>
      </c>
      <c r="P40" s="86">
        <v>17000</v>
      </c>
      <c r="Q40" s="86">
        <v>17000</v>
      </c>
      <c r="R40" s="86">
        <v>17000</v>
      </c>
      <c r="S40" s="86">
        <v>17000</v>
      </c>
      <c r="T40" s="86">
        <v>17000</v>
      </c>
      <c r="U40" s="86">
        <v>18000</v>
      </c>
      <c r="V40" s="86">
        <v>17000</v>
      </c>
      <c r="W40" s="86">
        <v>17000</v>
      </c>
      <c r="X40" s="86">
        <v>16000</v>
      </c>
      <c r="Y40" s="86">
        <v>17000</v>
      </c>
      <c r="Z40" s="86">
        <v>17000</v>
      </c>
      <c r="AA40" s="86">
        <v>17000</v>
      </c>
      <c r="AB40" s="86">
        <v>19000</v>
      </c>
      <c r="AC40" s="86">
        <v>18000</v>
      </c>
      <c r="AD40" s="86">
        <v>16000</v>
      </c>
      <c r="AE40" s="86">
        <v>17000</v>
      </c>
      <c r="AF40" s="86">
        <v>17000</v>
      </c>
      <c r="AG40" s="86">
        <v>8000</v>
      </c>
      <c r="AH40" s="86">
        <v>17000</v>
      </c>
      <c r="AI40" s="86">
        <v>17000</v>
      </c>
      <c r="AJ40" s="86">
        <v>0</v>
      </c>
      <c r="AK40" s="86">
        <v>0</v>
      </c>
      <c r="AL40" s="86">
        <v>0</v>
      </c>
      <c r="AM40" s="86">
        <v>0</v>
      </c>
    </row>
    <row r="41" spans="1:39">
      <c r="A41" s="325"/>
      <c r="B41" s="39" t="s">
        <v>63</v>
      </c>
      <c r="C41" s="92" t="s">
        <v>62</v>
      </c>
      <c r="D41" s="82">
        <f>SUM(E41:AI41)</f>
        <v>1900</v>
      </c>
      <c r="E41" s="87">
        <v>0</v>
      </c>
      <c r="F41" s="87">
        <v>100</v>
      </c>
      <c r="G41" s="87">
        <v>0</v>
      </c>
      <c r="H41" s="87">
        <v>200</v>
      </c>
      <c r="I41" s="87">
        <v>0</v>
      </c>
      <c r="J41" s="87">
        <v>0</v>
      </c>
      <c r="K41" s="87">
        <v>0</v>
      </c>
      <c r="L41" s="87">
        <v>200</v>
      </c>
      <c r="M41" s="87">
        <v>0</v>
      </c>
      <c r="N41" s="87">
        <v>0</v>
      </c>
      <c r="O41" s="87">
        <v>0</v>
      </c>
      <c r="P41" s="87">
        <v>200</v>
      </c>
      <c r="Q41" s="87">
        <v>0</v>
      </c>
      <c r="R41" s="87">
        <v>0</v>
      </c>
      <c r="S41" s="87">
        <v>0</v>
      </c>
      <c r="T41" s="87">
        <v>200</v>
      </c>
      <c r="U41" s="87">
        <v>100</v>
      </c>
      <c r="V41" s="87">
        <v>0</v>
      </c>
      <c r="W41" s="87">
        <v>0</v>
      </c>
      <c r="X41" s="87">
        <v>200</v>
      </c>
      <c r="Y41" s="87"/>
      <c r="Z41" s="87">
        <v>200</v>
      </c>
      <c r="AA41" s="87">
        <v>0</v>
      </c>
      <c r="AB41" s="87">
        <v>0</v>
      </c>
      <c r="AC41" s="87">
        <v>300</v>
      </c>
      <c r="AD41" s="87">
        <v>0</v>
      </c>
      <c r="AE41" s="87">
        <v>0</v>
      </c>
      <c r="AF41" s="87">
        <v>0</v>
      </c>
      <c r="AG41" s="87">
        <v>200</v>
      </c>
      <c r="AH41" s="87">
        <v>0</v>
      </c>
      <c r="AI41" s="87">
        <v>0</v>
      </c>
      <c r="AJ41" s="87">
        <v>0</v>
      </c>
      <c r="AK41" s="87">
        <v>0</v>
      </c>
      <c r="AL41" s="87">
        <v>0</v>
      </c>
      <c r="AM41" s="87">
        <v>0</v>
      </c>
    </row>
    <row r="43" spans="1:39">
      <c r="W43" s="10"/>
    </row>
    <row r="44" spans="1:39" ht="13.5" customHeight="1"/>
    <row r="45" spans="1:39" ht="15" customHeight="1">
      <c r="A45" s="312" t="s">
        <v>64</v>
      </c>
      <c r="B45" s="93" t="s">
        <v>65</v>
      </c>
      <c r="C45" s="47" t="s">
        <v>8</v>
      </c>
      <c r="D45" s="83">
        <f>SUM(E45:AI45)</f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8">
        <v>0</v>
      </c>
      <c r="AH45" s="88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</row>
    <row r="46" spans="1:39">
      <c r="A46" s="313"/>
      <c r="B46" s="94" t="s">
        <v>66</v>
      </c>
      <c r="C46" s="38" t="s">
        <v>8</v>
      </c>
      <c r="D46" s="84">
        <f>SUM(E46:AI46)</f>
        <v>0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</row>
    <row r="47" spans="1:39">
      <c r="A47" s="313"/>
      <c r="B47" s="94" t="s">
        <v>67</v>
      </c>
      <c r="C47" s="38" t="s">
        <v>8</v>
      </c>
      <c r="D47" s="84">
        <f>SUM(E47:AI47)</f>
        <v>2.5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2.5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</row>
    <row r="48" spans="1:39">
      <c r="A48" s="313"/>
      <c r="B48" s="95" t="s">
        <v>68</v>
      </c>
      <c r="C48" s="40" t="s">
        <v>8</v>
      </c>
      <c r="D48" s="84">
        <f>SUM(E48:AI48)</f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90">
        <v>0</v>
      </c>
      <c r="AJ48" s="90">
        <v>0</v>
      </c>
      <c r="AK48" s="90">
        <v>0</v>
      </c>
      <c r="AL48" s="90">
        <v>0</v>
      </c>
      <c r="AM48" s="90">
        <v>0</v>
      </c>
    </row>
    <row r="49" spans="1:39" ht="15" customHeight="1">
      <c r="A49" s="313"/>
      <c r="B49" s="93" t="s">
        <v>69</v>
      </c>
      <c r="C49" s="91" t="s">
        <v>48</v>
      </c>
      <c r="D49" s="85">
        <f>SUM(E49:Y49)</f>
        <v>0</v>
      </c>
      <c r="E49" s="86">
        <v>0</v>
      </c>
      <c r="F49" s="86">
        <v>0</v>
      </c>
      <c r="G49" s="86">
        <v>0</v>
      </c>
      <c r="H49" s="86">
        <v>0</v>
      </c>
      <c r="I49" s="86"/>
      <c r="J49" s="86"/>
      <c r="K49" s="86">
        <v>0</v>
      </c>
      <c r="L49" s="86"/>
      <c r="M49" s="86"/>
      <c r="N49" s="86">
        <v>0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6">
        <v>0</v>
      </c>
      <c r="AK49" s="86">
        <v>0</v>
      </c>
      <c r="AL49" s="86">
        <v>0</v>
      </c>
      <c r="AM49" s="86">
        <v>0</v>
      </c>
    </row>
    <row r="50" spans="1:39">
      <c r="A50" s="314"/>
      <c r="B50" s="95" t="s">
        <v>70</v>
      </c>
      <c r="C50" s="92" t="s">
        <v>48</v>
      </c>
      <c r="D50" s="82">
        <f>SUM(E50:Y50)</f>
        <v>0</v>
      </c>
      <c r="E50" s="87">
        <v>0</v>
      </c>
      <c r="F50" s="87">
        <v>0</v>
      </c>
      <c r="G50" s="87">
        <v>0</v>
      </c>
      <c r="H50" s="87">
        <v>0</v>
      </c>
      <c r="I50" s="87"/>
      <c r="J50" s="87"/>
      <c r="K50" s="87">
        <v>0</v>
      </c>
      <c r="L50" s="87"/>
      <c r="M50" s="87"/>
      <c r="N50" s="87">
        <v>0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>
        <v>0</v>
      </c>
      <c r="AE50" s="87">
        <v>0</v>
      </c>
      <c r="AF50" s="87">
        <v>0</v>
      </c>
      <c r="AG50" s="87">
        <v>0</v>
      </c>
      <c r="AH50" s="87">
        <v>0</v>
      </c>
      <c r="AI50" s="87">
        <v>0</v>
      </c>
      <c r="AJ50" s="87">
        <v>0</v>
      </c>
      <c r="AK50" s="87">
        <v>0</v>
      </c>
      <c r="AL50" s="87">
        <v>0</v>
      </c>
      <c r="AM50" s="87">
        <v>0</v>
      </c>
    </row>
    <row r="51" spans="1:39">
      <c r="B51" s="4"/>
      <c r="C51" s="4"/>
      <c r="D51" s="3"/>
      <c r="E51" s="3"/>
      <c r="G51" s="3"/>
      <c r="I51" s="3"/>
      <c r="K51" s="3"/>
      <c r="M51" s="3"/>
      <c r="O51" s="3"/>
      <c r="Q51" s="3"/>
      <c r="S51" s="3"/>
      <c r="U51" s="3"/>
      <c r="W51" s="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9">
      <c r="A52" s="315" t="s">
        <v>71</v>
      </c>
      <c r="B52" s="50" t="s">
        <v>72</v>
      </c>
      <c r="C52" s="45" t="s">
        <v>73</v>
      </c>
      <c r="D52" s="7" t="s">
        <v>73</v>
      </c>
      <c r="E52" s="7" t="s">
        <v>73</v>
      </c>
      <c r="F52" s="7" t="s">
        <v>73</v>
      </c>
      <c r="G52" s="7" t="s">
        <v>73</v>
      </c>
      <c r="H52" s="7" t="s">
        <v>73</v>
      </c>
      <c r="I52" s="7" t="s">
        <v>73</v>
      </c>
      <c r="J52" s="7" t="s">
        <v>73</v>
      </c>
      <c r="K52" s="7" t="s">
        <v>73</v>
      </c>
      <c r="L52" s="7" t="s">
        <v>73</v>
      </c>
      <c r="M52" s="7" t="s">
        <v>73</v>
      </c>
      <c r="N52" s="7" t="s">
        <v>73</v>
      </c>
      <c r="O52" s="7" t="s">
        <v>73</v>
      </c>
      <c r="P52" s="7" t="s">
        <v>73</v>
      </c>
      <c r="Q52" s="7" t="s">
        <v>73</v>
      </c>
      <c r="R52" s="7" t="s">
        <v>73</v>
      </c>
      <c r="S52" s="7" t="s">
        <v>73</v>
      </c>
      <c r="T52" s="7" t="s">
        <v>73</v>
      </c>
      <c r="U52" s="7" t="s">
        <v>73</v>
      </c>
      <c r="V52" s="7" t="s">
        <v>73</v>
      </c>
      <c r="W52" s="7" t="s">
        <v>73</v>
      </c>
      <c r="X52" s="7" t="s">
        <v>73</v>
      </c>
      <c r="Y52" s="7" t="s">
        <v>73</v>
      </c>
      <c r="Z52" s="7" t="s">
        <v>128</v>
      </c>
      <c r="AA52" s="7" t="s">
        <v>128</v>
      </c>
      <c r="AB52" s="7" t="s">
        <v>128</v>
      </c>
      <c r="AC52" s="7" t="s">
        <v>128</v>
      </c>
      <c r="AD52" s="7" t="s">
        <v>73</v>
      </c>
      <c r="AE52" s="7" t="s">
        <v>128</v>
      </c>
      <c r="AF52" s="7" t="s">
        <v>73</v>
      </c>
      <c r="AG52" s="7" t="s">
        <v>73</v>
      </c>
      <c r="AH52" s="7" t="s">
        <v>73</v>
      </c>
      <c r="AI52" s="7" t="s">
        <v>73</v>
      </c>
      <c r="AJ52" s="7" t="s">
        <v>73</v>
      </c>
      <c r="AK52" s="7" t="s">
        <v>73</v>
      </c>
      <c r="AL52" s="7" t="s">
        <v>73</v>
      </c>
      <c r="AM52" s="7" t="s">
        <v>73</v>
      </c>
    </row>
    <row r="53" spans="1:39">
      <c r="A53" s="316"/>
      <c r="B53" s="37" t="s">
        <v>74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75</v>
      </c>
      <c r="N53" s="8" t="s">
        <v>75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  <c r="AL53" s="8" t="s">
        <v>75</v>
      </c>
      <c r="AM53" s="8" t="s">
        <v>75</v>
      </c>
    </row>
    <row r="54" spans="1:39">
      <c r="A54" s="316"/>
      <c r="B54" s="37" t="s">
        <v>7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166</v>
      </c>
      <c r="AG54" s="8" t="s">
        <v>167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</row>
    <row r="55" spans="1:39">
      <c r="A55" s="316"/>
      <c r="B55" s="37" t="s">
        <v>76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168</v>
      </c>
      <c r="Q55" s="8" t="s">
        <v>169</v>
      </c>
      <c r="R55" s="8"/>
      <c r="S55" s="8"/>
      <c r="T55" s="8" t="s">
        <v>75</v>
      </c>
      <c r="U55" s="8"/>
      <c r="V55" s="8" t="s">
        <v>170</v>
      </c>
      <c r="W55" s="8" t="s">
        <v>75</v>
      </c>
      <c r="X55" s="8" t="s">
        <v>75</v>
      </c>
      <c r="Y55" s="8" t="s">
        <v>75</v>
      </c>
      <c r="Z55" s="8"/>
      <c r="AA55" s="8" t="s">
        <v>75</v>
      </c>
      <c r="AB55" s="8" t="s">
        <v>75</v>
      </c>
      <c r="AC55" s="8" t="s">
        <v>75</v>
      </c>
      <c r="AD55" s="8" t="s">
        <v>75</v>
      </c>
      <c r="AE55" s="8" t="s">
        <v>171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</row>
    <row r="56" spans="1:39">
      <c r="A56" s="317"/>
      <c r="B56" s="39" t="s">
        <v>82</v>
      </c>
      <c r="C56" s="52" t="s">
        <v>75</v>
      </c>
      <c r="D56" s="9" t="s">
        <v>75</v>
      </c>
      <c r="E56" s="9" t="s">
        <v>75</v>
      </c>
      <c r="F56" s="9" t="s">
        <v>75</v>
      </c>
      <c r="G56" s="9" t="s">
        <v>75</v>
      </c>
      <c r="H56" s="9" t="s">
        <v>75</v>
      </c>
      <c r="I56" s="9" t="s">
        <v>75</v>
      </c>
      <c r="J56" s="9" t="s">
        <v>75</v>
      </c>
      <c r="K56" s="9" t="s">
        <v>75</v>
      </c>
      <c r="L56" s="9" t="s">
        <v>75</v>
      </c>
      <c r="M56" s="9" t="s">
        <v>75</v>
      </c>
      <c r="N56" s="9" t="s">
        <v>75</v>
      </c>
      <c r="O56" s="9" t="s">
        <v>75</v>
      </c>
      <c r="P56" s="9" t="s">
        <v>75</v>
      </c>
      <c r="Q56" s="9" t="s">
        <v>75</v>
      </c>
      <c r="R56" s="9" t="s">
        <v>75</v>
      </c>
      <c r="S56" s="9" t="s">
        <v>75</v>
      </c>
      <c r="T56" s="9" t="s">
        <v>75</v>
      </c>
      <c r="U56" s="9" t="s">
        <v>75</v>
      </c>
      <c r="V56" s="9" t="s">
        <v>75</v>
      </c>
      <c r="W56" s="9" t="s">
        <v>75</v>
      </c>
      <c r="X56" s="9" t="s">
        <v>75</v>
      </c>
      <c r="Y56" s="9" t="s">
        <v>75</v>
      </c>
      <c r="Z56" s="9" t="s">
        <v>75</v>
      </c>
      <c r="AA56" s="9" t="s">
        <v>75</v>
      </c>
      <c r="AB56" s="9" t="s">
        <v>75</v>
      </c>
      <c r="AC56" s="9" t="s">
        <v>75</v>
      </c>
      <c r="AD56" s="9" t="s">
        <v>75</v>
      </c>
      <c r="AE56" s="9" t="s">
        <v>75</v>
      </c>
      <c r="AF56" s="9" t="s">
        <v>75</v>
      </c>
      <c r="AG56" s="9" t="s">
        <v>75</v>
      </c>
      <c r="AH56" s="9" t="s">
        <v>75</v>
      </c>
      <c r="AI56" s="9" t="s">
        <v>75</v>
      </c>
      <c r="AJ56" s="9" t="s">
        <v>75</v>
      </c>
      <c r="AK56" s="9" t="s">
        <v>75</v>
      </c>
      <c r="AL56" s="9" t="s">
        <v>75</v>
      </c>
      <c r="AM56" s="9" t="s">
        <v>75</v>
      </c>
    </row>
    <row r="58" spans="1:39" ht="15.75">
      <c r="B58" s="53" t="s">
        <v>83</v>
      </c>
      <c r="C58" s="99" t="s">
        <v>84</v>
      </c>
      <c r="D58" s="100">
        <f t="shared" ref="D58:AM58" si="5">SUM(D59:D71)</f>
        <v>16129691</v>
      </c>
      <c r="E58" s="101">
        <f t="shared" si="5"/>
        <v>0</v>
      </c>
      <c r="F58" s="101">
        <f>SUM(F59:F71)</f>
        <v>284760</v>
      </c>
      <c r="G58" s="101">
        <f t="shared" si="5"/>
        <v>673482</v>
      </c>
      <c r="H58" s="101">
        <f t="shared" si="5"/>
        <v>649312.5</v>
      </c>
      <c r="I58" s="101">
        <f t="shared" si="5"/>
        <v>671016</v>
      </c>
      <c r="J58" s="101">
        <f t="shared" si="5"/>
        <v>561099</v>
      </c>
      <c r="K58" s="101">
        <f t="shared" si="5"/>
        <v>631963.5</v>
      </c>
      <c r="L58" s="101">
        <f t="shared" si="5"/>
        <v>608196</v>
      </c>
      <c r="M58" s="101">
        <f t="shared" si="5"/>
        <v>503527.5</v>
      </c>
      <c r="N58" s="101">
        <f t="shared" si="5"/>
        <v>404134.5</v>
      </c>
      <c r="O58" s="101">
        <f t="shared" si="5"/>
        <v>520541</v>
      </c>
      <c r="P58" s="101">
        <f t="shared" si="5"/>
        <v>494932.5</v>
      </c>
      <c r="Q58" s="101">
        <f t="shared" si="5"/>
        <v>507960</v>
      </c>
      <c r="R58" s="102">
        <f t="shared" si="5"/>
        <v>291826.5</v>
      </c>
      <c r="S58" s="101">
        <f t="shared" si="5"/>
        <v>219282</v>
      </c>
      <c r="T58" s="100">
        <f t="shared" si="5"/>
        <v>355173</v>
      </c>
      <c r="U58" s="101">
        <f t="shared" si="5"/>
        <v>598596</v>
      </c>
      <c r="V58" s="101">
        <f t="shared" si="5"/>
        <v>469005</v>
      </c>
      <c r="W58" s="101">
        <f t="shared" si="5"/>
        <v>734011.5</v>
      </c>
      <c r="X58" s="102">
        <f t="shared" si="5"/>
        <v>438731.5</v>
      </c>
      <c r="Y58" s="101">
        <f t="shared" si="5"/>
        <v>566848.5</v>
      </c>
      <c r="Z58" s="101">
        <f t="shared" si="5"/>
        <v>532683</v>
      </c>
      <c r="AA58" s="101">
        <f t="shared" si="5"/>
        <v>535663.5</v>
      </c>
      <c r="AB58" s="101">
        <f t="shared" si="5"/>
        <v>661867.5</v>
      </c>
      <c r="AC58" s="101">
        <f t="shared" si="5"/>
        <v>627309</v>
      </c>
      <c r="AD58" s="101">
        <f t="shared" si="5"/>
        <v>662968.5</v>
      </c>
      <c r="AE58" s="101">
        <f t="shared" si="5"/>
        <v>959745</v>
      </c>
      <c r="AF58" s="101">
        <f t="shared" si="5"/>
        <v>727261.5</v>
      </c>
      <c r="AG58" s="101">
        <f t="shared" si="5"/>
        <v>94605</v>
      </c>
      <c r="AH58" s="101">
        <f t="shared" si="5"/>
        <v>820419.5</v>
      </c>
      <c r="AI58" s="103">
        <f t="shared" si="5"/>
        <v>322770</v>
      </c>
      <c r="AJ58" s="103">
        <f t="shared" si="5"/>
        <v>0</v>
      </c>
      <c r="AK58" s="103">
        <f t="shared" si="5"/>
        <v>0</v>
      </c>
      <c r="AL58" s="103">
        <f t="shared" si="5"/>
        <v>0</v>
      </c>
      <c r="AM58" s="103">
        <f t="shared" si="5"/>
        <v>0</v>
      </c>
    </row>
    <row r="59" spans="1:39">
      <c r="B59" s="96" t="s">
        <v>47</v>
      </c>
      <c r="C59" s="111">
        <v>41.89</v>
      </c>
      <c r="D59" s="97">
        <f t="shared" ref="D59:AM66" si="6">D26*$C59</f>
        <v>0</v>
      </c>
      <c r="E59" s="104">
        <f t="shared" si="6"/>
        <v>0</v>
      </c>
      <c r="F59" s="104">
        <f t="shared" si="6"/>
        <v>0</v>
      </c>
      <c r="G59" s="104">
        <f t="shared" si="6"/>
        <v>0</v>
      </c>
      <c r="H59" s="104">
        <f t="shared" si="6"/>
        <v>0</v>
      </c>
      <c r="I59" s="104">
        <f t="shared" si="6"/>
        <v>0</v>
      </c>
      <c r="J59" s="104">
        <f t="shared" si="6"/>
        <v>0</v>
      </c>
      <c r="K59" s="104">
        <f t="shared" si="6"/>
        <v>0</v>
      </c>
      <c r="L59" s="104">
        <f t="shared" si="6"/>
        <v>0</v>
      </c>
      <c r="M59" s="104">
        <f t="shared" si="6"/>
        <v>0</v>
      </c>
      <c r="N59" s="104">
        <f t="shared" si="6"/>
        <v>0</v>
      </c>
      <c r="O59" s="104">
        <f t="shared" si="6"/>
        <v>0</v>
      </c>
      <c r="P59" s="104">
        <f t="shared" si="6"/>
        <v>0</v>
      </c>
      <c r="Q59" s="104">
        <f t="shared" si="6"/>
        <v>0</v>
      </c>
      <c r="R59" s="104">
        <f t="shared" si="6"/>
        <v>0</v>
      </c>
      <c r="S59" s="104">
        <f t="shared" si="6"/>
        <v>0</v>
      </c>
      <c r="T59" s="104">
        <f t="shared" si="6"/>
        <v>0</v>
      </c>
      <c r="U59" s="104">
        <f t="shared" si="6"/>
        <v>0</v>
      </c>
      <c r="V59" s="104">
        <f t="shared" si="6"/>
        <v>0</v>
      </c>
      <c r="W59" s="104">
        <f t="shared" si="6"/>
        <v>0</v>
      </c>
      <c r="X59" s="105">
        <f t="shared" si="6"/>
        <v>0</v>
      </c>
      <c r="Y59" s="104">
        <f t="shared" si="6"/>
        <v>0</v>
      </c>
      <c r="Z59" s="104">
        <f t="shared" si="6"/>
        <v>0</v>
      </c>
      <c r="AA59" s="104">
        <f t="shared" si="6"/>
        <v>0</v>
      </c>
      <c r="AB59" s="104">
        <f t="shared" si="6"/>
        <v>0</v>
      </c>
      <c r="AC59" s="104">
        <f t="shared" si="6"/>
        <v>0</v>
      </c>
      <c r="AD59" s="104">
        <f t="shared" si="6"/>
        <v>0</v>
      </c>
      <c r="AE59" s="104">
        <f t="shared" si="6"/>
        <v>0</v>
      </c>
      <c r="AF59" s="104">
        <f t="shared" si="6"/>
        <v>0</v>
      </c>
      <c r="AG59" s="104">
        <f t="shared" si="6"/>
        <v>0</v>
      </c>
      <c r="AH59" s="104">
        <f t="shared" si="6"/>
        <v>0</v>
      </c>
      <c r="AI59" s="104">
        <f t="shared" si="6"/>
        <v>0</v>
      </c>
      <c r="AJ59" s="104">
        <f t="shared" si="6"/>
        <v>0</v>
      </c>
      <c r="AK59" s="104">
        <f t="shared" si="6"/>
        <v>0</v>
      </c>
      <c r="AL59" s="104">
        <f t="shared" si="6"/>
        <v>0</v>
      </c>
      <c r="AM59" s="104">
        <f t="shared" si="6"/>
        <v>0</v>
      </c>
    </row>
    <row r="60" spans="1:39">
      <c r="B60" s="96" t="s">
        <v>49</v>
      </c>
      <c r="C60" s="111">
        <v>28.98</v>
      </c>
      <c r="D60" s="97">
        <f t="shared" si="6"/>
        <v>0</v>
      </c>
      <c r="E60" s="104">
        <f t="shared" si="6"/>
        <v>0</v>
      </c>
      <c r="F60" s="104">
        <f t="shared" si="6"/>
        <v>0</v>
      </c>
      <c r="G60" s="104">
        <f t="shared" si="6"/>
        <v>0</v>
      </c>
      <c r="H60" s="104">
        <f t="shared" si="6"/>
        <v>0</v>
      </c>
      <c r="I60" s="104">
        <f t="shared" si="6"/>
        <v>0</v>
      </c>
      <c r="J60" s="104">
        <f t="shared" si="6"/>
        <v>0</v>
      </c>
      <c r="K60" s="104">
        <f t="shared" si="6"/>
        <v>0</v>
      </c>
      <c r="L60" s="104">
        <f t="shared" si="6"/>
        <v>0</v>
      </c>
      <c r="M60" s="104">
        <f t="shared" si="6"/>
        <v>0</v>
      </c>
      <c r="N60" s="104">
        <f t="shared" si="6"/>
        <v>0</v>
      </c>
      <c r="O60" s="104">
        <f t="shared" si="6"/>
        <v>0</v>
      </c>
      <c r="P60" s="104">
        <f t="shared" si="6"/>
        <v>0</v>
      </c>
      <c r="Q60" s="104">
        <f t="shared" si="6"/>
        <v>0</v>
      </c>
      <c r="R60" s="105">
        <f t="shared" si="6"/>
        <v>0</v>
      </c>
      <c r="S60" s="104">
        <f t="shared" si="6"/>
        <v>0</v>
      </c>
      <c r="T60" s="106">
        <f t="shared" si="6"/>
        <v>0</v>
      </c>
      <c r="U60" s="104">
        <f t="shared" si="6"/>
        <v>0</v>
      </c>
      <c r="V60" s="104">
        <f t="shared" si="6"/>
        <v>0</v>
      </c>
      <c r="W60" s="104">
        <f t="shared" si="6"/>
        <v>0</v>
      </c>
      <c r="X60" s="105">
        <f t="shared" si="6"/>
        <v>0</v>
      </c>
      <c r="Y60" s="104">
        <f t="shared" si="6"/>
        <v>0</v>
      </c>
      <c r="Z60" s="104">
        <f t="shared" si="6"/>
        <v>0</v>
      </c>
      <c r="AA60" s="104">
        <f t="shared" si="6"/>
        <v>0</v>
      </c>
      <c r="AB60" s="104">
        <f t="shared" si="6"/>
        <v>0</v>
      </c>
      <c r="AC60" s="104">
        <f t="shared" si="6"/>
        <v>0</v>
      </c>
      <c r="AD60" s="104">
        <f t="shared" si="6"/>
        <v>0</v>
      </c>
      <c r="AE60" s="104">
        <f t="shared" si="6"/>
        <v>0</v>
      </c>
      <c r="AF60" s="104">
        <f t="shared" si="6"/>
        <v>0</v>
      </c>
      <c r="AG60" s="104">
        <f t="shared" si="6"/>
        <v>0</v>
      </c>
      <c r="AH60" s="104">
        <f t="shared" si="6"/>
        <v>0</v>
      </c>
      <c r="AI60" s="104">
        <f t="shared" si="6"/>
        <v>0</v>
      </c>
      <c r="AJ60" s="104">
        <f t="shared" si="6"/>
        <v>0</v>
      </c>
      <c r="AK60" s="104">
        <f t="shared" si="6"/>
        <v>0</v>
      </c>
      <c r="AL60" s="104">
        <f t="shared" si="6"/>
        <v>0</v>
      </c>
      <c r="AM60" s="104">
        <f t="shared" si="6"/>
        <v>0</v>
      </c>
    </row>
    <row r="61" spans="1:39">
      <c r="B61" s="96" t="s">
        <v>50</v>
      </c>
      <c r="C61" s="111">
        <v>20.88</v>
      </c>
      <c r="D61" s="97">
        <f t="shared" si="6"/>
        <v>0</v>
      </c>
      <c r="E61" s="104">
        <f t="shared" si="6"/>
        <v>0</v>
      </c>
      <c r="F61" s="104">
        <f t="shared" si="6"/>
        <v>0</v>
      </c>
      <c r="G61" s="104">
        <f t="shared" si="6"/>
        <v>0</v>
      </c>
      <c r="H61" s="104">
        <f t="shared" si="6"/>
        <v>0</v>
      </c>
      <c r="I61" s="104">
        <f t="shared" si="6"/>
        <v>0</v>
      </c>
      <c r="J61" s="104">
        <f t="shared" si="6"/>
        <v>0</v>
      </c>
      <c r="K61" s="104">
        <f t="shared" si="6"/>
        <v>0</v>
      </c>
      <c r="L61" s="104">
        <f t="shared" si="6"/>
        <v>0</v>
      </c>
      <c r="M61" s="104">
        <f t="shared" si="6"/>
        <v>0</v>
      </c>
      <c r="N61" s="104">
        <f t="shared" si="6"/>
        <v>0</v>
      </c>
      <c r="O61" s="104">
        <f t="shared" si="6"/>
        <v>0</v>
      </c>
      <c r="P61" s="104">
        <f t="shared" si="6"/>
        <v>0</v>
      </c>
      <c r="Q61" s="104">
        <f t="shared" si="6"/>
        <v>0</v>
      </c>
      <c r="R61" s="105">
        <f t="shared" si="6"/>
        <v>0</v>
      </c>
      <c r="S61" s="104">
        <f t="shared" si="6"/>
        <v>0</v>
      </c>
      <c r="T61" s="106">
        <f t="shared" si="6"/>
        <v>0</v>
      </c>
      <c r="U61" s="104">
        <f t="shared" si="6"/>
        <v>0</v>
      </c>
      <c r="V61" s="104">
        <f t="shared" si="6"/>
        <v>0</v>
      </c>
      <c r="W61" s="104">
        <f t="shared" si="6"/>
        <v>0</v>
      </c>
      <c r="X61" s="105">
        <f t="shared" si="6"/>
        <v>0</v>
      </c>
      <c r="Y61" s="104">
        <f t="shared" si="6"/>
        <v>0</v>
      </c>
      <c r="Z61" s="104">
        <f t="shared" si="6"/>
        <v>0</v>
      </c>
      <c r="AA61" s="104">
        <f t="shared" si="6"/>
        <v>0</v>
      </c>
      <c r="AB61" s="104">
        <f t="shared" si="6"/>
        <v>0</v>
      </c>
      <c r="AC61" s="104">
        <f t="shared" si="6"/>
        <v>0</v>
      </c>
      <c r="AD61" s="104">
        <f t="shared" si="6"/>
        <v>0</v>
      </c>
      <c r="AE61" s="104">
        <f t="shared" si="6"/>
        <v>0</v>
      </c>
      <c r="AF61" s="104">
        <f t="shared" si="6"/>
        <v>0</v>
      </c>
      <c r="AG61" s="104">
        <f t="shared" si="6"/>
        <v>0</v>
      </c>
      <c r="AH61" s="104">
        <f t="shared" si="6"/>
        <v>0</v>
      </c>
      <c r="AI61" s="104">
        <f t="shared" si="6"/>
        <v>0</v>
      </c>
      <c r="AJ61" s="104">
        <f t="shared" si="6"/>
        <v>0</v>
      </c>
      <c r="AK61" s="104">
        <f t="shared" si="6"/>
        <v>0</v>
      </c>
      <c r="AL61" s="104">
        <f t="shared" si="6"/>
        <v>0</v>
      </c>
      <c r="AM61" s="104">
        <f t="shared" si="6"/>
        <v>0</v>
      </c>
    </row>
    <row r="62" spans="1:39">
      <c r="B62" s="96" t="s">
        <v>51</v>
      </c>
      <c r="C62" s="111">
        <v>15</v>
      </c>
      <c r="D62" s="97">
        <f t="shared" si="6"/>
        <v>0</v>
      </c>
      <c r="E62" s="104">
        <f t="shared" si="6"/>
        <v>0</v>
      </c>
      <c r="F62" s="104">
        <f t="shared" si="6"/>
        <v>0</v>
      </c>
      <c r="G62" s="104">
        <f t="shared" si="6"/>
        <v>0</v>
      </c>
      <c r="H62" s="104">
        <f t="shared" si="6"/>
        <v>0</v>
      </c>
      <c r="I62" s="104">
        <f t="shared" si="6"/>
        <v>0</v>
      </c>
      <c r="J62" s="104">
        <f t="shared" si="6"/>
        <v>0</v>
      </c>
      <c r="K62" s="104">
        <f t="shared" si="6"/>
        <v>0</v>
      </c>
      <c r="L62" s="104">
        <f t="shared" si="6"/>
        <v>0</v>
      </c>
      <c r="M62" s="104">
        <f t="shared" si="6"/>
        <v>0</v>
      </c>
      <c r="N62" s="104">
        <f t="shared" si="6"/>
        <v>0</v>
      </c>
      <c r="O62" s="104">
        <f t="shared" si="6"/>
        <v>0</v>
      </c>
      <c r="P62" s="104">
        <f t="shared" si="6"/>
        <v>0</v>
      </c>
      <c r="Q62" s="104">
        <f t="shared" si="6"/>
        <v>0</v>
      </c>
      <c r="R62" s="105">
        <f t="shared" si="6"/>
        <v>0</v>
      </c>
      <c r="S62" s="104">
        <f t="shared" si="6"/>
        <v>0</v>
      </c>
      <c r="T62" s="106">
        <f t="shared" si="6"/>
        <v>0</v>
      </c>
      <c r="U62" s="104">
        <f t="shared" si="6"/>
        <v>0</v>
      </c>
      <c r="V62" s="104">
        <f t="shared" si="6"/>
        <v>0</v>
      </c>
      <c r="W62" s="104">
        <f t="shared" si="6"/>
        <v>0</v>
      </c>
      <c r="X62" s="105">
        <f t="shared" si="6"/>
        <v>0</v>
      </c>
      <c r="Y62" s="104">
        <f t="shared" si="6"/>
        <v>0</v>
      </c>
      <c r="Z62" s="104">
        <f t="shared" si="6"/>
        <v>0</v>
      </c>
      <c r="AA62" s="104">
        <f t="shared" si="6"/>
        <v>0</v>
      </c>
      <c r="AB62" s="104">
        <f t="shared" si="6"/>
        <v>0</v>
      </c>
      <c r="AC62" s="104">
        <f t="shared" si="6"/>
        <v>0</v>
      </c>
      <c r="AD62" s="104">
        <f t="shared" si="6"/>
        <v>0</v>
      </c>
      <c r="AE62" s="104">
        <f t="shared" si="6"/>
        <v>0</v>
      </c>
      <c r="AF62" s="104">
        <f t="shared" si="6"/>
        <v>0</v>
      </c>
      <c r="AG62" s="104">
        <f t="shared" si="6"/>
        <v>0</v>
      </c>
      <c r="AH62" s="104">
        <f t="shared" si="6"/>
        <v>0</v>
      </c>
      <c r="AI62" s="104">
        <f t="shared" si="6"/>
        <v>0</v>
      </c>
      <c r="AJ62" s="104">
        <f t="shared" si="6"/>
        <v>0</v>
      </c>
      <c r="AK62" s="104">
        <f t="shared" si="6"/>
        <v>0</v>
      </c>
      <c r="AL62" s="104">
        <f t="shared" si="6"/>
        <v>0</v>
      </c>
      <c r="AM62" s="104">
        <f t="shared" si="6"/>
        <v>0</v>
      </c>
    </row>
    <row r="63" spans="1:39">
      <c r="B63" s="96" t="s">
        <v>52</v>
      </c>
      <c r="C63" s="111">
        <v>6</v>
      </c>
      <c r="D63" s="97">
        <f t="shared" si="6"/>
        <v>0</v>
      </c>
      <c r="E63" s="104">
        <f t="shared" si="6"/>
        <v>0</v>
      </c>
      <c r="F63" s="104">
        <f t="shared" si="6"/>
        <v>0</v>
      </c>
      <c r="G63" s="104">
        <f t="shared" si="6"/>
        <v>0</v>
      </c>
      <c r="H63" s="104">
        <f t="shared" si="6"/>
        <v>0</v>
      </c>
      <c r="I63" s="104">
        <f t="shared" si="6"/>
        <v>0</v>
      </c>
      <c r="J63" s="104">
        <f t="shared" si="6"/>
        <v>0</v>
      </c>
      <c r="K63" s="104">
        <f t="shared" si="6"/>
        <v>0</v>
      </c>
      <c r="L63" s="104">
        <f t="shared" si="6"/>
        <v>0</v>
      </c>
      <c r="M63" s="104">
        <f t="shared" si="6"/>
        <v>0</v>
      </c>
      <c r="N63" s="104">
        <f t="shared" si="6"/>
        <v>0</v>
      </c>
      <c r="O63" s="104">
        <f t="shared" si="6"/>
        <v>0</v>
      </c>
      <c r="P63" s="104">
        <f t="shared" si="6"/>
        <v>0</v>
      </c>
      <c r="Q63" s="104">
        <f t="shared" si="6"/>
        <v>0</v>
      </c>
      <c r="R63" s="105">
        <f t="shared" si="6"/>
        <v>0</v>
      </c>
      <c r="S63" s="104">
        <f t="shared" si="6"/>
        <v>0</v>
      </c>
      <c r="T63" s="106">
        <f t="shared" si="6"/>
        <v>0</v>
      </c>
      <c r="U63" s="104">
        <f t="shared" si="6"/>
        <v>0</v>
      </c>
      <c r="V63" s="104">
        <f t="shared" si="6"/>
        <v>0</v>
      </c>
      <c r="W63" s="104">
        <f t="shared" si="6"/>
        <v>0</v>
      </c>
      <c r="X63" s="105">
        <f t="shared" si="6"/>
        <v>0</v>
      </c>
      <c r="Y63" s="104">
        <f t="shared" si="6"/>
        <v>0</v>
      </c>
      <c r="Z63" s="104">
        <f t="shared" si="6"/>
        <v>0</v>
      </c>
      <c r="AA63" s="104">
        <f t="shared" si="6"/>
        <v>0</v>
      </c>
      <c r="AB63" s="104">
        <f t="shared" si="6"/>
        <v>0</v>
      </c>
      <c r="AC63" s="104">
        <f t="shared" si="6"/>
        <v>0</v>
      </c>
      <c r="AD63" s="104">
        <f t="shared" si="6"/>
        <v>0</v>
      </c>
      <c r="AE63" s="104">
        <f t="shared" si="6"/>
        <v>0</v>
      </c>
      <c r="AF63" s="104">
        <f t="shared" si="6"/>
        <v>0</v>
      </c>
      <c r="AG63" s="104">
        <f t="shared" si="6"/>
        <v>0</v>
      </c>
      <c r="AH63" s="104">
        <f t="shared" si="6"/>
        <v>0</v>
      </c>
      <c r="AI63" s="104">
        <f t="shared" si="6"/>
        <v>0</v>
      </c>
      <c r="AJ63" s="104">
        <f t="shared" si="6"/>
        <v>0</v>
      </c>
      <c r="AK63" s="104">
        <f t="shared" si="6"/>
        <v>0</v>
      </c>
      <c r="AL63" s="104">
        <f t="shared" si="6"/>
        <v>0</v>
      </c>
      <c r="AM63" s="104">
        <f t="shared" si="6"/>
        <v>0</v>
      </c>
    </row>
    <row r="64" spans="1:39">
      <c r="B64" s="96" t="s">
        <v>53</v>
      </c>
      <c r="C64" s="111">
        <v>12</v>
      </c>
      <c r="D64" s="97"/>
      <c r="E64" s="104">
        <f t="shared" si="6"/>
        <v>0</v>
      </c>
      <c r="F64" s="104">
        <f t="shared" si="6"/>
        <v>0</v>
      </c>
      <c r="G64" s="104">
        <f t="shared" si="6"/>
        <v>0</v>
      </c>
      <c r="H64" s="104">
        <f t="shared" si="6"/>
        <v>0</v>
      </c>
      <c r="I64" s="104">
        <f t="shared" si="6"/>
        <v>0</v>
      </c>
      <c r="J64" s="104">
        <f t="shared" si="6"/>
        <v>0</v>
      </c>
      <c r="K64" s="104">
        <f t="shared" si="6"/>
        <v>0</v>
      </c>
      <c r="L64" s="104">
        <f t="shared" si="6"/>
        <v>0</v>
      </c>
      <c r="M64" s="104">
        <f t="shared" si="6"/>
        <v>0</v>
      </c>
      <c r="N64" s="104">
        <f t="shared" si="6"/>
        <v>0</v>
      </c>
      <c r="O64" s="104">
        <f t="shared" si="6"/>
        <v>0</v>
      </c>
      <c r="P64" s="104">
        <f t="shared" si="6"/>
        <v>0</v>
      </c>
      <c r="Q64" s="104">
        <f t="shared" si="6"/>
        <v>0</v>
      </c>
      <c r="R64" s="105">
        <f t="shared" si="6"/>
        <v>0</v>
      </c>
      <c r="S64" s="104">
        <f t="shared" si="6"/>
        <v>0</v>
      </c>
      <c r="T64" s="106">
        <f t="shared" si="6"/>
        <v>0</v>
      </c>
      <c r="U64" s="104">
        <f t="shared" si="6"/>
        <v>0</v>
      </c>
      <c r="V64" s="104">
        <f t="shared" si="6"/>
        <v>0</v>
      </c>
      <c r="W64" s="104">
        <f t="shared" si="6"/>
        <v>0</v>
      </c>
      <c r="X64" s="105">
        <f t="shared" si="6"/>
        <v>0</v>
      </c>
      <c r="Y64" s="104">
        <f t="shared" si="6"/>
        <v>0</v>
      </c>
      <c r="Z64" s="104">
        <f t="shared" si="6"/>
        <v>0</v>
      </c>
      <c r="AA64" s="104">
        <f t="shared" si="6"/>
        <v>0</v>
      </c>
      <c r="AB64" s="104">
        <f t="shared" si="6"/>
        <v>0</v>
      </c>
      <c r="AC64" s="104">
        <f t="shared" si="6"/>
        <v>0</v>
      </c>
      <c r="AD64" s="104">
        <f t="shared" si="6"/>
        <v>0</v>
      </c>
      <c r="AE64" s="104">
        <f t="shared" si="6"/>
        <v>0</v>
      </c>
      <c r="AF64" s="104">
        <f t="shared" si="6"/>
        <v>0</v>
      </c>
      <c r="AG64" s="104">
        <f t="shared" si="6"/>
        <v>0</v>
      </c>
      <c r="AH64" s="104">
        <f t="shared" si="6"/>
        <v>0</v>
      </c>
      <c r="AI64" s="104">
        <f t="shared" si="6"/>
        <v>0</v>
      </c>
      <c r="AJ64" s="104">
        <f t="shared" si="6"/>
        <v>0</v>
      </c>
      <c r="AK64" s="104">
        <f t="shared" si="6"/>
        <v>0</v>
      </c>
      <c r="AL64" s="104">
        <f t="shared" si="6"/>
        <v>0</v>
      </c>
      <c r="AM64" s="104">
        <f t="shared" si="6"/>
        <v>0</v>
      </c>
    </row>
    <row r="65" spans="2:39">
      <c r="B65" s="96" t="s">
        <v>54</v>
      </c>
      <c r="C65" s="111">
        <v>4</v>
      </c>
      <c r="D65" s="97">
        <f t="shared" ref="D65:S70" si="7">D32*$C65</f>
        <v>0</v>
      </c>
      <c r="E65" s="104">
        <f t="shared" si="6"/>
        <v>0</v>
      </c>
      <c r="F65" s="104">
        <f t="shared" si="6"/>
        <v>0</v>
      </c>
      <c r="G65" s="104">
        <f t="shared" si="6"/>
        <v>0</v>
      </c>
      <c r="H65" s="104">
        <f t="shared" si="6"/>
        <v>0</v>
      </c>
      <c r="I65" s="104">
        <f t="shared" si="6"/>
        <v>0</v>
      </c>
      <c r="J65" s="104">
        <f t="shared" si="6"/>
        <v>0</v>
      </c>
      <c r="K65" s="104">
        <f t="shared" si="6"/>
        <v>0</v>
      </c>
      <c r="L65" s="104">
        <f t="shared" si="6"/>
        <v>0</v>
      </c>
      <c r="M65" s="104">
        <f t="shared" si="6"/>
        <v>0</v>
      </c>
      <c r="N65" s="104">
        <f t="shared" si="6"/>
        <v>0</v>
      </c>
      <c r="O65" s="104">
        <f t="shared" si="6"/>
        <v>0</v>
      </c>
      <c r="P65" s="104">
        <f t="shared" si="6"/>
        <v>0</v>
      </c>
      <c r="Q65" s="104">
        <f t="shared" si="6"/>
        <v>0</v>
      </c>
      <c r="R65" s="105">
        <f t="shared" si="6"/>
        <v>0</v>
      </c>
      <c r="S65" s="104">
        <f t="shared" si="6"/>
        <v>0</v>
      </c>
      <c r="T65" s="106">
        <f t="shared" si="6"/>
        <v>0</v>
      </c>
      <c r="U65" s="104">
        <f t="shared" si="6"/>
        <v>0</v>
      </c>
      <c r="V65" s="104">
        <f t="shared" si="6"/>
        <v>0</v>
      </c>
      <c r="W65" s="104">
        <f t="shared" si="6"/>
        <v>0</v>
      </c>
      <c r="X65" s="105">
        <f t="shared" si="6"/>
        <v>0</v>
      </c>
      <c r="Y65" s="104">
        <f t="shared" si="6"/>
        <v>0</v>
      </c>
      <c r="Z65" s="104">
        <f t="shared" si="6"/>
        <v>0</v>
      </c>
      <c r="AA65" s="104">
        <f t="shared" si="6"/>
        <v>0</v>
      </c>
      <c r="AB65" s="104">
        <f t="shared" si="6"/>
        <v>0</v>
      </c>
      <c r="AC65" s="104">
        <f t="shared" si="6"/>
        <v>0</v>
      </c>
      <c r="AD65" s="104">
        <f t="shared" si="6"/>
        <v>0</v>
      </c>
      <c r="AE65" s="104">
        <f t="shared" si="6"/>
        <v>0</v>
      </c>
      <c r="AF65" s="104">
        <f t="shared" si="6"/>
        <v>0</v>
      </c>
      <c r="AG65" s="104">
        <f t="shared" si="6"/>
        <v>0</v>
      </c>
      <c r="AH65" s="104">
        <f t="shared" si="6"/>
        <v>0</v>
      </c>
      <c r="AI65" s="104">
        <f t="shared" si="6"/>
        <v>0</v>
      </c>
      <c r="AJ65" s="104">
        <f t="shared" si="6"/>
        <v>0</v>
      </c>
      <c r="AK65" s="104">
        <f t="shared" si="6"/>
        <v>0</v>
      </c>
      <c r="AL65" s="104">
        <f t="shared" si="6"/>
        <v>0</v>
      </c>
      <c r="AM65" s="104">
        <f t="shared" si="6"/>
        <v>0</v>
      </c>
    </row>
    <row r="66" spans="2:39">
      <c r="B66" s="96" t="s">
        <v>55</v>
      </c>
      <c r="C66" s="111">
        <v>47.6</v>
      </c>
      <c r="D66" s="97">
        <f t="shared" si="7"/>
        <v>0</v>
      </c>
      <c r="E66" s="104">
        <f t="shared" si="6"/>
        <v>0</v>
      </c>
      <c r="F66" s="104">
        <f t="shared" si="6"/>
        <v>0</v>
      </c>
      <c r="G66" s="104">
        <f t="shared" si="6"/>
        <v>0</v>
      </c>
      <c r="H66" s="104">
        <f t="shared" si="6"/>
        <v>0</v>
      </c>
      <c r="I66" s="104">
        <f t="shared" si="6"/>
        <v>0</v>
      </c>
      <c r="J66" s="104">
        <f t="shared" ref="J66:AM70" si="8">J33*$C66</f>
        <v>0</v>
      </c>
      <c r="K66" s="104">
        <f t="shared" si="8"/>
        <v>0</v>
      </c>
      <c r="L66" s="104">
        <f t="shared" si="8"/>
        <v>0</v>
      </c>
      <c r="M66" s="104">
        <f t="shared" si="8"/>
        <v>0</v>
      </c>
      <c r="N66" s="104">
        <f t="shared" si="8"/>
        <v>0</v>
      </c>
      <c r="O66" s="104">
        <f t="shared" si="8"/>
        <v>0</v>
      </c>
      <c r="P66" s="104">
        <f t="shared" si="8"/>
        <v>0</v>
      </c>
      <c r="Q66" s="104">
        <f t="shared" si="8"/>
        <v>0</v>
      </c>
      <c r="R66" s="105">
        <f t="shared" si="8"/>
        <v>0</v>
      </c>
      <c r="S66" s="104">
        <f t="shared" si="8"/>
        <v>0</v>
      </c>
      <c r="T66" s="106">
        <f t="shared" si="8"/>
        <v>0</v>
      </c>
      <c r="U66" s="104">
        <f t="shared" si="8"/>
        <v>0</v>
      </c>
      <c r="V66" s="104">
        <f t="shared" si="8"/>
        <v>0</v>
      </c>
      <c r="W66" s="104">
        <f t="shared" si="8"/>
        <v>0</v>
      </c>
      <c r="X66" s="105">
        <f t="shared" si="8"/>
        <v>0</v>
      </c>
      <c r="Y66" s="104">
        <f t="shared" si="8"/>
        <v>0</v>
      </c>
      <c r="Z66" s="104">
        <f t="shared" si="8"/>
        <v>0</v>
      </c>
      <c r="AA66" s="104">
        <f t="shared" si="8"/>
        <v>0</v>
      </c>
      <c r="AB66" s="104">
        <f t="shared" si="8"/>
        <v>0</v>
      </c>
      <c r="AC66" s="104">
        <f t="shared" si="8"/>
        <v>0</v>
      </c>
      <c r="AD66" s="104">
        <f t="shared" si="8"/>
        <v>0</v>
      </c>
      <c r="AE66" s="104">
        <f t="shared" si="8"/>
        <v>0</v>
      </c>
      <c r="AF66" s="104">
        <f t="shared" si="8"/>
        <v>0</v>
      </c>
      <c r="AG66" s="104">
        <f t="shared" si="8"/>
        <v>0</v>
      </c>
      <c r="AH66" s="104">
        <f t="shared" si="8"/>
        <v>0</v>
      </c>
      <c r="AI66" s="104">
        <f>AL33*$C66</f>
        <v>0</v>
      </c>
      <c r="AJ66" s="104">
        <f>AM33*$C66</f>
        <v>0</v>
      </c>
      <c r="AK66" s="104">
        <f>AN33*$C66</f>
        <v>0</v>
      </c>
      <c r="AL66" s="104">
        <f>AO33*$C66</f>
        <v>0</v>
      </c>
      <c r="AM66" s="104">
        <f>AP33*$C66</f>
        <v>0</v>
      </c>
    </row>
    <row r="67" spans="2:39">
      <c r="B67" s="96" t="s">
        <v>56</v>
      </c>
      <c r="C67" s="111">
        <v>27.39</v>
      </c>
      <c r="D67" s="97">
        <f t="shared" si="7"/>
        <v>0</v>
      </c>
      <c r="E67" s="104">
        <f t="shared" si="7"/>
        <v>0</v>
      </c>
      <c r="F67" s="104">
        <f t="shared" si="7"/>
        <v>0</v>
      </c>
      <c r="G67" s="104">
        <f t="shared" si="7"/>
        <v>0</v>
      </c>
      <c r="H67" s="104">
        <f t="shared" si="7"/>
        <v>0</v>
      </c>
      <c r="I67" s="104">
        <f t="shared" si="7"/>
        <v>0</v>
      </c>
      <c r="J67" s="104">
        <f t="shared" si="7"/>
        <v>0</v>
      </c>
      <c r="K67" s="104">
        <f t="shared" si="7"/>
        <v>0</v>
      </c>
      <c r="L67" s="104">
        <f t="shared" si="7"/>
        <v>0</v>
      </c>
      <c r="M67" s="104">
        <f t="shared" si="7"/>
        <v>0</v>
      </c>
      <c r="N67" s="104">
        <f t="shared" si="7"/>
        <v>0</v>
      </c>
      <c r="O67" s="104">
        <f t="shared" si="7"/>
        <v>0</v>
      </c>
      <c r="P67" s="104">
        <f t="shared" si="7"/>
        <v>0</v>
      </c>
      <c r="Q67" s="104">
        <f t="shared" si="7"/>
        <v>0</v>
      </c>
      <c r="R67" s="105">
        <f t="shared" si="7"/>
        <v>0</v>
      </c>
      <c r="S67" s="104">
        <f t="shared" si="7"/>
        <v>0</v>
      </c>
      <c r="T67" s="106">
        <f t="shared" si="8"/>
        <v>0</v>
      </c>
      <c r="U67" s="104">
        <f t="shared" si="8"/>
        <v>0</v>
      </c>
      <c r="V67" s="104">
        <f t="shared" si="8"/>
        <v>0</v>
      </c>
      <c r="W67" s="104">
        <f t="shared" si="8"/>
        <v>0</v>
      </c>
      <c r="X67" s="105">
        <f t="shared" si="8"/>
        <v>0</v>
      </c>
      <c r="Y67" s="104">
        <f t="shared" si="8"/>
        <v>0</v>
      </c>
      <c r="Z67" s="104">
        <f t="shared" si="8"/>
        <v>0</v>
      </c>
      <c r="AA67" s="104">
        <f t="shared" si="8"/>
        <v>0</v>
      </c>
      <c r="AB67" s="104">
        <f t="shared" si="8"/>
        <v>0</v>
      </c>
      <c r="AC67" s="104">
        <f t="shared" si="8"/>
        <v>0</v>
      </c>
      <c r="AD67" s="104">
        <f t="shared" si="8"/>
        <v>0</v>
      </c>
      <c r="AE67" s="104">
        <f t="shared" si="8"/>
        <v>0</v>
      </c>
      <c r="AF67" s="104">
        <f t="shared" si="8"/>
        <v>0</v>
      </c>
      <c r="AG67" s="104">
        <f t="shared" si="8"/>
        <v>0</v>
      </c>
      <c r="AH67" s="104">
        <f t="shared" si="8"/>
        <v>0</v>
      </c>
      <c r="AI67" s="104">
        <f t="shared" si="8"/>
        <v>0</v>
      </c>
      <c r="AJ67" s="104">
        <f t="shared" si="8"/>
        <v>0</v>
      </c>
      <c r="AK67" s="104">
        <f t="shared" si="8"/>
        <v>0</v>
      </c>
      <c r="AL67" s="104">
        <f t="shared" si="8"/>
        <v>0</v>
      </c>
      <c r="AM67" s="104">
        <f t="shared" si="8"/>
        <v>0</v>
      </c>
    </row>
    <row r="68" spans="2:39">
      <c r="B68" s="96" t="s">
        <v>57</v>
      </c>
      <c r="C68" s="111">
        <v>26.5</v>
      </c>
      <c r="D68" s="97">
        <f t="shared" si="7"/>
        <v>12706856</v>
      </c>
      <c r="E68" s="104">
        <f t="shared" si="7"/>
        <v>0</v>
      </c>
      <c r="F68" s="104">
        <f t="shared" si="7"/>
        <v>217035</v>
      </c>
      <c r="G68" s="104">
        <f t="shared" si="7"/>
        <v>466347</v>
      </c>
      <c r="H68" s="104">
        <f t="shared" si="7"/>
        <v>481372.5</v>
      </c>
      <c r="I68" s="104">
        <f t="shared" si="7"/>
        <v>486381</v>
      </c>
      <c r="J68" s="104">
        <f t="shared" si="7"/>
        <v>442974</v>
      </c>
      <c r="K68" s="104">
        <f t="shared" si="7"/>
        <v>433513.5</v>
      </c>
      <c r="L68" s="104">
        <f t="shared" si="7"/>
        <v>436296</v>
      </c>
      <c r="M68" s="104">
        <f t="shared" si="7"/>
        <v>275467.5</v>
      </c>
      <c r="N68" s="104">
        <f t="shared" si="7"/>
        <v>257659.5</v>
      </c>
      <c r="O68" s="104">
        <f t="shared" si="7"/>
        <v>407411</v>
      </c>
      <c r="P68" s="104">
        <f t="shared" si="7"/>
        <v>375637.5</v>
      </c>
      <c r="Q68" s="104">
        <f t="shared" si="7"/>
        <v>300510</v>
      </c>
      <c r="R68" s="105">
        <f t="shared" si="7"/>
        <v>223156.5</v>
      </c>
      <c r="S68" s="104">
        <f t="shared" si="7"/>
        <v>154707</v>
      </c>
      <c r="T68" s="106">
        <f t="shared" si="8"/>
        <v>234843</v>
      </c>
      <c r="U68" s="104">
        <f t="shared" si="8"/>
        <v>441861</v>
      </c>
      <c r="V68" s="104">
        <f t="shared" si="8"/>
        <v>445200</v>
      </c>
      <c r="W68" s="104">
        <f t="shared" si="8"/>
        <v>584881.5</v>
      </c>
      <c r="X68" s="105">
        <f t="shared" si="8"/>
        <v>384011.5</v>
      </c>
      <c r="Y68" s="104">
        <f t="shared" si="8"/>
        <v>416818.5</v>
      </c>
      <c r="Z68" s="104">
        <f t="shared" si="8"/>
        <v>424053</v>
      </c>
      <c r="AA68" s="104">
        <f t="shared" si="8"/>
        <v>383428.5</v>
      </c>
      <c r="AB68" s="104">
        <f t="shared" si="8"/>
        <v>581542.5</v>
      </c>
      <c r="AC68" s="104">
        <f t="shared" si="8"/>
        <v>504189</v>
      </c>
      <c r="AD68" s="104">
        <f t="shared" si="8"/>
        <v>533683.5</v>
      </c>
      <c r="AE68" s="104">
        <f t="shared" si="8"/>
        <v>923790</v>
      </c>
      <c r="AF68" s="104">
        <f t="shared" si="8"/>
        <v>668356.5</v>
      </c>
      <c r="AG68" s="104">
        <f t="shared" si="8"/>
        <v>94605</v>
      </c>
      <c r="AH68" s="104">
        <f t="shared" si="8"/>
        <v>804354.5</v>
      </c>
      <c r="AI68" s="104">
        <f t="shared" si="8"/>
        <v>322770</v>
      </c>
      <c r="AJ68" s="104">
        <f t="shared" si="8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</row>
    <row r="69" spans="2:39">
      <c r="B69" s="96" t="s">
        <v>58</v>
      </c>
      <c r="C69" s="111">
        <v>45</v>
      </c>
      <c r="D69" s="97">
        <f t="shared" si="7"/>
        <v>3422835</v>
      </c>
      <c r="E69" s="104">
        <f t="shared" si="7"/>
        <v>0</v>
      </c>
      <c r="F69" s="104">
        <f t="shared" si="7"/>
        <v>67725</v>
      </c>
      <c r="G69" s="104">
        <f t="shared" si="7"/>
        <v>207135</v>
      </c>
      <c r="H69" s="104">
        <f t="shared" si="7"/>
        <v>167940</v>
      </c>
      <c r="I69" s="104">
        <f t="shared" si="7"/>
        <v>184635</v>
      </c>
      <c r="J69" s="104">
        <f t="shared" si="7"/>
        <v>118125</v>
      </c>
      <c r="K69" s="104">
        <f t="shared" si="7"/>
        <v>198450</v>
      </c>
      <c r="L69" s="104">
        <f t="shared" si="7"/>
        <v>171900</v>
      </c>
      <c r="M69" s="104">
        <f t="shared" si="7"/>
        <v>228060</v>
      </c>
      <c r="N69" s="104">
        <f t="shared" si="7"/>
        <v>146475</v>
      </c>
      <c r="O69" s="104">
        <f t="shared" si="7"/>
        <v>113130</v>
      </c>
      <c r="P69" s="104">
        <f t="shared" si="7"/>
        <v>119295</v>
      </c>
      <c r="Q69" s="104">
        <f t="shared" si="7"/>
        <v>207450</v>
      </c>
      <c r="R69" s="105">
        <f t="shared" si="7"/>
        <v>68670</v>
      </c>
      <c r="S69" s="104">
        <f t="shared" si="7"/>
        <v>64575</v>
      </c>
      <c r="T69" s="106">
        <f t="shared" si="8"/>
        <v>120330</v>
      </c>
      <c r="U69" s="104">
        <f t="shared" si="8"/>
        <v>156735</v>
      </c>
      <c r="V69" s="104">
        <f t="shared" si="8"/>
        <v>23805</v>
      </c>
      <c r="W69" s="104">
        <f t="shared" si="8"/>
        <v>149130</v>
      </c>
      <c r="X69" s="105">
        <f t="shared" si="8"/>
        <v>54720</v>
      </c>
      <c r="Y69" s="104">
        <f t="shared" si="8"/>
        <v>150030</v>
      </c>
      <c r="Z69" s="104">
        <f t="shared" si="8"/>
        <v>108630</v>
      </c>
      <c r="AA69" s="104">
        <f t="shared" si="8"/>
        <v>152235</v>
      </c>
      <c r="AB69" s="104">
        <f t="shared" si="8"/>
        <v>80325</v>
      </c>
      <c r="AC69" s="104">
        <f t="shared" si="8"/>
        <v>123120</v>
      </c>
      <c r="AD69" s="104">
        <f t="shared" si="8"/>
        <v>129285</v>
      </c>
      <c r="AE69" s="104">
        <f t="shared" si="8"/>
        <v>35955</v>
      </c>
      <c r="AF69" s="104">
        <f t="shared" si="8"/>
        <v>58905</v>
      </c>
      <c r="AG69" s="104">
        <f t="shared" si="8"/>
        <v>0</v>
      </c>
      <c r="AH69" s="104">
        <f t="shared" si="8"/>
        <v>16065</v>
      </c>
      <c r="AI69" s="104">
        <f t="shared" si="8"/>
        <v>0</v>
      </c>
      <c r="AJ69" s="104">
        <f t="shared" si="8"/>
        <v>0</v>
      </c>
      <c r="AK69" s="104">
        <f t="shared" si="8"/>
        <v>0</v>
      </c>
      <c r="AL69" s="104">
        <f t="shared" si="8"/>
        <v>0</v>
      </c>
      <c r="AM69" s="104">
        <f t="shared" si="8"/>
        <v>0</v>
      </c>
    </row>
    <row r="70" spans="2:39">
      <c r="B70" s="96" t="s">
        <v>59</v>
      </c>
      <c r="C70" s="112">
        <v>8</v>
      </c>
      <c r="D70" s="97">
        <f t="shared" si="7"/>
        <v>0</v>
      </c>
      <c r="E70" s="104">
        <f t="shared" si="7"/>
        <v>0</v>
      </c>
      <c r="F70" s="104">
        <f t="shared" si="7"/>
        <v>0</v>
      </c>
      <c r="G70" s="104">
        <f t="shared" si="7"/>
        <v>0</v>
      </c>
      <c r="H70" s="104">
        <f t="shared" si="7"/>
        <v>0</v>
      </c>
      <c r="I70" s="104">
        <f t="shared" si="7"/>
        <v>0</v>
      </c>
      <c r="J70" s="104">
        <f t="shared" si="7"/>
        <v>0</v>
      </c>
      <c r="K70" s="104">
        <f t="shared" si="7"/>
        <v>0</v>
      </c>
      <c r="L70" s="104">
        <f t="shared" si="7"/>
        <v>0</v>
      </c>
      <c r="M70" s="104">
        <f t="shared" si="7"/>
        <v>0</v>
      </c>
      <c r="N70" s="104">
        <f t="shared" si="7"/>
        <v>0</v>
      </c>
      <c r="O70" s="104">
        <f t="shared" si="7"/>
        <v>0</v>
      </c>
      <c r="P70" s="104">
        <f t="shared" si="7"/>
        <v>0</v>
      </c>
      <c r="Q70" s="104">
        <f t="shared" si="7"/>
        <v>0</v>
      </c>
      <c r="R70" s="105">
        <f t="shared" si="7"/>
        <v>0</v>
      </c>
      <c r="S70" s="104">
        <f t="shared" si="7"/>
        <v>0</v>
      </c>
      <c r="T70" s="106">
        <f t="shared" si="8"/>
        <v>0</v>
      </c>
      <c r="U70" s="104">
        <f t="shared" si="8"/>
        <v>0</v>
      </c>
      <c r="V70" s="104">
        <f t="shared" si="8"/>
        <v>0</v>
      </c>
      <c r="W70" s="104">
        <f t="shared" si="8"/>
        <v>0</v>
      </c>
      <c r="X70" s="105">
        <f t="shared" si="8"/>
        <v>0</v>
      </c>
      <c r="Y70" s="104">
        <f t="shared" si="8"/>
        <v>0</v>
      </c>
      <c r="Z70" s="104">
        <f t="shared" si="8"/>
        <v>0</v>
      </c>
      <c r="AA70" s="104">
        <f t="shared" si="8"/>
        <v>0</v>
      </c>
      <c r="AB70" s="104">
        <f t="shared" si="8"/>
        <v>0</v>
      </c>
      <c r="AC70" s="104">
        <f t="shared" si="8"/>
        <v>0</v>
      </c>
      <c r="AD70" s="104">
        <f t="shared" si="8"/>
        <v>0</v>
      </c>
      <c r="AE70" s="104">
        <f t="shared" si="8"/>
        <v>0</v>
      </c>
      <c r="AF70" s="104">
        <f t="shared" si="8"/>
        <v>0</v>
      </c>
      <c r="AG70" s="104">
        <f t="shared" si="8"/>
        <v>0</v>
      </c>
      <c r="AH70" s="104">
        <f t="shared" si="8"/>
        <v>0</v>
      </c>
      <c r="AI70" s="104">
        <f t="shared" si="8"/>
        <v>0</v>
      </c>
      <c r="AJ70" s="104">
        <f t="shared" si="8"/>
        <v>0</v>
      </c>
      <c r="AK70" s="104">
        <f t="shared" si="8"/>
        <v>0</v>
      </c>
      <c r="AL70" s="104">
        <f t="shared" si="8"/>
        <v>0</v>
      </c>
      <c r="AM70" s="104">
        <f t="shared" si="8"/>
        <v>0</v>
      </c>
    </row>
    <row r="71" spans="2:39">
      <c r="B71" s="35" t="s">
        <v>85</v>
      </c>
      <c r="C71" s="113">
        <v>2.2000000000000002</v>
      </c>
      <c r="D71" s="98">
        <f t="shared" ref="D71:AM71" si="9">D49*C71</f>
        <v>0</v>
      </c>
      <c r="E71" s="107">
        <f t="shared" si="9"/>
        <v>0</v>
      </c>
      <c r="F71" s="107">
        <f t="shared" si="9"/>
        <v>0</v>
      </c>
      <c r="G71" s="107">
        <f t="shared" si="9"/>
        <v>0</v>
      </c>
      <c r="H71" s="107">
        <f t="shared" si="9"/>
        <v>0</v>
      </c>
      <c r="I71" s="107">
        <f t="shared" si="9"/>
        <v>0</v>
      </c>
      <c r="J71" s="107">
        <f t="shared" si="9"/>
        <v>0</v>
      </c>
      <c r="K71" s="107">
        <f t="shared" si="9"/>
        <v>0</v>
      </c>
      <c r="L71" s="107">
        <f t="shared" si="9"/>
        <v>0</v>
      </c>
      <c r="M71" s="107">
        <f t="shared" si="9"/>
        <v>0</v>
      </c>
      <c r="N71" s="107">
        <f t="shared" si="9"/>
        <v>0</v>
      </c>
      <c r="O71" s="107">
        <f t="shared" si="9"/>
        <v>0</v>
      </c>
      <c r="P71" s="107">
        <f t="shared" si="9"/>
        <v>0</v>
      </c>
      <c r="Q71" s="107">
        <f t="shared" si="9"/>
        <v>0</v>
      </c>
      <c r="R71" s="107">
        <f t="shared" si="9"/>
        <v>0</v>
      </c>
      <c r="S71" s="107">
        <f t="shared" si="9"/>
        <v>0</v>
      </c>
      <c r="T71" s="107">
        <f t="shared" si="9"/>
        <v>0</v>
      </c>
      <c r="U71" s="107">
        <f t="shared" si="9"/>
        <v>0</v>
      </c>
      <c r="V71" s="107">
        <f t="shared" si="9"/>
        <v>0</v>
      </c>
      <c r="W71" s="107">
        <f t="shared" si="9"/>
        <v>0</v>
      </c>
      <c r="X71" s="107">
        <f t="shared" si="9"/>
        <v>0</v>
      </c>
      <c r="Y71" s="107">
        <f t="shared" si="9"/>
        <v>0</v>
      </c>
      <c r="Z71" s="107">
        <f t="shared" si="9"/>
        <v>0</v>
      </c>
      <c r="AA71" s="107">
        <f t="shared" si="9"/>
        <v>0</v>
      </c>
      <c r="AB71" s="107">
        <f t="shared" si="9"/>
        <v>0</v>
      </c>
      <c r="AC71" s="107">
        <f t="shared" si="9"/>
        <v>0</v>
      </c>
      <c r="AD71" s="107">
        <f t="shared" si="9"/>
        <v>0</v>
      </c>
      <c r="AE71" s="107">
        <f t="shared" si="9"/>
        <v>0</v>
      </c>
      <c r="AF71" s="107">
        <f t="shared" si="9"/>
        <v>0</v>
      </c>
      <c r="AG71" s="107">
        <f t="shared" si="9"/>
        <v>0</v>
      </c>
      <c r="AH71" s="107">
        <f t="shared" si="9"/>
        <v>0</v>
      </c>
      <c r="AI71" s="107">
        <f t="shared" si="9"/>
        <v>0</v>
      </c>
      <c r="AJ71" s="107">
        <f t="shared" si="9"/>
        <v>0</v>
      </c>
      <c r="AK71" s="107">
        <f t="shared" si="9"/>
        <v>0</v>
      </c>
      <c r="AL71" s="107">
        <f t="shared" si="9"/>
        <v>0</v>
      </c>
      <c r="AM71" s="107">
        <f t="shared" si="9"/>
        <v>0</v>
      </c>
    </row>
    <row r="72" spans="2:39">
      <c r="X72" s="10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9">
      <c r="B73" s="318" t="s">
        <v>86</v>
      </c>
      <c r="C73" s="319"/>
      <c r="D73" s="108">
        <f>AVERAGEIF(E58:Y58, "&gt;0")</f>
        <v>509219.92499999999</v>
      </c>
      <c r="E73" s="11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2:39"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2:39">
      <c r="B75" s="12" t="s">
        <v>87</v>
      </c>
      <c r="C75" s="13">
        <v>0.3</v>
      </c>
      <c r="D75" s="14">
        <f>SUM(E75:AI75)</f>
        <v>4838907.3</v>
      </c>
      <c r="E75" s="163">
        <f t="shared" ref="E75:AM75" si="10">E58*$C$75</f>
        <v>0</v>
      </c>
      <c r="F75" s="14">
        <f t="shared" si="10"/>
        <v>85428</v>
      </c>
      <c r="G75" s="14">
        <f t="shared" si="10"/>
        <v>202044.6</v>
      </c>
      <c r="H75" s="14">
        <f t="shared" si="10"/>
        <v>194793.75</v>
      </c>
      <c r="I75" s="14">
        <f t="shared" si="10"/>
        <v>201304.8</v>
      </c>
      <c r="J75" s="14">
        <f t="shared" si="10"/>
        <v>168329.69999999998</v>
      </c>
      <c r="K75" s="14">
        <f t="shared" si="10"/>
        <v>189589.05</v>
      </c>
      <c r="L75" s="14">
        <f t="shared" si="10"/>
        <v>182458.8</v>
      </c>
      <c r="M75" s="14">
        <f t="shared" si="10"/>
        <v>151058.25</v>
      </c>
      <c r="N75" s="14">
        <f t="shared" si="10"/>
        <v>121240.34999999999</v>
      </c>
      <c r="O75" s="14">
        <f t="shared" si="10"/>
        <v>156162.29999999999</v>
      </c>
      <c r="P75" s="14">
        <f t="shared" si="10"/>
        <v>148479.75</v>
      </c>
      <c r="Q75" s="14">
        <f t="shared" si="10"/>
        <v>152388</v>
      </c>
      <c r="R75" s="14">
        <f t="shared" si="10"/>
        <v>87547.95</v>
      </c>
      <c r="S75" s="14">
        <f t="shared" si="10"/>
        <v>65784.599999999991</v>
      </c>
      <c r="T75" s="14">
        <f t="shared" si="10"/>
        <v>106551.9</v>
      </c>
      <c r="U75" s="14">
        <f t="shared" si="10"/>
        <v>179578.8</v>
      </c>
      <c r="V75" s="14">
        <f t="shared" si="10"/>
        <v>140701.5</v>
      </c>
      <c r="W75" s="14">
        <f t="shared" si="10"/>
        <v>220203.44999999998</v>
      </c>
      <c r="X75" s="14">
        <f t="shared" si="10"/>
        <v>131619.44999999998</v>
      </c>
      <c r="Y75" s="14">
        <f t="shared" si="10"/>
        <v>170054.55</v>
      </c>
      <c r="Z75" s="14">
        <f t="shared" si="10"/>
        <v>159804.9</v>
      </c>
      <c r="AA75" s="14">
        <f t="shared" si="10"/>
        <v>160699.04999999999</v>
      </c>
      <c r="AB75" s="14">
        <f t="shared" si="10"/>
        <v>198560.25</v>
      </c>
      <c r="AC75" s="14">
        <f t="shared" si="10"/>
        <v>188192.69999999998</v>
      </c>
      <c r="AD75" s="14">
        <f t="shared" si="10"/>
        <v>198890.55</v>
      </c>
      <c r="AE75" s="14">
        <f t="shared" si="10"/>
        <v>287923.5</v>
      </c>
      <c r="AF75" s="14">
        <f t="shared" si="10"/>
        <v>218178.44999999998</v>
      </c>
      <c r="AG75" s="14">
        <f t="shared" si="10"/>
        <v>28381.5</v>
      </c>
      <c r="AH75" s="14">
        <f t="shared" si="10"/>
        <v>246125.84999999998</v>
      </c>
      <c r="AI75" s="14">
        <f t="shared" si="10"/>
        <v>96831</v>
      </c>
      <c r="AJ75" s="14">
        <f t="shared" si="10"/>
        <v>0</v>
      </c>
      <c r="AK75" s="14">
        <f t="shared" si="10"/>
        <v>0</v>
      </c>
      <c r="AL75" s="14">
        <f t="shared" si="10"/>
        <v>0</v>
      </c>
      <c r="AM75" s="14">
        <f t="shared" si="10"/>
        <v>0</v>
      </c>
    </row>
    <row r="76" spans="2:39">
      <c r="B76" s="16" t="s">
        <v>88</v>
      </c>
      <c r="C76" s="17">
        <f>10800000/325</f>
        <v>33230.769230769234</v>
      </c>
      <c r="D76" s="18">
        <f>SUM(E76:AI76)</f>
        <v>1030153.8461538466</v>
      </c>
      <c r="E76" s="19">
        <f t="shared" ref="E76:AK76" si="11">$C$76</f>
        <v>33230.769230769234</v>
      </c>
      <c r="F76" s="18">
        <f t="shared" si="11"/>
        <v>33230.769230769234</v>
      </c>
      <c r="G76" s="18">
        <f t="shared" si="11"/>
        <v>33230.769230769234</v>
      </c>
      <c r="H76" s="18">
        <f t="shared" si="11"/>
        <v>33230.769230769234</v>
      </c>
      <c r="I76" s="18">
        <f t="shared" si="11"/>
        <v>33230.769230769234</v>
      </c>
      <c r="J76" s="18">
        <f t="shared" si="11"/>
        <v>33230.769230769234</v>
      </c>
      <c r="K76" s="18">
        <f t="shared" si="11"/>
        <v>33230.769230769234</v>
      </c>
      <c r="L76" s="18">
        <f t="shared" si="11"/>
        <v>33230.769230769234</v>
      </c>
      <c r="M76" s="18">
        <f t="shared" si="11"/>
        <v>33230.769230769234</v>
      </c>
      <c r="N76" s="18">
        <f t="shared" si="11"/>
        <v>33230.769230769234</v>
      </c>
      <c r="O76" s="18">
        <f t="shared" si="11"/>
        <v>33230.769230769234</v>
      </c>
      <c r="P76" s="18">
        <f t="shared" si="11"/>
        <v>33230.769230769234</v>
      </c>
      <c r="Q76" s="18">
        <f t="shared" si="11"/>
        <v>33230.769230769234</v>
      </c>
      <c r="R76" s="18">
        <f t="shared" si="11"/>
        <v>33230.769230769234</v>
      </c>
      <c r="S76" s="18">
        <f t="shared" si="11"/>
        <v>33230.769230769234</v>
      </c>
      <c r="T76" s="18">
        <f t="shared" si="11"/>
        <v>33230.769230769234</v>
      </c>
      <c r="U76" s="18">
        <f t="shared" si="11"/>
        <v>33230.769230769234</v>
      </c>
      <c r="V76" s="18">
        <f t="shared" si="11"/>
        <v>33230.769230769234</v>
      </c>
      <c r="W76" s="18">
        <f t="shared" si="11"/>
        <v>33230.769230769234</v>
      </c>
      <c r="X76" s="18">
        <f t="shared" si="11"/>
        <v>33230.769230769234</v>
      </c>
      <c r="Y76" s="18">
        <f t="shared" si="11"/>
        <v>33230.769230769234</v>
      </c>
      <c r="Z76" s="18">
        <f t="shared" si="11"/>
        <v>33230.769230769234</v>
      </c>
      <c r="AA76" s="18">
        <f t="shared" si="11"/>
        <v>33230.769230769234</v>
      </c>
      <c r="AB76" s="18">
        <f t="shared" si="11"/>
        <v>33230.769230769234</v>
      </c>
      <c r="AC76" s="18">
        <f t="shared" si="11"/>
        <v>33230.769230769234</v>
      </c>
      <c r="AD76" s="18">
        <f t="shared" si="11"/>
        <v>33230.769230769234</v>
      </c>
      <c r="AE76" s="18">
        <f t="shared" si="11"/>
        <v>33230.769230769234</v>
      </c>
      <c r="AF76" s="18">
        <f t="shared" si="11"/>
        <v>33230.769230769234</v>
      </c>
      <c r="AG76" s="18">
        <f t="shared" si="11"/>
        <v>33230.769230769234</v>
      </c>
      <c r="AH76" s="18">
        <f t="shared" si="11"/>
        <v>33230.769230769234</v>
      </c>
      <c r="AI76" s="18">
        <f t="shared" si="11"/>
        <v>33230.769230769234</v>
      </c>
      <c r="AJ76" s="18">
        <f t="shared" si="11"/>
        <v>33230.769230769234</v>
      </c>
      <c r="AK76" s="18">
        <f t="shared" si="11"/>
        <v>33230.769230769234</v>
      </c>
      <c r="AL76" s="18">
        <v>0</v>
      </c>
      <c r="AM76" s="18">
        <v>0</v>
      </c>
    </row>
    <row r="77" spans="2:39">
      <c r="B77" s="16" t="s">
        <v>89</v>
      </c>
      <c r="C77" s="17">
        <v>46071</v>
      </c>
      <c r="D77" s="18">
        <f>SUM(E77:AI77)</f>
        <v>1428201</v>
      </c>
      <c r="E77" s="19">
        <f t="shared" ref="E77:AK77" si="12">$C$77</f>
        <v>46071</v>
      </c>
      <c r="F77" s="18">
        <f t="shared" si="12"/>
        <v>46071</v>
      </c>
      <c r="G77" s="18">
        <f t="shared" si="12"/>
        <v>46071</v>
      </c>
      <c r="H77" s="18">
        <f t="shared" si="12"/>
        <v>46071</v>
      </c>
      <c r="I77" s="18">
        <f t="shared" si="12"/>
        <v>46071</v>
      </c>
      <c r="J77" s="18">
        <f t="shared" si="12"/>
        <v>46071</v>
      </c>
      <c r="K77" s="18">
        <f t="shared" si="12"/>
        <v>46071</v>
      </c>
      <c r="L77" s="18">
        <f t="shared" si="12"/>
        <v>46071</v>
      </c>
      <c r="M77" s="18">
        <f t="shared" si="12"/>
        <v>46071</v>
      </c>
      <c r="N77" s="18">
        <f t="shared" si="12"/>
        <v>46071</v>
      </c>
      <c r="O77" s="18">
        <f t="shared" si="12"/>
        <v>46071</v>
      </c>
      <c r="P77" s="18">
        <f t="shared" si="12"/>
        <v>46071</v>
      </c>
      <c r="Q77" s="18">
        <f t="shared" si="12"/>
        <v>46071</v>
      </c>
      <c r="R77" s="18">
        <f t="shared" si="12"/>
        <v>46071</v>
      </c>
      <c r="S77" s="18">
        <f t="shared" si="12"/>
        <v>46071</v>
      </c>
      <c r="T77" s="18">
        <f t="shared" si="12"/>
        <v>46071</v>
      </c>
      <c r="U77" s="18">
        <f t="shared" si="12"/>
        <v>46071</v>
      </c>
      <c r="V77" s="18">
        <f t="shared" si="12"/>
        <v>46071</v>
      </c>
      <c r="W77" s="18">
        <f t="shared" si="12"/>
        <v>46071</v>
      </c>
      <c r="X77" s="18">
        <f t="shared" si="12"/>
        <v>46071</v>
      </c>
      <c r="Y77" s="18">
        <f t="shared" si="12"/>
        <v>46071</v>
      </c>
      <c r="Z77" s="18">
        <f t="shared" si="12"/>
        <v>46071</v>
      </c>
      <c r="AA77" s="18">
        <f t="shared" si="12"/>
        <v>46071</v>
      </c>
      <c r="AB77" s="18">
        <f t="shared" si="12"/>
        <v>46071</v>
      </c>
      <c r="AC77" s="18">
        <f t="shared" si="12"/>
        <v>46071</v>
      </c>
      <c r="AD77" s="18">
        <f t="shared" si="12"/>
        <v>46071</v>
      </c>
      <c r="AE77" s="18">
        <f t="shared" si="12"/>
        <v>46071</v>
      </c>
      <c r="AF77" s="18">
        <f t="shared" si="12"/>
        <v>46071</v>
      </c>
      <c r="AG77" s="18">
        <f t="shared" si="12"/>
        <v>46071</v>
      </c>
      <c r="AH77" s="18">
        <f t="shared" si="12"/>
        <v>46071</v>
      </c>
      <c r="AI77" s="18">
        <f t="shared" si="12"/>
        <v>46071</v>
      </c>
      <c r="AJ77" s="18">
        <f t="shared" si="12"/>
        <v>46071</v>
      </c>
      <c r="AK77" s="18">
        <f t="shared" si="12"/>
        <v>46071</v>
      </c>
      <c r="AL77" s="18">
        <v>0</v>
      </c>
      <c r="AM77" s="18">
        <v>0</v>
      </c>
    </row>
    <row r="78" spans="2:39">
      <c r="B78" s="20" t="s">
        <v>90</v>
      </c>
      <c r="C78" s="21">
        <v>9.6</v>
      </c>
      <c r="D78" s="23">
        <f>SUM(E78:AI78)</f>
        <v>4924800</v>
      </c>
      <c r="E78" s="22">
        <f t="shared" ref="E78:AM78" si="13">$C$78*E40</f>
        <v>134400</v>
      </c>
      <c r="F78" s="23">
        <f t="shared" si="13"/>
        <v>153600</v>
      </c>
      <c r="G78" s="23">
        <f t="shared" si="13"/>
        <v>153600</v>
      </c>
      <c r="H78" s="23">
        <f t="shared" si="13"/>
        <v>153600</v>
      </c>
      <c r="I78" s="23">
        <f t="shared" si="13"/>
        <v>153600</v>
      </c>
      <c r="J78" s="23">
        <f t="shared" si="13"/>
        <v>163200</v>
      </c>
      <c r="K78" s="23">
        <f t="shared" si="13"/>
        <v>172800</v>
      </c>
      <c r="L78" s="23">
        <f t="shared" si="13"/>
        <v>163200</v>
      </c>
      <c r="M78" s="23">
        <f t="shared" si="13"/>
        <v>153600</v>
      </c>
      <c r="N78" s="23">
        <f t="shared" si="13"/>
        <v>163200</v>
      </c>
      <c r="O78" s="23">
        <f t="shared" si="13"/>
        <v>163200</v>
      </c>
      <c r="P78" s="23">
        <f t="shared" si="13"/>
        <v>163200</v>
      </c>
      <c r="Q78" s="23">
        <f t="shared" si="13"/>
        <v>163200</v>
      </c>
      <c r="R78" s="23">
        <f t="shared" si="13"/>
        <v>163200</v>
      </c>
      <c r="S78" s="23">
        <f t="shared" si="13"/>
        <v>163200</v>
      </c>
      <c r="T78" s="23">
        <f t="shared" si="13"/>
        <v>163200</v>
      </c>
      <c r="U78" s="23">
        <f t="shared" si="13"/>
        <v>172800</v>
      </c>
      <c r="V78" s="23">
        <f t="shared" si="13"/>
        <v>163200</v>
      </c>
      <c r="W78" s="23">
        <f t="shared" si="13"/>
        <v>163200</v>
      </c>
      <c r="X78" s="23">
        <f t="shared" si="13"/>
        <v>153600</v>
      </c>
      <c r="Y78" s="23">
        <f t="shared" si="13"/>
        <v>163200</v>
      </c>
      <c r="Z78" s="23">
        <f t="shared" si="13"/>
        <v>163200</v>
      </c>
      <c r="AA78" s="23">
        <f t="shared" si="13"/>
        <v>163200</v>
      </c>
      <c r="AB78" s="23">
        <f t="shared" si="13"/>
        <v>182400</v>
      </c>
      <c r="AC78" s="23">
        <f t="shared" si="13"/>
        <v>172800</v>
      </c>
      <c r="AD78" s="23">
        <f t="shared" si="13"/>
        <v>153600</v>
      </c>
      <c r="AE78" s="23">
        <f t="shared" si="13"/>
        <v>163200</v>
      </c>
      <c r="AF78" s="23">
        <f t="shared" si="13"/>
        <v>163200</v>
      </c>
      <c r="AG78" s="23">
        <f t="shared" si="13"/>
        <v>76800</v>
      </c>
      <c r="AH78" s="23">
        <f t="shared" si="13"/>
        <v>163200</v>
      </c>
      <c r="AI78" s="23">
        <f t="shared" si="13"/>
        <v>163200</v>
      </c>
      <c r="AJ78" s="23">
        <f t="shared" si="13"/>
        <v>0</v>
      </c>
      <c r="AK78" s="23">
        <f t="shared" si="13"/>
        <v>0</v>
      </c>
      <c r="AL78" s="23">
        <f t="shared" si="13"/>
        <v>0</v>
      </c>
      <c r="AM78" s="23">
        <f t="shared" si="13"/>
        <v>0</v>
      </c>
    </row>
    <row r="79" spans="2:39">
      <c r="B79" s="24" t="s">
        <v>155</v>
      </c>
      <c r="C79" s="25">
        <f>SUM(E79:AI79)</f>
        <v>3907628.8538461532</v>
      </c>
      <c r="D79" s="161">
        <f t="shared" ref="D79:AM79" si="14">D58-D75-D76-D77-D78</f>
        <v>3907628.8538461532</v>
      </c>
      <c r="E79" s="27">
        <f t="shared" si="14"/>
        <v>-213701.76923076925</v>
      </c>
      <c r="F79" s="27">
        <f t="shared" si="14"/>
        <v>-33569.769230769249</v>
      </c>
      <c r="G79" s="27">
        <f t="shared" si="14"/>
        <v>238535.63076923077</v>
      </c>
      <c r="H79" s="27">
        <f t="shared" si="14"/>
        <v>221616.98076923075</v>
      </c>
      <c r="I79" s="27">
        <f t="shared" si="14"/>
        <v>236809.43076923076</v>
      </c>
      <c r="J79" s="27">
        <f t="shared" si="14"/>
        <v>150267.5307692308</v>
      </c>
      <c r="K79" s="27">
        <f t="shared" si="14"/>
        <v>190272.68076923076</v>
      </c>
      <c r="L79" s="27">
        <f t="shared" si="14"/>
        <v>183235.43076923076</v>
      </c>
      <c r="M79" s="27">
        <f t="shared" si="14"/>
        <v>119567.48076923075</v>
      </c>
      <c r="N79" s="27">
        <f t="shared" si="14"/>
        <v>40392.380769230775</v>
      </c>
      <c r="O79" s="27">
        <f t="shared" si="14"/>
        <v>121876.93076923076</v>
      </c>
      <c r="P79" s="27">
        <f t="shared" si="14"/>
        <v>103950.98076923075</v>
      </c>
      <c r="Q79" s="27">
        <f t="shared" si="14"/>
        <v>113070.23076923075</v>
      </c>
      <c r="R79" s="27">
        <f t="shared" si="14"/>
        <v>-38223.21923076926</v>
      </c>
      <c r="S79" s="27">
        <f t="shared" si="14"/>
        <v>-89004.369230769211</v>
      </c>
      <c r="T79" s="27">
        <f t="shared" si="14"/>
        <v>6119.3307692307862</v>
      </c>
      <c r="U79" s="27">
        <f t="shared" si="14"/>
        <v>166915.43076923076</v>
      </c>
      <c r="V79" s="27">
        <f t="shared" si="14"/>
        <v>85801.730769230751</v>
      </c>
      <c r="W79" s="27">
        <f t="shared" si="14"/>
        <v>271306.2807692308</v>
      </c>
      <c r="X79" s="27">
        <f t="shared" si="14"/>
        <v>74210.280769230798</v>
      </c>
      <c r="Y79" s="26">
        <f t="shared" si="14"/>
        <v>154292.18076923076</v>
      </c>
      <c r="Z79" s="26">
        <f t="shared" si="14"/>
        <v>130376.33076923073</v>
      </c>
      <c r="AA79" s="26">
        <f t="shared" si="14"/>
        <v>132462.68076923076</v>
      </c>
      <c r="AB79" s="26">
        <f t="shared" si="14"/>
        <v>201605.48076923075</v>
      </c>
      <c r="AC79" s="26">
        <f t="shared" si="14"/>
        <v>187014.5307692308</v>
      </c>
      <c r="AD79" s="26">
        <f t="shared" si="14"/>
        <v>231176.18076923076</v>
      </c>
      <c r="AE79" s="26">
        <f t="shared" si="14"/>
        <v>429319.73076923075</v>
      </c>
      <c r="AF79" s="26">
        <f t="shared" si="14"/>
        <v>266581.2807692308</v>
      </c>
      <c r="AG79" s="26">
        <f t="shared" si="14"/>
        <v>-89878.269230769234</v>
      </c>
      <c r="AH79" s="26">
        <f t="shared" si="14"/>
        <v>331791.88076923077</v>
      </c>
      <c r="AI79" s="26">
        <f t="shared" si="14"/>
        <v>-16562.769230769249</v>
      </c>
      <c r="AJ79" s="26">
        <f t="shared" si="14"/>
        <v>-79301.769230769234</v>
      </c>
      <c r="AK79" s="26">
        <f t="shared" si="14"/>
        <v>-79301.769230769234</v>
      </c>
      <c r="AL79" s="26">
        <f t="shared" si="14"/>
        <v>0</v>
      </c>
      <c r="AM79" s="26">
        <f t="shared" si="14"/>
        <v>0</v>
      </c>
    </row>
    <row r="80" spans="2:39">
      <c r="B80" s="320" t="s">
        <v>92</v>
      </c>
      <c r="C80" s="321"/>
      <c r="D80" s="322"/>
      <c r="E80" s="28">
        <f>E79</f>
        <v>-213701.76923076925</v>
      </c>
      <c r="F80" s="28">
        <f t="shared" ref="F80:AM80" si="15">F79+E80</f>
        <v>-247271.5384615385</v>
      </c>
      <c r="G80" s="28">
        <f t="shared" si="15"/>
        <v>-8735.9076923077228</v>
      </c>
      <c r="H80" s="28">
        <f t="shared" si="15"/>
        <v>212881.07307692303</v>
      </c>
      <c r="I80" s="28">
        <f t="shared" si="15"/>
        <v>449690.50384615379</v>
      </c>
      <c r="J80" s="28">
        <f t="shared" si="15"/>
        <v>599958.03461538465</v>
      </c>
      <c r="K80" s="28">
        <f t="shared" si="15"/>
        <v>790230.71538461535</v>
      </c>
      <c r="L80" s="28">
        <f t="shared" si="15"/>
        <v>973466.14615384606</v>
      </c>
      <c r="M80" s="28">
        <f t="shared" si="15"/>
        <v>1093033.6269230768</v>
      </c>
      <c r="N80" s="28">
        <f t="shared" si="15"/>
        <v>1133426.0076923077</v>
      </c>
      <c r="O80" s="28">
        <f t="shared" si="15"/>
        <v>1255302.9384615384</v>
      </c>
      <c r="P80" s="28">
        <f t="shared" si="15"/>
        <v>1359253.9192307692</v>
      </c>
      <c r="Q80" s="28">
        <f t="shared" si="15"/>
        <v>1472324.15</v>
      </c>
      <c r="R80" s="28">
        <f t="shared" si="15"/>
        <v>1434100.9307692307</v>
      </c>
      <c r="S80" s="28">
        <f t="shared" si="15"/>
        <v>1345096.5615384616</v>
      </c>
      <c r="T80" s="28">
        <f t="shared" si="15"/>
        <v>1351215.8923076924</v>
      </c>
      <c r="U80" s="28">
        <f t="shared" si="15"/>
        <v>1518131.3230769231</v>
      </c>
      <c r="V80" s="28">
        <f t="shared" si="15"/>
        <v>1603933.0538461539</v>
      </c>
      <c r="W80" s="28">
        <f t="shared" si="15"/>
        <v>1875239.3346153847</v>
      </c>
      <c r="X80" s="28">
        <f t="shared" si="15"/>
        <v>1949449.6153846155</v>
      </c>
      <c r="Y80" s="29">
        <f t="shared" si="15"/>
        <v>2103741.7961538462</v>
      </c>
      <c r="Z80" s="29">
        <f t="shared" si="15"/>
        <v>2234118.1269230768</v>
      </c>
      <c r="AA80" s="29">
        <f t="shared" si="15"/>
        <v>2366580.8076923075</v>
      </c>
      <c r="AB80" s="29">
        <f t="shared" si="15"/>
        <v>2568186.288461538</v>
      </c>
      <c r="AC80" s="29">
        <f t="shared" si="15"/>
        <v>2755200.8192307688</v>
      </c>
      <c r="AD80" s="29">
        <f t="shared" si="15"/>
        <v>2986376.9999999995</v>
      </c>
      <c r="AE80" s="29">
        <f t="shared" si="15"/>
        <v>3415696.7307692301</v>
      </c>
      <c r="AF80" s="29">
        <f t="shared" si="15"/>
        <v>3682278.0115384609</v>
      </c>
      <c r="AG80" s="29">
        <f t="shared" si="15"/>
        <v>3592399.7423076918</v>
      </c>
      <c r="AH80" s="29">
        <f t="shared" si="15"/>
        <v>3924191.6230769227</v>
      </c>
      <c r="AI80" s="29">
        <f t="shared" si="15"/>
        <v>3907628.8538461532</v>
      </c>
      <c r="AJ80" s="29">
        <f t="shared" si="15"/>
        <v>3828327.0846153842</v>
      </c>
      <c r="AK80" s="29">
        <f t="shared" si="15"/>
        <v>3749025.3153846152</v>
      </c>
      <c r="AL80" s="29">
        <f t="shared" si="15"/>
        <v>3749025.3153846152</v>
      </c>
      <c r="AM80" s="29">
        <f t="shared" si="15"/>
        <v>3749025.3153846152</v>
      </c>
    </row>
    <row r="83" spans="2:13">
      <c r="B83" s="30" t="s">
        <v>93</v>
      </c>
      <c r="C83" s="31">
        <f>D40/D25</f>
        <v>0.92338097835184596</v>
      </c>
    </row>
    <row r="84" spans="2:13">
      <c r="D84" s="10"/>
      <c r="G84" s="323"/>
      <c r="H84" s="323"/>
      <c r="I84" s="323"/>
      <c r="J84" s="323"/>
      <c r="K84" s="32"/>
      <c r="L84" s="32"/>
    </row>
    <row r="85" spans="2:13">
      <c r="D85" s="10"/>
    </row>
    <row r="86" spans="2:13">
      <c r="G86" s="309" t="s">
        <v>94</v>
      </c>
      <c r="H86" s="310"/>
      <c r="I86" s="310"/>
      <c r="J86" s="310"/>
      <c r="K86" s="310"/>
      <c r="L86" s="310"/>
      <c r="M86" s="311"/>
    </row>
    <row r="87" spans="2:13">
      <c r="G87" s="37" t="s">
        <v>95</v>
      </c>
      <c r="H87" s="94" t="s">
        <v>96</v>
      </c>
      <c r="I87" s="94" t="s">
        <v>97</v>
      </c>
      <c r="J87" s="94" t="s">
        <v>98</v>
      </c>
      <c r="K87" s="94" t="s">
        <v>99</v>
      </c>
      <c r="L87" s="94" t="s">
        <v>100</v>
      </c>
      <c r="M87" s="141" t="s">
        <v>101</v>
      </c>
    </row>
    <row r="88" spans="2:13">
      <c r="G88" s="142" t="s">
        <v>47</v>
      </c>
      <c r="H88" s="134" t="s">
        <v>102</v>
      </c>
      <c r="I88" s="134" t="s">
        <v>103</v>
      </c>
      <c r="J88" s="134" t="s">
        <v>104</v>
      </c>
      <c r="K88" s="135">
        <v>2608</v>
      </c>
      <c r="L88" s="140">
        <v>38.229999999999997</v>
      </c>
      <c r="M88" s="145"/>
    </row>
    <row r="89" spans="2:13">
      <c r="G89" s="142" t="s">
        <v>47</v>
      </c>
      <c r="H89" s="134" t="s">
        <v>105</v>
      </c>
      <c r="I89" s="134" t="s">
        <v>106</v>
      </c>
      <c r="J89" s="134" t="s">
        <v>104</v>
      </c>
      <c r="K89" s="135">
        <v>85647</v>
      </c>
      <c r="L89" s="136">
        <v>34.909999999999997</v>
      </c>
      <c r="M89" s="145">
        <v>1.7935075871774091</v>
      </c>
    </row>
    <row r="90" spans="2:13">
      <c r="G90" s="142" t="s">
        <v>47</v>
      </c>
      <c r="H90" s="134" t="s">
        <v>107</v>
      </c>
      <c r="I90" s="134" t="s">
        <v>106</v>
      </c>
      <c r="J90" s="134" t="s">
        <v>104</v>
      </c>
      <c r="K90" s="135">
        <v>742226</v>
      </c>
      <c r="L90" s="136">
        <v>39.049999999999997</v>
      </c>
      <c r="M90" s="145">
        <v>17.38594958037633</v>
      </c>
    </row>
    <row r="91" spans="2:13">
      <c r="G91" s="142" t="s">
        <v>47</v>
      </c>
      <c r="H91" s="134" t="s">
        <v>108</v>
      </c>
      <c r="I91" s="134" t="s">
        <v>106</v>
      </c>
      <c r="J91" s="134" t="s">
        <v>104</v>
      </c>
      <c r="K91" s="135">
        <v>587570</v>
      </c>
      <c r="L91" s="136">
        <v>45.15</v>
      </c>
      <c r="M91" s="145">
        <v>15.913238885266473</v>
      </c>
    </row>
    <row r="92" spans="2:13">
      <c r="G92" s="142" t="s">
        <v>47</v>
      </c>
      <c r="H92" s="134" t="s">
        <v>109</v>
      </c>
      <c r="I92" s="134" t="s">
        <v>106</v>
      </c>
      <c r="J92" s="134" t="s">
        <v>104</v>
      </c>
      <c r="K92" s="135">
        <v>80371</v>
      </c>
      <c r="L92" s="136">
        <v>35.58</v>
      </c>
      <c r="M92" s="145">
        <v>1.7153254445323556</v>
      </c>
    </row>
    <row r="93" spans="2:13">
      <c r="G93" s="147" t="s">
        <v>47</v>
      </c>
      <c r="H93" s="137" t="s">
        <v>110</v>
      </c>
      <c r="I93" s="137" t="s">
        <v>106</v>
      </c>
      <c r="J93" s="137" t="s">
        <v>104</v>
      </c>
      <c r="K93" s="138">
        <v>168667</v>
      </c>
      <c r="L93" s="139">
        <v>50.23</v>
      </c>
      <c r="M93" s="148">
        <v>5.0819982676389799</v>
      </c>
    </row>
    <row r="94" spans="2:13">
      <c r="G94" s="150"/>
      <c r="H94" s="151"/>
      <c r="I94" s="151"/>
      <c r="J94" s="151"/>
      <c r="K94" s="152">
        <v>1667089</v>
      </c>
      <c r="L94" s="153"/>
      <c r="M94" s="154">
        <v>41.89001976499155</v>
      </c>
    </row>
    <row r="95" spans="2:13">
      <c r="G95" s="142"/>
      <c r="H95" s="134"/>
      <c r="I95" s="134"/>
      <c r="J95" s="134"/>
      <c r="K95" s="135"/>
      <c r="L95" s="136"/>
      <c r="M95" s="145"/>
    </row>
    <row r="96" spans="2:13">
      <c r="G96" s="142" t="s">
        <v>49</v>
      </c>
      <c r="H96" s="134" t="s">
        <v>111</v>
      </c>
      <c r="I96" s="134" t="s">
        <v>106</v>
      </c>
      <c r="J96" s="134" t="s">
        <v>104</v>
      </c>
      <c r="K96" s="135">
        <v>77875</v>
      </c>
      <c r="L96" s="136">
        <v>26.49</v>
      </c>
      <c r="M96" s="145">
        <v>8.5388830249596417</v>
      </c>
    </row>
    <row r="97" spans="7:13">
      <c r="G97" s="147" t="s">
        <v>49</v>
      </c>
      <c r="H97" s="137" t="s">
        <v>112</v>
      </c>
      <c r="I97" s="137" t="s">
        <v>106</v>
      </c>
      <c r="J97" s="137" t="s">
        <v>104</v>
      </c>
      <c r="K97" s="138">
        <v>163715</v>
      </c>
      <c r="L97" s="139">
        <v>30.17</v>
      </c>
      <c r="M97" s="148">
        <v>20.444892379651478</v>
      </c>
    </row>
    <row r="98" spans="7:13">
      <c r="G98" s="150"/>
      <c r="H98" s="151"/>
      <c r="I98" s="151"/>
      <c r="J98" s="151"/>
      <c r="K98" s="152">
        <v>241590</v>
      </c>
      <c r="L98" s="153"/>
      <c r="M98" s="154">
        <v>28.983775404611119</v>
      </c>
    </row>
    <row r="99" spans="7:13">
      <c r="G99" s="142"/>
      <c r="H99" s="134"/>
      <c r="I99" s="134"/>
      <c r="J99" s="134"/>
      <c r="K99" s="135"/>
      <c r="L99" s="136"/>
      <c r="M99" s="145"/>
    </row>
    <row r="100" spans="7:13">
      <c r="G100" s="142" t="s">
        <v>113</v>
      </c>
      <c r="H100" s="134" t="s">
        <v>114</v>
      </c>
      <c r="I100" s="134" t="s">
        <v>106</v>
      </c>
      <c r="J100" s="134" t="s">
        <v>104</v>
      </c>
      <c r="K100" s="135">
        <v>64834</v>
      </c>
      <c r="L100" s="136">
        <v>18.75</v>
      </c>
      <c r="M100" s="145">
        <v>3.1173469518590418</v>
      </c>
    </row>
    <row r="101" spans="7:13">
      <c r="G101" s="142" t="s">
        <v>113</v>
      </c>
      <c r="H101" s="134" t="s">
        <v>115</v>
      </c>
      <c r="I101" s="134" t="s">
        <v>106</v>
      </c>
      <c r="J101" s="134" t="s">
        <v>104</v>
      </c>
      <c r="K101" s="135">
        <v>305804</v>
      </c>
      <c r="L101" s="136">
        <v>21.25</v>
      </c>
      <c r="M101" s="145">
        <v>16.664149308004177</v>
      </c>
    </row>
    <row r="102" spans="7:13">
      <c r="G102" s="147" t="s">
        <v>113</v>
      </c>
      <c r="H102" s="137" t="s">
        <v>116</v>
      </c>
      <c r="I102" s="137" t="s">
        <v>106</v>
      </c>
      <c r="J102" s="137" t="s">
        <v>104</v>
      </c>
      <c r="K102" s="138">
        <v>19321</v>
      </c>
      <c r="L102" s="139">
        <v>22.25</v>
      </c>
      <c r="M102" s="148">
        <v>1.102403714236625</v>
      </c>
    </row>
    <row r="103" spans="7:13">
      <c r="G103" s="147"/>
      <c r="H103" s="137"/>
      <c r="I103" s="137"/>
      <c r="J103" s="137"/>
      <c r="K103" s="138">
        <v>389959</v>
      </c>
      <c r="L103" s="139"/>
      <c r="M103" s="149">
        <v>20.883899974099844</v>
      </c>
    </row>
  </sheetData>
  <mergeCells count="8">
    <mergeCell ref="G84:J84"/>
    <mergeCell ref="G86:M86"/>
    <mergeCell ref="A25:A37"/>
    <mergeCell ref="A40:A41"/>
    <mergeCell ref="A45:A50"/>
    <mergeCell ref="A52:A56"/>
    <mergeCell ref="B73:C73"/>
    <mergeCell ref="B80:D80"/>
  </mergeCells>
  <conditionalFormatting sqref="E80:AM80 B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85D3-8A39-4361-994B-3C2B0381AD43}">
  <dimension ref="A2:AP103"/>
  <sheetViews>
    <sheetView workbookViewId="0">
      <selection activeCell="E14" sqref="E14"/>
    </sheetView>
  </sheetViews>
  <sheetFormatPr defaultColWidth="11.42578125" defaultRowHeight="15"/>
  <cols>
    <col min="1" max="1" width="15" customWidth="1"/>
    <col min="2" max="2" width="27.42578125" customWidth="1"/>
    <col min="3" max="3" width="16.42578125" bestFit="1" customWidth="1"/>
    <col min="4" max="4" width="19.28515625" customWidth="1"/>
    <col min="5" max="5" width="11" bestFit="1" customWidth="1"/>
    <col min="6" max="6" width="12.42578125" customWidth="1"/>
    <col min="7" max="7" width="13.7109375" customWidth="1"/>
    <col min="8" max="8" width="11.85546875" customWidth="1"/>
    <col min="9" max="9" width="13.85546875" customWidth="1"/>
    <col min="10" max="18" width="15.140625" bestFit="1" customWidth="1"/>
    <col min="19" max="21" width="12.42578125" customWidth="1"/>
    <col min="22" max="22" width="12.140625" customWidth="1"/>
    <col min="23" max="23" width="12.42578125" bestFit="1" customWidth="1"/>
    <col min="24" max="24" width="12.42578125" customWidth="1"/>
  </cols>
  <sheetData>
    <row r="2" spans="2:42" ht="15.75">
      <c r="B2" s="54" t="s">
        <v>0</v>
      </c>
      <c r="C2" s="109" t="s">
        <v>1</v>
      </c>
    </row>
    <row r="3" spans="2:42" ht="15.75">
      <c r="B3" s="54" t="s">
        <v>2</v>
      </c>
      <c r="C3" s="109">
        <v>5</v>
      </c>
    </row>
    <row r="4" spans="2:42" ht="15.75">
      <c r="B4" s="54" t="s">
        <v>3</v>
      </c>
      <c r="C4" s="110">
        <v>44693</v>
      </c>
      <c r="M4" s="1"/>
    </row>
    <row r="5" spans="2:42" ht="15.75">
      <c r="B5" s="54" t="s">
        <v>4</v>
      </c>
      <c r="C5" s="110">
        <v>44726</v>
      </c>
    </row>
    <row r="6" spans="2:42" ht="15.75">
      <c r="B6" s="2"/>
      <c r="C6" s="2"/>
    </row>
    <row r="7" spans="2:42" ht="15.75">
      <c r="B7" s="54" t="s">
        <v>5</v>
      </c>
      <c r="D7" s="41" t="s">
        <v>6</v>
      </c>
      <c r="E7" s="42">
        <v>44726</v>
      </c>
      <c r="F7" s="42">
        <f t="shared" ref="F7:AM7" si="0">E7+1</f>
        <v>44727</v>
      </c>
      <c r="G7" s="42">
        <f t="shared" si="0"/>
        <v>44728</v>
      </c>
      <c r="H7" s="42">
        <f t="shared" si="0"/>
        <v>44729</v>
      </c>
      <c r="I7" s="42">
        <f t="shared" si="0"/>
        <v>44730</v>
      </c>
      <c r="J7" s="42">
        <f t="shared" si="0"/>
        <v>44731</v>
      </c>
      <c r="K7" s="42">
        <f t="shared" si="0"/>
        <v>44732</v>
      </c>
      <c r="L7" s="42">
        <f t="shared" si="0"/>
        <v>44733</v>
      </c>
      <c r="M7" s="42">
        <f t="shared" si="0"/>
        <v>44734</v>
      </c>
      <c r="N7" s="42">
        <f t="shared" si="0"/>
        <v>44735</v>
      </c>
      <c r="O7" s="42">
        <f t="shared" si="0"/>
        <v>44736</v>
      </c>
      <c r="P7" s="42">
        <f t="shared" si="0"/>
        <v>44737</v>
      </c>
      <c r="Q7" s="42">
        <f t="shared" si="0"/>
        <v>44738</v>
      </c>
      <c r="R7" s="42">
        <f t="shared" si="0"/>
        <v>44739</v>
      </c>
      <c r="S7" s="42">
        <f t="shared" si="0"/>
        <v>44740</v>
      </c>
      <c r="T7" s="42">
        <f t="shared" si="0"/>
        <v>44741</v>
      </c>
      <c r="U7" s="42">
        <f t="shared" si="0"/>
        <v>44742</v>
      </c>
      <c r="V7" s="42">
        <f t="shared" si="0"/>
        <v>44743</v>
      </c>
      <c r="W7" s="42">
        <f t="shared" si="0"/>
        <v>44744</v>
      </c>
      <c r="X7" s="43">
        <f t="shared" si="0"/>
        <v>44745</v>
      </c>
      <c r="Y7" s="44">
        <f t="shared" si="0"/>
        <v>44746</v>
      </c>
      <c r="Z7" s="44">
        <f t="shared" si="0"/>
        <v>44747</v>
      </c>
      <c r="AA7" s="44">
        <f t="shared" si="0"/>
        <v>44748</v>
      </c>
      <c r="AB7" s="44">
        <f t="shared" si="0"/>
        <v>44749</v>
      </c>
      <c r="AC7" s="44">
        <f t="shared" si="0"/>
        <v>44750</v>
      </c>
      <c r="AD7" s="44">
        <f t="shared" si="0"/>
        <v>44751</v>
      </c>
      <c r="AE7" s="44">
        <f t="shared" si="0"/>
        <v>44752</v>
      </c>
      <c r="AF7" s="44">
        <f t="shared" si="0"/>
        <v>44753</v>
      </c>
      <c r="AG7" s="44">
        <f t="shared" si="0"/>
        <v>44754</v>
      </c>
      <c r="AH7" s="44">
        <f t="shared" si="0"/>
        <v>44755</v>
      </c>
      <c r="AI7" s="44">
        <f t="shared" si="0"/>
        <v>44756</v>
      </c>
      <c r="AJ7" s="44">
        <f t="shared" si="0"/>
        <v>44757</v>
      </c>
      <c r="AK7" s="44">
        <f t="shared" si="0"/>
        <v>44758</v>
      </c>
      <c r="AL7" s="44">
        <f t="shared" si="0"/>
        <v>44759</v>
      </c>
      <c r="AM7" s="44">
        <f t="shared" si="0"/>
        <v>44760</v>
      </c>
      <c r="AN7" s="44">
        <f t="shared" ref="AN7" si="1">AM7+1</f>
        <v>44761</v>
      </c>
      <c r="AO7" s="44">
        <f t="shared" ref="AO7" si="2">AN7+1</f>
        <v>44762</v>
      </c>
      <c r="AP7" s="44">
        <f t="shared" ref="AP7" si="3">AO7+1</f>
        <v>44763</v>
      </c>
    </row>
    <row r="8" spans="2:42">
      <c r="B8" s="46" t="s">
        <v>7</v>
      </c>
      <c r="C8" s="47" t="s">
        <v>8</v>
      </c>
      <c r="D8" s="71">
        <f t="shared" ref="D8:D15" si="4">SUM(E8:AI8)</f>
        <v>564</v>
      </c>
      <c r="E8" s="114">
        <v>0</v>
      </c>
      <c r="F8" s="114">
        <v>0</v>
      </c>
      <c r="G8" s="114">
        <v>0</v>
      </c>
      <c r="H8" s="114">
        <v>18</v>
      </c>
      <c r="I8" s="114">
        <v>17</v>
      </c>
      <c r="J8" s="114">
        <v>18</v>
      </c>
      <c r="K8" s="114">
        <v>24</v>
      </c>
      <c r="L8" s="114">
        <v>22</v>
      </c>
      <c r="M8" s="114">
        <v>24</v>
      </c>
      <c r="N8" s="114">
        <v>24</v>
      </c>
      <c r="O8" s="114">
        <v>24</v>
      </c>
      <c r="P8" s="114">
        <v>24</v>
      </c>
      <c r="Q8" s="114">
        <v>24</v>
      </c>
      <c r="R8" s="114">
        <v>16</v>
      </c>
      <c r="S8" s="114">
        <v>24</v>
      </c>
      <c r="T8" s="114">
        <v>24</v>
      </c>
      <c r="U8" s="114">
        <v>22</v>
      </c>
      <c r="V8" s="114">
        <v>16</v>
      </c>
      <c r="W8" s="114">
        <v>24</v>
      </c>
      <c r="X8" s="114">
        <v>24</v>
      </c>
      <c r="Y8" s="114">
        <v>17</v>
      </c>
      <c r="Z8" s="114">
        <v>24</v>
      </c>
      <c r="AA8" s="114">
        <v>21</v>
      </c>
      <c r="AB8" s="114">
        <v>17</v>
      </c>
      <c r="AC8" s="114">
        <v>24</v>
      </c>
      <c r="AD8" s="114">
        <v>24</v>
      </c>
      <c r="AE8" s="114">
        <v>9</v>
      </c>
      <c r="AF8" s="114">
        <v>0</v>
      </c>
      <c r="AG8" s="114">
        <v>11</v>
      </c>
      <c r="AH8" s="114">
        <v>24</v>
      </c>
      <c r="AI8" s="114">
        <v>24</v>
      </c>
      <c r="AJ8" s="114">
        <v>19</v>
      </c>
      <c r="AK8" s="114">
        <v>9</v>
      </c>
      <c r="AL8" s="114">
        <v>24</v>
      </c>
      <c r="AM8" s="114">
        <v>24</v>
      </c>
      <c r="AN8" s="114">
        <v>6</v>
      </c>
      <c r="AO8" s="114">
        <v>0</v>
      </c>
      <c r="AP8" s="114">
        <v>0</v>
      </c>
    </row>
    <row r="9" spans="2:42">
      <c r="B9" s="48" t="s">
        <v>9</v>
      </c>
      <c r="C9" s="38" t="s">
        <v>8</v>
      </c>
      <c r="D9" s="71">
        <f t="shared" si="4"/>
        <v>109</v>
      </c>
      <c r="E9" s="115">
        <v>0</v>
      </c>
      <c r="F9" s="115">
        <v>0</v>
      </c>
      <c r="G9" s="115">
        <v>13</v>
      </c>
      <c r="H9" s="115">
        <v>6</v>
      </c>
      <c r="I9" s="115">
        <v>7</v>
      </c>
      <c r="J9" s="115">
        <v>6</v>
      </c>
      <c r="K9" s="115">
        <v>0</v>
      </c>
      <c r="L9" s="115">
        <v>2</v>
      </c>
      <c r="M9" s="115">
        <v>0</v>
      </c>
      <c r="N9" s="115">
        <v>0</v>
      </c>
      <c r="O9" s="115">
        <v>0</v>
      </c>
      <c r="P9" s="115"/>
      <c r="Q9" s="115">
        <v>0</v>
      </c>
      <c r="R9" s="115">
        <v>8</v>
      </c>
      <c r="S9" s="115">
        <v>0</v>
      </c>
      <c r="T9" s="115">
        <v>0</v>
      </c>
      <c r="U9" s="115">
        <v>2</v>
      </c>
      <c r="V9" s="115">
        <v>8</v>
      </c>
      <c r="W9" s="115">
        <v>0</v>
      </c>
      <c r="X9" s="115">
        <v>0</v>
      </c>
      <c r="Y9" s="115">
        <v>7</v>
      </c>
      <c r="Z9" s="115">
        <v>0</v>
      </c>
      <c r="AA9" s="115">
        <v>3</v>
      </c>
      <c r="AB9" s="115">
        <v>5</v>
      </c>
      <c r="AC9" s="115">
        <v>0</v>
      </c>
      <c r="AD9" s="115">
        <v>0</v>
      </c>
      <c r="AE9" s="115">
        <v>15</v>
      </c>
      <c r="AF9" s="115">
        <v>14</v>
      </c>
      <c r="AG9" s="115">
        <v>13</v>
      </c>
      <c r="AH9" s="115">
        <v>0</v>
      </c>
      <c r="AI9" s="115">
        <v>0</v>
      </c>
      <c r="AJ9" s="115">
        <v>5</v>
      </c>
      <c r="AK9" s="115">
        <v>15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</row>
    <row r="10" spans="2:42">
      <c r="B10" s="48" t="s">
        <v>10</v>
      </c>
      <c r="C10" s="38" t="s">
        <v>8</v>
      </c>
      <c r="D10" s="71">
        <f t="shared" si="4"/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</row>
    <row r="11" spans="2:42">
      <c r="B11" s="48" t="s">
        <v>11</v>
      </c>
      <c r="C11" s="38" t="s">
        <v>8</v>
      </c>
      <c r="D11" s="71">
        <f t="shared" si="4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18</v>
      </c>
      <c r="AO11" s="115">
        <v>24</v>
      </c>
      <c r="AP11" s="115">
        <v>0</v>
      </c>
    </row>
    <row r="12" spans="2:42">
      <c r="B12" s="48" t="s">
        <v>12</v>
      </c>
      <c r="C12" s="38" t="s">
        <v>8</v>
      </c>
      <c r="D12" s="71">
        <f t="shared" si="4"/>
        <v>10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10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</row>
    <row r="13" spans="2:42">
      <c r="B13" s="48" t="s">
        <v>13</v>
      </c>
      <c r="C13" s="38" t="s">
        <v>8</v>
      </c>
      <c r="D13" s="71">
        <f t="shared" si="4"/>
        <v>5</v>
      </c>
      <c r="E13" s="115">
        <v>0</v>
      </c>
      <c r="F13" s="115">
        <v>0</v>
      </c>
      <c r="G13" s="115">
        <v>5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</row>
    <row r="14" spans="2:42">
      <c r="B14" s="49" t="s">
        <v>14</v>
      </c>
      <c r="C14" s="40" t="s">
        <v>8</v>
      </c>
      <c r="D14" s="71">
        <f t="shared" si="4"/>
        <v>54</v>
      </c>
      <c r="E14" s="116">
        <v>24</v>
      </c>
      <c r="F14" s="116">
        <v>24</v>
      </c>
      <c r="G14" s="116">
        <v>6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/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  <c r="AM14" s="116">
        <v>0</v>
      </c>
      <c r="AN14" s="116">
        <v>0</v>
      </c>
      <c r="AO14" s="116">
        <v>0</v>
      </c>
      <c r="AP14" s="116">
        <v>0</v>
      </c>
    </row>
    <row r="15" spans="2:42">
      <c r="B15" s="68" t="s">
        <v>15</v>
      </c>
      <c r="C15" s="69" t="s">
        <v>8</v>
      </c>
      <c r="D15" s="70">
        <f t="shared" si="4"/>
        <v>742</v>
      </c>
      <c r="E15" s="117">
        <f t="shared" ref="E15:AP15" si="5">SUM(E8:E14)</f>
        <v>24</v>
      </c>
      <c r="F15" s="117">
        <f t="shared" si="5"/>
        <v>24</v>
      </c>
      <c r="G15" s="117">
        <f t="shared" si="5"/>
        <v>24</v>
      </c>
      <c r="H15" s="117">
        <f t="shared" si="5"/>
        <v>24</v>
      </c>
      <c r="I15" s="117">
        <f t="shared" si="5"/>
        <v>24</v>
      </c>
      <c r="J15" s="117">
        <f t="shared" si="5"/>
        <v>24</v>
      </c>
      <c r="K15" s="117">
        <f t="shared" si="5"/>
        <v>24</v>
      </c>
      <c r="L15" s="117">
        <f t="shared" si="5"/>
        <v>24</v>
      </c>
      <c r="M15" s="117">
        <f t="shared" si="5"/>
        <v>24</v>
      </c>
      <c r="N15" s="117">
        <f t="shared" si="5"/>
        <v>24</v>
      </c>
      <c r="O15" s="117">
        <f t="shared" si="5"/>
        <v>24</v>
      </c>
      <c r="P15" s="117">
        <f t="shared" si="5"/>
        <v>24</v>
      </c>
      <c r="Q15" s="117">
        <f t="shared" si="5"/>
        <v>24</v>
      </c>
      <c r="R15" s="117">
        <f t="shared" si="5"/>
        <v>24</v>
      </c>
      <c r="S15" s="117">
        <f t="shared" si="5"/>
        <v>24</v>
      </c>
      <c r="T15" s="117">
        <f t="shared" si="5"/>
        <v>24</v>
      </c>
      <c r="U15" s="117">
        <f t="shared" si="5"/>
        <v>24</v>
      </c>
      <c r="V15" s="117">
        <f t="shared" si="5"/>
        <v>24</v>
      </c>
      <c r="W15" s="117">
        <f t="shared" si="5"/>
        <v>24</v>
      </c>
      <c r="X15" s="117">
        <f t="shared" si="5"/>
        <v>24</v>
      </c>
      <c r="Y15" s="117">
        <f t="shared" si="5"/>
        <v>24</v>
      </c>
      <c r="Z15" s="117">
        <f t="shared" si="5"/>
        <v>24</v>
      </c>
      <c r="AA15" s="117">
        <f t="shared" si="5"/>
        <v>24</v>
      </c>
      <c r="AB15" s="117">
        <f t="shared" si="5"/>
        <v>22</v>
      </c>
      <c r="AC15" s="117">
        <f t="shared" si="5"/>
        <v>24</v>
      </c>
      <c r="AD15" s="117">
        <f t="shared" si="5"/>
        <v>24</v>
      </c>
      <c r="AE15" s="117">
        <f t="shared" si="5"/>
        <v>24</v>
      </c>
      <c r="AF15" s="117">
        <f t="shared" si="5"/>
        <v>24</v>
      </c>
      <c r="AG15" s="117">
        <f t="shared" si="5"/>
        <v>24</v>
      </c>
      <c r="AH15" s="117">
        <f t="shared" si="5"/>
        <v>24</v>
      </c>
      <c r="AI15" s="117">
        <f t="shared" si="5"/>
        <v>24</v>
      </c>
      <c r="AJ15" s="117">
        <f t="shared" si="5"/>
        <v>24</v>
      </c>
      <c r="AK15" s="117">
        <f t="shared" si="5"/>
        <v>24</v>
      </c>
      <c r="AL15" s="117">
        <f t="shared" si="5"/>
        <v>24</v>
      </c>
      <c r="AM15" s="117">
        <f t="shared" si="5"/>
        <v>24</v>
      </c>
      <c r="AN15" s="117">
        <f t="shared" si="5"/>
        <v>24</v>
      </c>
      <c r="AO15" s="117">
        <f t="shared" si="5"/>
        <v>24</v>
      </c>
      <c r="AP15" s="117">
        <f t="shared" si="5"/>
        <v>0</v>
      </c>
    </row>
    <row r="17" spans="1:42">
      <c r="B17" s="50" t="s">
        <v>16</v>
      </c>
      <c r="C17" s="50" t="s">
        <v>0</v>
      </c>
      <c r="D17" s="58">
        <f>SUM(E17:AI17)</f>
        <v>0</v>
      </c>
      <c r="E17" s="127">
        <v>0</v>
      </c>
      <c r="F17" s="66">
        <v>0</v>
      </c>
      <c r="G17" s="66">
        <v>0</v>
      </c>
      <c r="H17" s="66">
        <v>0</v>
      </c>
      <c r="I17" s="65" t="s">
        <v>119</v>
      </c>
      <c r="J17" s="65" t="s">
        <v>172</v>
      </c>
      <c r="K17" s="65" t="s">
        <v>22</v>
      </c>
      <c r="L17" s="65" t="s">
        <v>22</v>
      </c>
      <c r="M17" s="65" t="s">
        <v>122</v>
      </c>
      <c r="N17" s="65" t="s">
        <v>22</v>
      </c>
      <c r="O17" s="65" t="s">
        <v>22</v>
      </c>
      <c r="P17" s="65" t="s">
        <v>22</v>
      </c>
      <c r="Q17" s="65" t="s">
        <v>122</v>
      </c>
      <c r="R17" s="65" t="s">
        <v>122</v>
      </c>
      <c r="S17" s="65" t="s">
        <v>173</v>
      </c>
      <c r="T17" s="65" t="s">
        <v>173</v>
      </c>
      <c r="U17" s="65" t="s">
        <v>174</v>
      </c>
      <c r="V17" s="65" t="s">
        <v>175</v>
      </c>
      <c r="W17" s="65" t="s">
        <v>22</v>
      </c>
      <c r="X17" s="65" t="s">
        <v>22</v>
      </c>
      <c r="Y17" s="65" t="s">
        <v>122</v>
      </c>
      <c r="Z17" s="65" t="s">
        <v>176</v>
      </c>
      <c r="AA17" s="65" t="s">
        <v>177</v>
      </c>
      <c r="AB17" s="65" t="s">
        <v>178</v>
      </c>
      <c r="AC17" s="65" t="s">
        <v>175</v>
      </c>
      <c r="AD17" s="65" t="s">
        <v>175</v>
      </c>
      <c r="AE17" s="65" t="s">
        <v>175</v>
      </c>
      <c r="AF17" s="65">
        <v>0</v>
      </c>
      <c r="AG17" s="65" t="s">
        <v>175</v>
      </c>
      <c r="AH17" s="65" t="s">
        <v>175</v>
      </c>
      <c r="AI17" s="65" t="s">
        <v>175</v>
      </c>
      <c r="AJ17" s="58" t="s">
        <v>179</v>
      </c>
      <c r="AK17" s="58" t="s">
        <v>176</v>
      </c>
      <c r="AL17" s="58" t="s">
        <v>180</v>
      </c>
      <c r="AM17" s="58" t="s">
        <v>180</v>
      </c>
      <c r="AN17" s="58"/>
      <c r="AO17" s="58"/>
      <c r="AP17" s="58"/>
    </row>
    <row r="18" spans="1:42">
      <c r="B18" s="37" t="s">
        <v>31</v>
      </c>
      <c r="C18" s="37" t="s">
        <v>32</v>
      </c>
      <c r="D18" s="131">
        <f>SUM(E18:AI18)</f>
        <v>179</v>
      </c>
      <c r="E18" s="162"/>
      <c r="F18" s="123">
        <v>0</v>
      </c>
      <c r="G18" s="123">
        <v>0</v>
      </c>
      <c r="H18" s="123" t="s">
        <v>181</v>
      </c>
      <c r="I18" s="122" t="s">
        <v>182</v>
      </c>
      <c r="J18" s="122">
        <v>15</v>
      </c>
      <c r="K18" s="122" t="s">
        <v>183</v>
      </c>
      <c r="L18" s="122">
        <v>18</v>
      </c>
      <c r="M18" s="122" t="s">
        <v>184</v>
      </c>
      <c r="N18" s="122">
        <v>8</v>
      </c>
      <c r="O18" s="122">
        <v>16</v>
      </c>
      <c r="P18" s="122" t="s">
        <v>183</v>
      </c>
      <c r="Q18" s="122" t="s">
        <v>185</v>
      </c>
      <c r="R18" s="122" t="s">
        <v>186</v>
      </c>
      <c r="S18" s="122">
        <v>9</v>
      </c>
      <c r="T18" s="122" t="s">
        <v>187</v>
      </c>
      <c r="U18" s="122">
        <v>19</v>
      </c>
      <c r="V18" s="122" t="s">
        <v>184</v>
      </c>
      <c r="W18" s="122">
        <v>17</v>
      </c>
      <c r="X18" s="122" t="s">
        <v>184</v>
      </c>
      <c r="Y18" s="122" t="s">
        <v>33</v>
      </c>
      <c r="Z18" s="122" t="s">
        <v>188</v>
      </c>
      <c r="AA18" s="122">
        <v>17</v>
      </c>
      <c r="AB18" s="122">
        <v>10</v>
      </c>
      <c r="AC18" s="122">
        <v>12</v>
      </c>
      <c r="AD18" s="122" t="s">
        <v>189</v>
      </c>
      <c r="AE18" s="122">
        <v>9</v>
      </c>
      <c r="AF18" s="122">
        <v>0</v>
      </c>
      <c r="AG18" s="122" t="s">
        <v>190</v>
      </c>
      <c r="AH18" s="122">
        <v>13</v>
      </c>
      <c r="AI18" s="122">
        <v>16</v>
      </c>
      <c r="AJ18" s="124">
        <v>16</v>
      </c>
      <c r="AK18" s="124" t="s">
        <v>190</v>
      </c>
      <c r="AL18" s="124">
        <v>13</v>
      </c>
      <c r="AM18" s="124">
        <v>11</v>
      </c>
      <c r="AN18" s="124"/>
      <c r="AO18" s="124"/>
      <c r="AP18" s="124"/>
    </row>
    <row r="19" spans="1:42">
      <c r="B19" s="37" t="s">
        <v>35</v>
      </c>
      <c r="C19" s="37" t="s">
        <v>36</v>
      </c>
      <c r="D19" s="131">
        <f>SUM(E19:AI19)</f>
        <v>83</v>
      </c>
      <c r="E19" s="162"/>
      <c r="F19" s="123">
        <v>0</v>
      </c>
      <c r="G19" s="123">
        <v>0</v>
      </c>
      <c r="H19" s="123">
        <v>2</v>
      </c>
      <c r="I19" s="122">
        <v>3</v>
      </c>
      <c r="J19" s="122">
        <v>3</v>
      </c>
      <c r="K19" s="122">
        <v>3</v>
      </c>
      <c r="L19" s="122">
        <v>3</v>
      </c>
      <c r="M19" s="122">
        <v>3</v>
      </c>
      <c r="N19" s="122">
        <v>2</v>
      </c>
      <c r="O19" s="122">
        <v>3</v>
      </c>
      <c r="P19" s="122">
        <v>4</v>
      </c>
      <c r="Q19" s="122">
        <v>2</v>
      </c>
      <c r="R19" s="122">
        <v>3</v>
      </c>
      <c r="S19" s="122">
        <v>3</v>
      </c>
      <c r="T19" s="122">
        <v>4</v>
      </c>
      <c r="U19" s="122">
        <v>4</v>
      </c>
      <c r="V19" s="122">
        <v>4</v>
      </c>
      <c r="W19" s="122">
        <v>4</v>
      </c>
      <c r="X19" s="122">
        <v>3</v>
      </c>
      <c r="Y19" s="122">
        <v>3</v>
      </c>
      <c r="Z19" s="122">
        <v>3</v>
      </c>
      <c r="AA19" s="122">
        <v>4</v>
      </c>
      <c r="AB19" s="122">
        <v>3</v>
      </c>
      <c r="AC19" s="122">
        <v>3</v>
      </c>
      <c r="AD19" s="122">
        <v>4</v>
      </c>
      <c r="AE19" s="122">
        <v>2</v>
      </c>
      <c r="AF19" s="122">
        <v>0</v>
      </c>
      <c r="AG19" s="122">
        <v>2</v>
      </c>
      <c r="AH19" s="122">
        <v>3</v>
      </c>
      <c r="AI19" s="122">
        <v>3</v>
      </c>
      <c r="AJ19" s="124">
        <v>3</v>
      </c>
      <c r="AK19" s="124">
        <v>3</v>
      </c>
      <c r="AL19" s="124">
        <v>3</v>
      </c>
      <c r="AM19" s="124">
        <v>4</v>
      </c>
      <c r="AN19" s="124"/>
      <c r="AO19" s="124"/>
      <c r="AP19" s="124"/>
    </row>
    <row r="20" spans="1:42">
      <c r="B20" s="39" t="s">
        <v>37</v>
      </c>
      <c r="C20" s="39" t="s">
        <v>38</v>
      </c>
      <c r="D20" s="67">
        <f>SUM(E20:AI20)</f>
        <v>1.5238095238095237</v>
      </c>
      <c r="E20" s="129"/>
      <c r="F20" s="56">
        <v>0</v>
      </c>
      <c r="G20" s="56">
        <v>0</v>
      </c>
      <c r="H20" s="56" t="s">
        <v>191</v>
      </c>
      <c r="I20" s="60" t="s">
        <v>40</v>
      </c>
      <c r="J20" s="60" t="s">
        <v>191</v>
      </c>
      <c r="K20" s="60" t="s">
        <v>191</v>
      </c>
      <c r="L20" s="60" t="s">
        <v>192</v>
      </c>
      <c r="M20" s="60" t="s">
        <v>192</v>
      </c>
      <c r="N20" s="60" t="s">
        <v>192</v>
      </c>
      <c r="O20" s="60" t="s">
        <v>191</v>
      </c>
      <c r="P20" s="60" t="s">
        <v>191</v>
      </c>
      <c r="Q20" s="60" t="s">
        <v>192</v>
      </c>
      <c r="R20" s="60" t="s">
        <v>192</v>
      </c>
      <c r="S20" s="60" t="s">
        <v>192</v>
      </c>
      <c r="T20" s="60" t="s">
        <v>192</v>
      </c>
      <c r="U20" s="60" t="s">
        <v>192</v>
      </c>
      <c r="V20" s="60" t="s">
        <v>192</v>
      </c>
      <c r="W20" s="60" t="s">
        <v>191</v>
      </c>
      <c r="X20" s="60" t="s">
        <v>191</v>
      </c>
      <c r="Y20" s="60">
        <v>1.5238095238095237</v>
      </c>
      <c r="Z20" s="60" t="s">
        <v>192</v>
      </c>
      <c r="AA20" s="60" t="s">
        <v>192</v>
      </c>
      <c r="AB20" s="60" t="s">
        <v>192</v>
      </c>
      <c r="AC20" s="60" t="s">
        <v>192</v>
      </c>
      <c r="AD20" s="60" t="s">
        <v>193</v>
      </c>
      <c r="AE20" s="60" t="s">
        <v>192</v>
      </c>
      <c r="AF20" s="60">
        <v>0</v>
      </c>
      <c r="AG20" s="60" t="s">
        <v>194</v>
      </c>
      <c r="AH20" s="60" t="s">
        <v>191</v>
      </c>
      <c r="AI20" s="60" t="s">
        <v>192</v>
      </c>
      <c r="AJ20" s="61" t="s">
        <v>192</v>
      </c>
      <c r="AK20" s="61" t="s">
        <v>192</v>
      </c>
      <c r="AL20" s="61" t="s">
        <v>193</v>
      </c>
      <c r="AM20" s="61" t="s">
        <v>192</v>
      </c>
      <c r="AN20" s="61"/>
      <c r="AO20" s="61"/>
      <c r="AP20" s="61"/>
    </row>
    <row r="21" spans="1:42">
      <c r="B21" s="39" t="s">
        <v>41</v>
      </c>
      <c r="C21" s="39" t="s">
        <v>42</v>
      </c>
      <c r="D21" s="130"/>
      <c r="E21" s="57"/>
      <c r="F21" s="62"/>
      <c r="G21" s="63"/>
      <c r="H21" s="63"/>
      <c r="I21" s="63">
        <v>8</v>
      </c>
      <c r="J21" s="63">
        <v>8</v>
      </c>
      <c r="K21" s="63">
        <v>6</v>
      </c>
      <c r="L21" s="63">
        <v>7</v>
      </c>
      <c r="M21" s="63">
        <v>7</v>
      </c>
      <c r="N21" s="63">
        <v>7</v>
      </c>
      <c r="O21" s="63">
        <v>8</v>
      </c>
      <c r="P21" s="63">
        <v>8</v>
      </c>
      <c r="Q21" s="63">
        <v>8</v>
      </c>
      <c r="R21" s="63">
        <v>8</v>
      </c>
      <c r="S21" s="63">
        <v>3</v>
      </c>
      <c r="T21" s="63">
        <v>4</v>
      </c>
      <c r="U21" s="63">
        <v>5</v>
      </c>
      <c r="V21" s="63">
        <v>8</v>
      </c>
      <c r="W21" s="63">
        <v>8</v>
      </c>
      <c r="X21" s="63">
        <v>9</v>
      </c>
      <c r="Y21" s="64">
        <v>7</v>
      </c>
      <c r="Z21" s="64">
        <v>6</v>
      </c>
      <c r="AA21" s="64">
        <v>6</v>
      </c>
      <c r="AB21" s="64">
        <v>9</v>
      </c>
      <c r="AC21" s="64">
        <v>9</v>
      </c>
      <c r="AD21" s="64">
        <v>9</v>
      </c>
      <c r="AE21" s="64">
        <v>9</v>
      </c>
      <c r="AF21" s="64"/>
      <c r="AG21" s="64">
        <v>8</v>
      </c>
      <c r="AH21" s="64">
        <v>10</v>
      </c>
      <c r="AI21" s="64">
        <v>9</v>
      </c>
      <c r="AJ21" s="64"/>
      <c r="AK21" s="64">
        <v>8</v>
      </c>
      <c r="AL21" s="64">
        <v>8</v>
      </c>
      <c r="AM21" s="64">
        <v>8</v>
      </c>
      <c r="AN21" s="64">
        <v>8</v>
      </c>
      <c r="AO21" s="64"/>
      <c r="AP21" s="64"/>
    </row>
    <row r="23" spans="1:42">
      <c r="B23" s="167" t="s">
        <v>43</v>
      </c>
      <c r="C23" s="168">
        <f>D25/D18</f>
        <v>5959.7486033519554</v>
      </c>
    </row>
    <row r="24" spans="1:42">
      <c r="D24" s="10"/>
    </row>
    <row r="25" spans="1:42">
      <c r="A25" s="312" t="s">
        <v>44</v>
      </c>
      <c r="B25" s="35" t="s">
        <v>45</v>
      </c>
      <c r="C25" s="36" t="s">
        <v>46</v>
      </c>
      <c r="D25" s="70">
        <f>SUM(E25:AP25)</f>
        <v>1066795</v>
      </c>
      <c r="E25" s="75">
        <f t="shared" ref="E25:AP25" si="6">SUM(E26:E37)</f>
        <v>0</v>
      </c>
      <c r="F25" s="70">
        <f t="shared" si="6"/>
        <v>0</v>
      </c>
      <c r="G25" s="76">
        <f t="shared" si="6"/>
        <v>0</v>
      </c>
      <c r="H25" s="75">
        <f t="shared" si="6"/>
        <v>3768</v>
      </c>
      <c r="I25" s="70">
        <f t="shared" si="6"/>
        <v>16024</v>
      </c>
      <c r="J25" s="75">
        <f t="shared" si="6"/>
        <v>31223</v>
      </c>
      <c r="K25" s="70">
        <f t="shared" si="6"/>
        <v>34854</v>
      </c>
      <c r="L25" s="75">
        <f t="shared" si="6"/>
        <v>30948</v>
      </c>
      <c r="M25" s="70">
        <f t="shared" si="6"/>
        <v>39798</v>
      </c>
      <c r="N25" s="75">
        <f t="shared" si="6"/>
        <v>32747</v>
      </c>
      <c r="O25" s="70">
        <f t="shared" si="6"/>
        <v>33037</v>
      </c>
      <c r="P25" s="75">
        <f t="shared" si="6"/>
        <v>43301</v>
      </c>
      <c r="Q25" s="70">
        <f t="shared" si="6"/>
        <v>26618</v>
      </c>
      <c r="R25" s="75">
        <f t="shared" si="6"/>
        <v>44595</v>
      </c>
      <c r="S25" s="155">
        <f t="shared" si="6"/>
        <v>33847</v>
      </c>
      <c r="T25" s="155">
        <f t="shared" si="6"/>
        <v>52652</v>
      </c>
      <c r="U25" s="156">
        <f t="shared" si="6"/>
        <v>33831</v>
      </c>
      <c r="V25" s="157">
        <f t="shared" si="6"/>
        <v>26717</v>
      </c>
      <c r="W25" s="157">
        <f t="shared" si="6"/>
        <v>41872</v>
      </c>
      <c r="X25" s="155">
        <f t="shared" si="6"/>
        <v>50350</v>
      </c>
      <c r="Y25" s="158">
        <f t="shared" si="6"/>
        <v>33663</v>
      </c>
      <c r="Z25" s="158">
        <f t="shared" si="6"/>
        <v>54897</v>
      </c>
      <c r="AA25" s="158">
        <f t="shared" si="6"/>
        <v>32407</v>
      </c>
      <c r="AB25" s="158">
        <f t="shared" si="6"/>
        <v>37644</v>
      </c>
      <c r="AC25" s="158">
        <f t="shared" si="6"/>
        <v>25027</v>
      </c>
      <c r="AD25" s="158">
        <f t="shared" si="6"/>
        <v>16852</v>
      </c>
      <c r="AE25" s="158">
        <f t="shared" si="6"/>
        <v>10288</v>
      </c>
      <c r="AF25" s="158">
        <f t="shared" si="6"/>
        <v>0</v>
      </c>
      <c r="AG25" s="158">
        <f t="shared" si="6"/>
        <v>26881</v>
      </c>
      <c r="AH25" s="158">
        <f t="shared" si="6"/>
        <v>46178</v>
      </c>
      <c r="AI25" s="158">
        <f t="shared" si="6"/>
        <v>34590</v>
      </c>
      <c r="AJ25" s="158">
        <f t="shared" si="6"/>
        <v>10545</v>
      </c>
      <c r="AK25" s="158">
        <f t="shared" si="6"/>
        <v>45534</v>
      </c>
      <c r="AL25" s="158">
        <f t="shared" si="6"/>
        <v>42474</v>
      </c>
      <c r="AM25" s="158">
        <f t="shared" si="6"/>
        <v>73633</v>
      </c>
      <c r="AN25" s="158">
        <f t="shared" si="6"/>
        <v>0</v>
      </c>
      <c r="AO25" s="158">
        <f t="shared" si="6"/>
        <v>0</v>
      </c>
      <c r="AP25" s="158">
        <f t="shared" si="6"/>
        <v>0</v>
      </c>
    </row>
    <row r="26" spans="1:42">
      <c r="A26" s="313"/>
      <c r="B26" s="37" t="s">
        <v>47</v>
      </c>
      <c r="C26" s="38" t="s">
        <v>48</v>
      </c>
      <c r="D26" s="73">
        <f t="shared" ref="D26:D30" si="7">SUM(E26:AP26)</f>
        <v>175349</v>
      </c>
      <c r="E26" s="55"/>
      <c r="F26" s="55"/>
      <c r="G26" s="55"/>
      <c r="H26" s="55"/>
      <c r="I26" s="55">
        <v>138</v>
      </c>
      <c r="J26" s="55">
        <v>276</v>
      </c>
      <c r="K26" s="55"/>
      <c r="L26" s="55"/>
      <c r="M26" s="55">
        <v>733</v>
      </c>
      <c r="N26" s="55">
        <v>1058</v>
      </c>
      <c r="O26" s="55"/>
      <c r="P26" s="55">
        <v>549</v>
      </c>
      <c r="Q26" s="55">
        <v>779</v>
      </c>
      <c r="R26" s="55">
        <v>8830</v>
      </c>
      <c r="S26" s="55">
        <v>22124</v>
      </c>
      <c r="T26" s="55">
        <v>18027</v>
      </c>
      <c r="U26" s="55">
        <v>20533</v>
      </c>
      <c r="V26" s="55">
        <v>1698</v>
      </c>
      <c r="W26" s="55"/>
      <c r="X26" s="55"/>
      <c r="Y26" s="55">
        <v>9565</v>
      </c>
      <c r="Z26" s="55">
        <v>49065</v>
      </c>
      <c r="AA26" s="55">
        <v>27719</v>
      </c>
      <c r="AB26" s="55">
        <v>959</v>
      </c>
      <c r="AC26" s="55">
        <v>2517</v>
      </c>
      <c r="AD26" s="55">
        <v>2065</v>
      </c>
      <c r="AE26" s="55">
        <v>688</v>
      </c>
      <c r="AF26" s="55"/>
      <c r="AG26" s="55">
        <v>320</v>
      </c>
      <c r="AH26" s="55"/>
      <c r="AI26" s="55">
        <v>1367</v>
      </c>
      <c r="AJ26" s="55">
        <v>2150</v>
      </c>
      <c r="AK26" s="55">
        <v>2801</v>
      </c>
      <c r="AL26" s="55">
        <v>498</v>
      </c>
      <c r="AM26" s="55">
        <v>890</v>
      </c>
      <c r="AN26" s="55"/>
      <c r="AO26" s="55"/>
      <c r="AP26" s="55"/>
    </row>
    <row r="27" spans="1:42">
      <c r="A27" s="313"/>
      <c r="B27" s="37" t="s">
        <v>49</v>
      </c>
      <c r="C27" s="38" t="s">
        <v>48</v>
      </c>
      <c r="D27" s="73">
        <f t="shared" si="7"/>
        <v>67712</v>
      </c>
      <c r="E27" s="55"/>
      <c r="F27" s="55"/>
      <c r="G27" s="55"/>
      <c r="H27" s="55">
        <v>48</v>
      </c>
      <c r="I27" s="55">
        <v>46</v>
      </c>
      <c r="J27" s="55">
        <v>230</v>
      </c>
      <c r="K27" s="55"/>
      <c r="L27" s="55"/>
      <c r="M27" s="55"/>
      <c r="N27" s="55">
        <v>48</v>
      </c>
      <c r="O27" s="55"/>
      <c r="P27" s="55"/>
      <c r="Q27" s="55"/>
      <c r="R27" s="55">
        <v>5060</v>
      </c>
      <c r="S27" s="55">
        <v>11408</v>
      </c>
      <c r="T27" s="55">
        <v>33040</v>
      </c>
      <c r="U27" s="55">
        <v>9630</v>
      </c>
      <c r="V27" s="55">
        <v>46</v>
      </c>
      <c r="W27" s="55"/>
      <c r="X27" s="55"/>
      <c r="Y27" s="55">
        <v>920</v>
      </c>
      <c r="Z27" s="55">
        <v>4282</v>
      </c>
      <c r="AA27" s="55">
        <v>2538</v>
      </c>
      <c r="AB27" s="55"/>
      <c r="AC27" s="55"/>
      <c r="AD27" s="55">
        <v>48</v>
      </c>
      <c r="AE27" s="55"/>
      <c r="AF27" s="55"/>
      <c r="AG27" s="55"/>
      <c r="AH27" s="55"/>
      <c r="AI27" s="55"/>
      <c r="AJ27" s="55"/>
      <c r="AK27" s="55">
        <v>368</v>
      </c>
      <c r="AL27" s="55"/>
      <c r="AM27" s="55"/>
      <c r="AN27" s="55"/>
      <c r="AO27" s="55"/>
      <c r="AP27" s="55"/>
    </row>
    <row r="28" spans="1:42">
      <c r="A28" s="313"/>
      <c r="B28" s="37" t="s">
        <v>50</v>
      </c>
      <c r="C28" s="38" t="s">
        <v>48</v>
      </c>
      <c r="D28" s="73">
        <f t="shared" si="7"/>
        <v>192332</v>
      </c>
      <c r="E28" s="55"/>
      <c r="F28" s="55"/>
      <c r="G28" s="55"/>
      <c r="H28" s="55"/>
      <c r="I28" s="55">
        <v>14401</v>
      </c>
      <c r="J28" s="55">
        <v>27500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>
        <v>543</v>
      </c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>
        <v>36754</v>
      </c>
      <c r="AL28" s="55">
        <v>41156</v>
      </c>
      <c r="AM28" s="55">
        <v>71978</v>
      </c>
      <c r="AN28" s="55"/>
      <c r="AO28" s="55"/>
      <c r="AP28" s="55"/>
    </row>
    <row r="29" spans="1:42">
      <c r="A29" s="313"/>
      <c r="B29" s="37" t="s">
        <v>51</v>
      </c>
      <c r="C29" s="38" t="s">
        <v>48</v>
      </c>
      <c r="D29" s="73">
        <f t="shared" si="7"/>
        <v>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</row>
    <row r="30" spans="1:42">
      <c r="A30" s="313"/>
      <c r="B30" s="37" t="s">
        <v>52</v>
      </c>
      <c r="C30" s="38" t="s">
        <v>48</v>
      </c>
      <c r="D30" s="73">
        <f t="shared" si="7"/>
        <v>4348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>
        <v>4348</v>
      </c>
      <c r="AL30" s="55"/>
      <c r="AM30" s="55"/>
      <c r="AN30" s="55"/>
      <c r="AO30" s="55"/>
      <c r="AP30" s="55"/>
    </row>
    <row r="31" spans="1:42">
      <c r="A31" s="313"/>
      <c r="B31" s="37" t="s">
        <v>53</v>
      </c>
      <c r="C31" s="38" t="s">
        <v>48</v>
      </c>
      <c r="D31" s="73">
        <f>SUM(E31:AP31)</f>
        <v>472692</v>
      </c>
      <c r="E31" s="55"/>
      <c r="F31" s="55"/>
      <c r="G31" s="55"/>
      <c r="H31" s="55">
        <v>1980</v>
      </c>
      <c r="I31" s="55">
        <v>380</v>
      </c>
      <c r="J31" s="55"/>
      <c r="K31" s="55">
        <v>22110</v>
      </c>
      <c r="L31" s="55">
        <v>19140</v>
      </c>
      <c r="M31" s="55">
        <v>38207</v>
      </c>
      <c r="N31" s="55">
        <v>29713</v>
      </c>
      <c r="O31" s="55">
        <v>22885</v>
      </c>
      <c r="P31" s="55">
        <v>28566</v>
      </c>
      <c r="Q31" s="55">
        <v>22747</v>
      </c>
      <c r="R31" s="55">
        <v>18285</v>
      </c>
      <c r="S31" s="55"/>
      <c r="T31" s="55"/>
      <c r="U31" s="55"/>
      <c r="V31" s="55">
        <v>14375</v>
      </c>
      <c r="W31" s="55">
        <v>30406</v>
      </c>
      <c r="X31" s="55">
        <v>37858</v>
      </c>
      <c r="Y31" s="55">
        <v>17457</v>
      </c>
      <c r="Z31" s="55"/>
      <c r="AA31" s="55"/>
      <c r="AB31" s="55">
        <v>30337</v>
      </c>
      <c r="AC31" s="55">
        <v>20194</v>
      </c>
      <c r="AD31" s="55">
        <v>12627</v>
      </c>
      <c r="AE31" s="55">
        <v>8280</v>
      </c>
      <c r="AF31" s="55"/>
      <c r="AG31" s="55">
        <v>20539</v>
      </c>
      <c r="AH31" s="55">
        <v>41462</v>
      </c>
      <c r="AI31" s="55">
        <v>28727</v>
      </c>
      <c r="AJ31" s="55">
        <v>6417</v>
      </c>
      <c r="AK31" s="55"/>
      <c r="AL31" s="55"/>
      <c r="AM31" s="55"/>
      <c r="AN31" s="55"/>
      <c r="AO31" s="55"/>
      <c r="AP31" s="55"/>
    </row>
    <row r="32" spans="1:42">
      <c r="A32" s="313"/>
      <c r="B32" s="37" t="s">
        <v>54</v>
      </c>
      <c r="C32" s="38" t="s">
        <v>48</v>
      </c>
      <c r="D32" s="73">
        <f t="shared" ref="D32:D37" si="8">SUM(E32:AP32)</f>
        <v>119468</v>
      </c>
      <c r="E32" s="55"/>
      <c r="F32" s="55"/>
      <c r="G32" s="55"/>
      <c r="H32" s="55">
        <v>1740</v>
      </c>
      <c r="I32" s="55">
        <v>440</v>
      </c>
      <c r="J32" s="55"/>
      <c r="K32" s="55">
        <v>12744</v>
      </c>
      <c r="L32" s="55">
        <v>11808</v>
      </c>
      <c r="M32" s="55"/>
      <c r="N32" s="55">
        <v>828</v>
      </c>
      <c r="O32" s="55">
        <v>10152</v>
      </c>
      <c r="P32" s="55">
        <v>13482</v>
      </c>
      <c r="Q32" s="55">
        <v>1332</v>
      </c>
      <c r="R32" s="55">
        <v>12420</v>
      </c>
      <c r="S32" s="55"/>
      <c r="T32" s="55"/>
      <c r="U32" s="55"/>
      <c r="V32" s="55">
        <v>9990</v>
      </c>
      <c r="W32" s="55">
        <v>11466</v>
      </c>
      <c r="X32" s="55">
        <v>12492</v>
      </c>
      <c r="Y32" s="55">
        <v>5526</v>
      </c>
      <c r="Z32" s="55"/>
      <c r="AA32" s="55"/>
      <c r="AB32" s="55">
        <v>5292</v>
      </c>
      <c r="AC32" s="55"/>
      <c r="AD32" s="55"/>
      <c r="AE32" s="55"/>
      <c r="AF32" s="55"/>
      <c r="AG32" s="55">
        <v>3888</v>
      </c>
      <c r="AH32" s="55">
        <v>4716</v>
      </c>
      <c r="AI32" s="55">
        <v>1152</v>
      </c>
      <c r="AJ32" s="55"/>
      <c r="AK32" s="55"/>
      <c r="AL32" s="55"/>
      <c r="AM32" s="55"/>
      <c r="AN32" s="55"/>
      <c r="AO32" s="55"/>
      <c r="AP32" s="55"/>
    </row>
    <row r="33" spans="1:42">
      <c r="A33" s="313"/>
      <c r="B33" s="37" t="s">
        <v>55</v>
      </c>
      <c r="C33" s="38" t="s">
        <v>48</v>
      </c>
      <c r="D33" s="73">
        <f t="shared" si="8"/>
        <v>18150</v>
      </c>
      <c r="E33" s="55"/>
      <c r="F33" s="55"/>
      <c r="G33" s="55"/>
      <c r="H33" s="55"/>
      <c r="I33" s="55"/>
      <c r="J33" s="55"/>
      <c r="K33" s="55"/>
      <c r="L33" s="55"/>
      <c r="M33" s="55">
        <v>858</v>
      </c>
      <c r="N33" s="55">
        <v>1100</v>
      </c>
      <c r="O33" s="55"/>
      <c r="P33" s="55">
        <v>704</v>
      </c>
      <c r="Q33" s="55">
        <v>1760</v>
      </c>
      <c r="R33" s="55"/>
      <c r="S33" s="55"/>
      <c r="T33" s="55"/>
      <c r="U33" s="55"/>
      <c r="V33" s="55">
        <v>418</v>
      </c>
      <c r="W33" s="55"/>
      <c r="X33" s="55"/>
      <c r="Y33" s="55"/>
      <c r="Z33" s="55"/>
      <c r="AA33" s="55"/>
      <c r="AB33" s="55">
        <v>1056</v>
      </c>
      <c r="AC33" s="55">
        <v>2266</v>
      </c>
      <c r="AD33" s="55">
        <v>2112</v>
      </c>
      <c r="AE33" s="55">
        <v>1320</v>
      </c>
      <c r="AF33" s="55"/>
      <c r="AG33" s="55">
        <v>2134</v>
      </c>
      <c r="AH33" s="55"/>
      <c r="AI33" s="55">
        <v>3344</v>
      </c>
      <c r="AJ33" s="55">
        <v>1078</v>
      </c>
      <c r="AK33" s="55"/>
      <c r="AL33" s="55"/>
      <c r="AM33" s="55"/>
      <c r="AN33" s="55"/>
      <c r="AO33" s="55"/>
      <c r="AP33" s="55"/>
    </row>
    <row r="34" spans="1:42">
      <c r="A34" s="313"/>
      <c r="B34" s="37" t="s">
        <v>56</v>
      </c>
      <c r="C34" s="38" t="s">
        <v>48</v>
      </c>
      <c r="D34" s="73">
        <f t="shared" si="8"/>
        <v>0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</row>
    <row r="35" spans="1:42">
      <c r="A35" s="313"/>
      <c r="B35" s="37" t="s">
        <v>57</v>
      </c>
      <c r="C35" s="38" t="s">
        <v>48</v>
      </c>
      <c r="D35" s="73">
        <f t="shared" si="8"/>
        <v>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</row>
    <row r="36" spans="1:42">
      <c r="A36" s="313"/>
      <c r="B36" s="37" t="s">
        <v>58</v>
      </c>
      <c r="C36" s="38" t="s">
        <v>48</v>
      </c>
      <c r="D36" s="73">
        <f t="shared" si="8"/>
        <v>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</row>
    <row r="37" spans="1:42">
      <c r="A37" s="314"/>
      <c r="B37" s="39" t="s">
        <v>59</v>
      </c>
      <c r="C37" s="40" t="s">
        <v>48</v>
      </c>
      <c r="D37" s="73">
        <f t="shared" si="8"/>
        <v>16744</v>
      </c>
      <c r="E37" s="55"/>
      <c r="F37" s="57"/>
      <c r="G37" s="57"/>
      <c r="H37" s="57"/>
      <c r="I37" s="57">
        <v>619</v>
      </c>
      <c r="J37" s="57">
        <v>3217</v>
      </c>
      <c r="K37" s="57"/>
      <c r="L37" s="57"/>
      <c r="M37" s="57"/>
      <c r="N37" s="57"/>
      <c r="O37" s="57"/>
      <c r="P37" s="57"/>
      <c r="Q37" s="57"/>
      <c r="R37" s="57"/>
      <c r="S37" s="57">
        <v>315</v>
      </c>
      <c r="T37" s="57">
        <v>1585</v>
      </c>
      <c r="U37" s="57">
        <v>3125</v>
      </c>
      <c r="V37" s="57">
        <v>190</v>
      </c>
      <c r="W37" s="57"/>
      <c r="X37" s="57"/>
      <c r="Y37" s="57">
        <v>195</v>
      </c>
      <c r="Z37" s="57">
        <v>1550</v>
      </c>
      <c r="AA37" s="57">
        <v>2150</v>
      </c>
      <c r="AB37" s="57"/>
      <c r="AC37" s="57">
        <v>50</v>
      </c>
      <c r="AD37" s="57"/>
      <c r="AE37" s="57"/>
      <c r="AF37" s="57"/>
      <c r="AG37" s="57"/>
      <c r="AH37" s="57"/>
      <c r="AI37" s="57"/>
      <c r="AJ37" s="57">
        <v>900</v>
      </c>
      <c r="AK37" s="57">
        <v>1263</v>
      </c>
      <c r="AL37" s="57">
        <v>820</v>
      </c>
      <c r="AM37" s="57">
        <v>765</v>
      </c>
      <c r="AN37" s="57"/>
      <c r="AO37" s="57"/>
      <c r="AP37" s="57"/>
    </row>
    <row r="38" spans="1:42">
      <c r="A38" s="164"/>
      <c r="B38" s="94" t="s">
        <v>149</v>
      </c>
      <c r="C38" s="166"/>
      <c r="D38" s="169">
        <f t="shared" ref="D38:AP38" si="9">D36/D25</f>
        <v>0</v>
      </c>
      <c r="E38" s="170" t="e">
        <f t="shared" si="9"/>
        <v>#DIV/0!</v>
      </c>
      <c r="F38" s="170" t="e">
        <f t="shared" si="9"/>
        <v>#DIV/0!</v>
      </c>
      <c r="G38" s="170" t="e">
        <f t="shared" si="9"/>
        <v>#DIV/0!</v>
      </c>
      <c r="H38" s="170">
        <f t="shared" si="9"/>
        <v>0</v>
      </c>
      <c r="I38" s="170">
        <f t="shared" si="9"/>
        <v>0</v>
      </c>
      <c r="J38" s="170">
        <f t="shared" si="9"/>
        <v>0</v>
      </c>
      <c r="K38" s="170">
        <f t="shared" si="9"/>
        <v>0</v>
      </c>
      <c r="L38" s="170">
        <f t="shared" si="9"/>
        <v>0</v>
      </c>
      <c r="M38" s="170">
        <f t="shared" si="9"/>
        <v>0</v>
      </c>
      <c r="N38" s="170">
        <f t="shared" si="9"/>
        <v>0</v>
      </c>
      <c r="O38" s="170">
        <f t="shared" si="9"/>
        <v>0</v>
      </c>
      <c r="P38" s="170">
        <f t="shared" si="9"/>
        <v>0</v>
      </c>
      <c r="Q38" s="170">
        <f t="shared" si="9"/>
        <v>0</v>
      </c>
      <c r="R38" s="170">
        <f t="shared" si="9"/>
        <v>0</v>
      </c>
      <c r="S38" s="170">
        <f t="shared" si="9"/>
        <v>0</v>
      </c>
      <c r="T38" s="170">
        <f t="shared" si="9"/>
        <v>0</v>
      </c>
      <c r="U38" s="170">
        <f t="shared" si="9"/>
        <v>0</v>
      </c>
      <c r="V38" s="170">
        <f t="shared" si="9"/>
        <v>0</v>
      </c>
      <c r="W38" s="170">
        <f t="shared" si="9"/>
        <v>0</v>
      </c>
      <c r="X38" s="170">
        <f t="shared" si="9"/>
        <v>0</v>
      </c>
      <c r="Y38" s="170">
        <f t="shared" si="9"/>
        <v>0</v>
      </c>
      <c r="Z38" s="170">
        <f t="shared" si="9"/>
        <v>0</v>
      </c>
      <c r="AA38" s="170">
        <f t="shared" si="9"/>
        <v>0</v>
      </c>
      <c r="AB38" s="170">
        <f t="shared" si="9"/>
        <v>0</v>
      </c>
      <c r="AC38" s="170">
        <f t="shared" si="9"/>
        <v>0</v>
      </c>
      <c r="AD38" s="170">
        <f t="shared" si="9"/>
        <v>0</v>
      </c>
      <c r="AE38" s="170">
        <f t="shared" si="9"/>
        <v>0</v>
      </c>
      <c r="AF38" s="170" t="e">
        <f t="shared" si="9"/>
        <v>#DIV/0!</v>
      </c>
      <c r="AG38" s="170">
        <f t="shared" si="9"/>
        <v>0</v>
      </c>
      <c r="AH38" s="170">
        <f t="shared" si="9"/>
        <v>0</v>
      </c>
      <c r="AI38" s="170">
        <f t="shared" si="9"/>
        <v>0</v>
      </c>
      <c r="AJ38" s="170">
        <f t="shared" si="9"/>
        <v>0</v>
      </c>
      <c r="AK38" s="170">
        <f t="shared" si="9"/>
        <v>0</v>
      </c>
      <c r="AL38" s="170">
        <f t="shared" si="9"/>
        <v>0</v>
      </c>
      <c r="AM38" s="170">
        <f t="shared" si="9"/>
        <v>0</v>
      </c>
      <c r="AN38" s="170" t="e">
        <f t="shared" si="9"/>
        <v>#DIV/0!</v>
      </c>
      <c r="AO38" s="170" t="e">
        <f t="shared" si="9"/>
        <v>#DIV/0!</v>
      </c>
      <c r="AP38" s="170" t="e">
        <f t="shared" si="9"/>
        <v>#DIV/0!</v>
      </c>
    </row>
    <row r="39" spans="1:42">
      <c r="A39" s="33"/>
      <c r="C39" s="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</row>
    <row r="40" spans="1:42">
      <c r="A40" s="324" t="s">
        <v>60</v>
      </c>
      <c r="B40" s="50" t="s">
        <v>61</v>
      </c>
      <c r="C40" s="91" t="s">
        <v>62</v>
      </c>
      <c r="D40" s="81">
        <f>SUM(E40:AI40)</f>
        <v>332000</v>
      </c>
      <c r="E40" s="86">
        <v>3000</v>
      </c>
      <c r="F40" s="86">
        <v>1000</v>
      </c>
      <c r="G40" s="86">
        <v>7000</v>
      </c>
      <c r="H40" s="86">
        <v>10000</v>
      </c>
      <c r="I40" s="86">
        <v>13000</v>
      </c>
      <c r="J40" s="86">
        <v>16000</v>
      </c>
      <c r="K40" s="86">
        <v>9000</v>
      </c>
      <c r="L40" s="86">
        <v>9000</v>
      </c>
      <c r="M40" s="86">
        <v>10000</v>
      </c>
      <c r="N40" s="86">
        <v>10000</v>
      </c>
      <c r="O40" s="86">
        <v>9000</v>
      </c>
      <c r="P40" s="86">
        <v>9000</v>
      </c>
      <c r="Q40" s="86">
        <v>10000</v>
      </c>
      <c r="R40" s="86">
        <v>13000</v>
      </c>
      <c r="S40" s="86">
        <v>14000</v>
      </c>
      <c r="T40" s="86">
        <v>14000</v>
      </c>
      <c r="U40" s="86">
        <v>15000</v>
      </c>
      <c r="V40" s="86">
        <v>14000</v>
      </c>
      <c r="W40" s="86">
        <v>10000</v>
      </c>
      <c r="X40" s="86">
        <v>9000</v>
      </c>
      <c r="Y40" s="86">
        <v>13000</v>
      </c>
      <c r="Z40" s="86">
        <v>11000</v>
      </c>
      <c r="AA40" s="86">
        <v>14000</v>
      </c>
      <c r="AB40" s="86">
        <v>14000</v>
      </c>
      <c r="AC40" s="86">
        <v>11000</v>
      </c>
      <c r="AD40" s="86">
        <v>11000</v>
      </c>
      <c r="AE40" s="86">
        <v>12000</v>
      </c>
      <c r="AF40" s="86">
        <v>8000</v>
      </c>
      <c r="AG40" s="86">
        <v>14000</v>
      </c>
      <c r="AH40" s="86">
        <v>8000</v>
      </c>
      <c r="AI40" s="86">
        <v>11000</v>
      </c>
      <c r="AJ40" s="86">
        <v>13000</v>
      </c>
      <c r="AK40" s="86">
        <v>16000</v>
      </c>
      <c r="AL40" s="86">
        <v>13000</v>
      </c>
      <c r="AM40" s="86">
        <v>13000</v>
      </c>
      <c r="AN40" s="86">
        <v>7000</v>
      </c>
      <c r="AO40" s="86">
        <v>5000</v>
      </c>
      <c r="AP40" s="86">
        <v>0</v>
      </c>
    </row>
    <row r="41" spans="1:42">
      <c r="A41" s="325"/>
      <c r="B41" s="39" t="s">
        <v>63</v>
      </c>
      <c r="C41" s="92" t="s">
        <v>62</v>
      </c>
      <c r="D41" s="82">
        <f>SUM(E41:AI41)</f>
        <v>1300</v>
      </c>
      <c r="E41" s="87">
        <v>0</v>
      </c>
      <c r="F41" s="87"/>
      <c r="G41" s="87">
        <v>0</v>
      </c>
      <c r="H41" s="87">
        <v>300</v>
      </c>
      <c r="I41" s="87">
        <v>0</v>
      </c>
      <c r="J41" s="87">
        <v>0</v>
      </c>
      <c r="K41" s="87">
        <v>0</v>
      </c>
      <c r="L41" s="87">
        <v>300</v>
      </c>
      <c r="M41" s="87">
        <v>0</v>
      </c>
      <c r="N41" s="87">
        <v>0</v>
      </c>
      <c r="O41" s="87">
        <v>0</v>
      </c>
      <c r="P41" s="87"/>
      <c r="Q41" s="87">
        <v>0</v>
      </c>
      <c r="R41" s="87">
        <v>0</v>
      </c>
      <c r="S41" s="87">
        <v>0</v>
      </c>
      <c r="T41" s="87"/>
      <c r="U41" s="87"/>
      <c r="V41" s="87">
        <v>0</v>
      </c>
      <c r="W41" s="87">
        <v>0</v>
      </c>
      <c r="X41" s="87">
        <v>200</v>
      </c>
      <c r="Y41" s="87"/>
      <c r="Z41" s="87"/>
      <c r="AA41" s="87">
        <v>300</v>
      </c>
      <c r="AB41" s="87">
        <v>0</v>
      </c>
      <c r="AC41" s="87"/>
      <c r="AD41" s="87">
        <v>0</v>
      </c>
      <c r="AE41" s="87">
        <v>0</v>
      </c>
      <c r="AF41" s="87">
        <v>0</v>
      </c>
      <c r="AG41" s="87"/>
      <c r="AH41" s="87">
        <v>200</v>
      </c>
      <c r="AI41" s="87">
        <v>0</v>
      </c>
      <c r="AJ41" s="87">
        <v>0</v>
      </c>
      <c r="AK41" s="87">
        <v>0</v>
      </c>
      <c r="AL41" s="87">
        <v>0</v>
      </c>
      <c r="AM41" s="87">
        <v>0</v>
      </c>
      <c r="AN41" s="87">
        <v>0</v>
      </c>
      <c r="AO41" s="87">
        <v>200</v>
      </c>
      <c r="AP41" s="87">
        <v>0</v>
      </c>
    </row>
    <row r="43" spans="1:42">
      <c r="W43" s="10"/>
    </row>
    <row r="44" spans="1:42" ht="13.5" customHeight="1"/>
    <row r="45" spans="1:42" ht="15" customHeight="1">
      <c r="A45" s="312" t="s">
        <v>64</v>
      </c>
      <c r="B45" s="93" t="s">
        <v>65</v>
      </c>
      <c r="C45" s="47" t="s">
        <v>8</v>
      </c>
      <c r="D45" s="83">
        <f>SUM(E45:AI45)</f>
        <v>4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4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8">
        <v>0</v>
      </c>
      <c r="AH45" s="88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  <c r="AN45" s="88">
        <v>0</v>
      </c>
      <c r="AO45" s="88">
        <v>0</v>
      </c>
      <c r="AP45" s="88">
        <v>0</v>
      </c>
    </row>
    <row r="46" spans="1:42">
      <c r="A46" s="313"/>
      <c r="B46" s="94" t="s">
        <v>66</v>
      </c>
      <c r="C46" s="38" t="s">
        <v>8</v>
      </c>
      <c r="D46" s="84">
        <f>SUM(E46:AI46)</f>
        <v>0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  <c r="AN46" s="89">
        <v>0</v>
      </c>
      <c r="AO46" s="89">
        <v>0</v>
      </c>
      <c r="AP46" s="89">
        <v>0</v>
      </c>
    </row>
    <row r="47" spans="1:42">
      <c r="A47" s="313"/>
      <c r="B47" s="94" t="s">
        <v>67</v>
      </c>
      <c r="C47" s="38" t="s">
        <v>8</v>
      </c>
      <c r="D47" s="84">
        <f>SUM(E47:AI47)</f>
        <v>4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4</v>
      </c>
      <c r="L47" s="89">
        <v>0</v>
      </c>
      <c r="M47" s="89">
        <v>0</v>
      </c>
      <c r="N47" s="89">
        <v>0</v>
      </c>
      <c r="O47" s="89">
        <v>0</v>
      </c>
      <c r="P47" s="89"/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</row>
    <row r="48" spans="1:42">
      <c r="A48" s="313"/>
      <c r="B48" s="95" t="s">
        <v>68</v>
      </c>
      <c r="C48" s="40" t="s">
        <v>8</v>
      </c>
      <c r="D48" s="84">
        <f>SUM(E48:AI48)</f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90">
        <v>0</v>
      </c>
      <c r="AJ48" s="90">
        <v>0</v>
      </c>
      <c r="AK48" s="90">
        <v>0</v>
      </c>
      <c r="AL48" s="90">
        <v>0</v>
      </c>
      <c r="AM48" s="90">
        <v>0</v>
      </c>
      <c r="AN48" s="90">
        <v>0</v>
      </c>
      <c r="AO48" s="90">
        <v>0</v>
      </c>
      <c r="AP48" s="90">
        <v>0</v>
      </c>
    </row>
    <row r="49" spans="1:42" ht="15" customHeight="1">
      <c r="A49" s="313"/>
      <c r="B49" s="93" t="s">
        <v>69</v>
      </c>
      <c r="C49" s="91" t="s">
        <v>48</v>
      </c>
      <c r="D49" s="85">
        <f>SUM(E49:Y49)</f>
        <v>167000</v>
      </c>
      <c r="E49" s="86">
        <v>0</v>
      </c>
      <c r="F49" s="86">
        <v>0</v>
      </c>
      <c r="G49" s="86">
        <v>0</v>
      </c>
      <c r="H49" s="86">
        <v>0</v>
      </c>
      <c r="I49" s="86">
        <v>4000</v>
      </c>
      <c r="J49" s="86">
        <v>6000</v>
      </c>
      <c r="K49" s="86">
        <v>8000</v>
      </c>
      <c r="L49" s="86">
        <v>6000</v>
      </c>
      <c r="M49" s="86">
        <v>10000</v>
      </c>
      <c r="N49" s="86">
        <v>8000</v>
      </c>
      <c r="O49" s="86">
        <v>0</v>
      </c>
      <c r="P49" s="86">
        <v>15000</v>
      </c>
      <c r="Q49" s="86">
        <v>8000</v>
      </c>
      <c r="R49" s="86">
        <v>23000</v>
      </c>
      <c r="S49" s="86">
        <v>30000</v>
      </c>
      <c r="T49" s="86">
        <v>30000</v>
      </c>
      <c r="U49" s="86">
        <v>6000</v>
      </c>
      <c r="V49" s="86"/>
      <c r="W49" s="86">
        <v>5000</v>
      </c>
      <c r="X49" s="86">
        <v>5000</v>
      </c>
      <c r="Y49" s="86">
        <v>3000</v>
      </c>
      <c r="Z49" s="86">
        <v>27000</v>
      </c>
      <c r="AA49" s="86">
        <v>20000</v>
      </c>
      <c r="AB49" s="86">
        <v>0</v>
      </c>
      <c r="AC49" s="86"/>
      <c r="AD49" s="86"/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6">
        <v>0</v>
      </c>
      <c r="AK49" s="86">
        <v>22000</v>
      </c>
      <c r="AL49" s="86">
        <v>20000</v>
      </c>
      <c r="AM49" s="86">
        <v>30000</v>
      </c>
      <c r="AN49" s="86">
        <v>0</v>
      </c>
      <c r="AO49" s="86">
        <v>0</v>
      </c>
      <c r="AP49" s="86">
        <v>0</v>
      </c>
    </row>
    <row r="50" spans="1:42">
      <c r="A50" s="314"/>
      <c r="B50" s="95" t="s">
        <v>70</v>
      </c>
      <c r="C50" s="92" t="s">
        <v>48</v>
      </c>
      <c r="D50" s="82">
        <f>SUM(E50:Y50)</f>
        <v>0</v>
      </c>
      <c r="E50" s="87">
        <v>0</v>
      </c>
      <c r="F50" s="87">
        <v>0</v>
      </c>
      <c r="G50" s="87">
        <v>0</v>
      </c>
      <c r="H50" s="87">
        <v>0</v>
      </c>
      <c r="I50" s="87"/>
      <c r="J50" s="87"/>
      <c r="K50" s="87"/>
      <c r="L50" s="87"/>
      <c r="M50" s="87"/>
      <c r="N50" s="87">
        <v>0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>
        <v>0</v>
      </c>
      <c r="AE50" s="87">
        <v>0</v>
      </c>
      <c r="AF50" s="87">
        <v>0</v>
      </c>
      <c r="AG50" s="87">
        <v>0</v>
      </c>
      <c r="AH50" s="87">
        <v>0</v>
      </c>
      <c r="AI50" s="87">
        <v>0</v>
      </c>
      <c r="AJ50" s="87">
        <v>0</v>
      </c>
      <c r="AK50" s="87">
        <v>0</v>
      </c>
      <c r="AL50" s="87">
        <v>0</v>
      </c>
      <c r="AM50" s="87">
        <v>0</v>
      </c>
      <c r="AN50" s="87">
        <v>0</v>
      </c>
      <c r="AO50" s="87">
        <v>0</v>
      </c>
      <c r="AP50" s="87">
        <v>0</v>
      </c>
    </row>
    <row r="51" spans="1:42">
      <c r="B51" s="4"/>
      <c r="C51" s="4"/>
      <c r="D51" s="3"/>
      <c r="E51" s="3"/>
      <c r="G51" s="3"/>
      <c r="I51" s="3"/>
      <c r="K51" s="3"/>
      <c r="M51" s="3"/>
      <c r="O51" s="3"/>
      <c r="Q51" s="3"/>
      <c r="S51" s="3"/>
      <c r="U51" s="3"/>
      <c r="W51" s="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42">
      <c r="A52" s="315" t="s">
        <v>71</v>
      </c>
      <c r="B52" s="50" t="s">
        <v>72</v>
      </c>
      <c r="C52" s="45" t="s">
        <v>73</v>
      </c>
      <c r="D52" s="7" t="s">
        <v>73</v>
      </c>
      <c r="E52" s="7" t="s">
        <v>73</v>
      </c>
      <c r="F52" s="7" t="s">
        <v>73</v>
      </c>
      <c r="G52" s="7" t="s">
        <v>73</v>
      </c>
      <c r="H52" s="7" t="s">
        <v>73</v>
      </c>
      <c r="I52" s="7" t="s">
        <v>73</v>
      </c>
      <c r="J52" s="7" t="s">
        <v>73</v>
      </c>
      <c r="K52" s="7" t="s">
        <v>73</v>
      </c>
      <c r="L52" s="7" t="s">
        <v>73</v>
      </c>
      <c r="M52" s="7" t="s">
        <v>73</v>
      </c>
      <c r="N52" s="7" t="s">
        <v>73</v>
      </c>
      <c r="O52" s="7" t="s">
        <v>73</v>
      </c>
      <c r="P52" s="7" t="s">
        <v>73</v>
      </c>
      <c r="Q52" s="7" t="s">
        <v>73</v>
      </c>
      <c r="R52" s="7" t="s">
        <v>73</v>
      </c>
      <c r="S52" s="7" t="s">
        <v>73</v>
      </c>
      <c r="T52" s="7" t="s">
        <v>73</v>
      </c>
      <c r="U52" s="7" t="s">
        <v>73</v>
      </c>
      <c r="V52" s="7" t="s">
        <v>73</v>
      </c>
      <c r="W52" s="7" t="s">
        <v>73</v>
      </c>
      <c r="X52" s="7" t="s">
        <v>73</v>
      </c>
      <c r="Y52" s="7" t="s">
        <v>73</v>
      </c>
      <c r="Z52" s="7" t="s">
        <v>128</v>
      </c>
      <c r="AA52" s="7" t="s">
        <v>128</v>
      </c>
      <c r="AB52" s="7" t="s">
        <v>128</v>
      </c>
      <c r="AC52" s="7" t="s">
        <v>128</v>
      </c>
      <c r="AD52" s="7" t="s">
        <v>73</v>
      </c>
      <c r="AE52" s="7" t="s">
        <v>128</v>
      </c>
      <c r="AF52" s="7" t="s">
        <v>73</v>
      </c>
      <c r="AG52" s="7" t="s">
        <v>73</v>
      </c>
      <c r="AH52" s="7" t="s">
        <v>73</v>
      </c>
      <c r="AI52" s="7" t="s">
        <v>73</v>
      </c>
      <c r="AJ52" s="7" t="s">
        <v>73</v>
      </c>
      <c r="AK52" s="7" t="s">
        <v>73</v>
      </c>
      <c r="AL52" s="7" t="s">
        <v>73</v>
      </c>
      <c r="AM52" s="7" t="s">
        <v>73</v>
      </c>
      <c r="AN52" s="7" t="s">
        <v>73</v>
      </c>
      <c r="AO52" s="7" t="s">
        <v>73</v>
      </c>
      <c r="AP52" s="7" t="s">
        <v>73</v>
      </c>
    </row>
    <row r="53" spans="1:42">
      <c r="A53" s="316"/>
      <c r="B53" s="37" t="s">
        <v>74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75</v>
      </c>
      <c r="N53" s="8" t="s">
        <v>75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  <c r="AL53" s="8" t="s">
        <v>75</v>
      </c>
      <c r="AM53" s="8" t="s">
        <v>75</v>
      </c>
      <c r="AN53" s="8" t="s">
        <v>75</v>
      </c>
      <c r="AO53" s="8" t="s">
        <v>75</v>
      </c>
      <c r="AP53" s="8" t="s">
        <v>75</v>
      </c>
    </row>
    <row r="54" spans="1:42">
      <c r="A54" s="316"/>
      <c r="B54" s="37" t="s">
        <v>7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/>
      <c r="AG54" s="8"/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</row>
    <row r="55" spans="1:42">
      <c r="A55" s="316"/>
      <c r="B55" s="37" t="s">
        <v>76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/>
      <c r="Q55" s="8"/>
      <c r="R55" s="8"/>
      <c r="S55" s="8"/>
      <c r="T55" s="8" t="s">
        <v>75</v>
      </c>
      <c r="U55" s="8"/>
      <c r="V55" s="8"/>
      <c r="W55" s="8" t="s">
        <v>75</v>
      </c>
      <c r="X55" s="8" t="s">
        <v>75</v>
      </c>
      <c r="Y55" s="8" t="s">
        <v>75</v>
      </c>
      <c r="Z55" s="8"/>
      <c r="AA55" s="8" t="s">
        <v>75</v>
      </c>
      <c r="AB55" s="8" t="s">
        <v>75</v>
      </c>
      <c r="AC55" s="8" t="s">
        <v>75</v>
      </c>
      <c r="AD55" s="8" t="s">
        <v>75</v>
      </c>
      <c r="AE55" s="8"/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</row>
    <row r="56" spans="1:42">
      <c r="A56" s="317"/>
      <c r="B56" s="39" t="s">
        <v>82</v>
      </c>
      <c r="C56" s="52" t="s">
        <v>75</v>
      </c>
      <c r="D56" s="9" t="s">
        <v>75</v>
      </c>
      <c r="E56" s="9" t="s">
        <v>75</v>
      </c>
      <c r="F56" s="9" t="s">
        <v>75</v>
      </c>
      <c r="G56" s="9" t="s">
        <v>75</v>
      </c>
      <c r="H56" s="9" t="s">
        <v>75</v>
      </c>
      <c r="I56" s="9" t="s">
        <v>75</v>
      </c>
      <c r="J56" s="9" t="s">
        <v>75</v>
      </c>
      <c r="K56" s="9" t="s">
        <v>75</v>
      </c>
      <c r="L56" s="9" t="s">
        <v>75</v>
      </c>
      <c r="M56" s="9" t="s">
        <v>75</v>
      </c>
      <c r="N56" s="9" t="s">
        <v>75</v>
      </c>
      <c r="O56" s="9" t="s">
        <v>75</v>
      </c>
      <c r="P56" s="9" t="s">
        <v>75</v>
      </c>
      <c r="Q56" s="9" t="s">
        <v>75</v>
      </c>
      <c r="R56" s="9" t="s">
        <v>75</v>
      </c>
      <c r="S56" s="9" t="s">
        <v>75</v>
      </c>
      <c r="T56" s="9" t="s">
        <v>75</v>
      </c>
      <c r="U56" s="9" t="s">
        <v>75</v>
      </c>
      <c r="V56" s="9" t="s">
        <v>75</v>
      </c>
      <c r="W56" s="9" t="s">
        <v>75</v>
      </c>
      <c r="X56" s="9" t="s">
        <v>75</v>
      </c>
      <c r="Y56" s="9" t="s">
        <v>75</v>
      </c>
      <c r="Z56" s="9" t="s">
        <v>75</v>
      </c>
      <c r="AA56" s="9" t="s">
        <v>75</v>
      </c>
      <c r="AB56" s="9" t="s">
        <v>75</v>
      </c>
      <c r="AC56" s="9" t="s">
        <v>75</v>
      </c>
      <c r="AD56" s="9" t="s">
        <v>75</v>
      </c>
      <c r="AE56" s="9" t="s">
        <v>75</v>
      </c>
      <c r="AF56" s="9" t="s">
        <v>75</v>
      </c>
      <c r="AG56" s="9" t="s">
        <v>75</v>
      </c>
      <c r="AH56" s="9" t="s">
        <v>75</v>
      </c>
      <c r="AI56" s="9" t="s">
        <v>75</v>
      </c>
      <c r="AJ56" s="9" t="s">
        <v>75</v>
      </c>
      <c r="AK56" s="9" t="s">
        <v>75</v>
      </c>
      <c r="AL56" s="9" t="s">
        <v>75</v>
      </c>
      <c r="AM56" s="9" t="s">
        <v>75</v>
      </c>
      <c r="AN56" s="9" t="s">
        <v>75</v>
      </c>
      <c r="AO56" s="9" t="s">
        <v>75</v>
      </c>
      <c r="AP56" s="9" t="s">
        <v>75</v>
      </c>
    </row>
    <row r="58" spans="1:42" ht="15.75">
      <c r="B58" s="53" t="s">
        <v>83</v>
      </c>
      <c r="C58" s="99" t="s">
        <v>84</v>
      </c>
      <c r="D58" s="100">
        <f t="shared" ref="D58:AP58" si="10">SUM(D59:D71)</f>
        <v>26381910.16</v>
      </c>
      <c r="E58" s="101">
        <f t="shared" si="10"/>
        <v>0</v>
      </c>
      <c r="F58" s="101">
        <f>SUM(F59:F71)</f>
        <v>0</v>
      </c>
      <c r="G58" s="101">
        <f t="shared" si="10"/>
        <v>0</v>
      </c>
      <c r="H58" s="101">
        <f t="shared" si="10"/>
        <v>56460</v>
      </c>
      <c r="I58" s="101">
        <f t="shared" si="10"/>
        <v>325544.88</v>
      </c>
      <c r="J58" s="101">
        <f t="shared" si="10"/>
        <v>620636</v>
      </c>
      <c r="K58" s="101">
        <f t="shared" si="10"/>
        <v>547530</v>
      </c>
      <c r="L58" s="101">
        <f t="shared" si="10"/>
        <v>481740</v>
      </c>
      <c r="M58" s="101">
        <f t="shared" si="10"/>
        <v>803423.8</v>
      </c>
      <c r="N58" s="101">
        <f t="shared" si="10"/>
        <v>679527</v>
      </c>
      <c r="O58" s="101">
        <f t="shared" si="10"/>
        <v>536335</v>
      </c>
      <c r="P58" s="101">
        <f t="shared" si="10"/>
        <v>738534.40000000002</v>
      </c>
      <c r="Q58" s="101">
        <f t="shared" si="10"/>
        <v>568239</v>
      </c>
      <c r="R58" s="102">
        <f t="shared" si="10"/>
        <v>1064915</v>
      </c>
      <c r="S58" s="101">
        <f t="shared" si="10"/>
        <v>1450960</v>
      </c>
      <c r="T58" s="100">
        <f t="shared" si="10"/>
        <v>1905230</v>
      </c>
      <c r="U58" s="101">
        <f t="shared" si="10"/>
        <v>1351887.84</v>
      </c>
      <c r="V58" s="101">
        <f t="shared" si="10"/>
        <v>480721.8</v>
      </c>
      <c r="W58" s="101">
        <f t="shared" si="10"/>
        <v>692374</v>
      </c>
      <c r="X58" s="102">
        <f t="shared" si="10"/>
        <v>844222</v>
      </c>
      <c r="Y58" s="101">
        <f t="shared" si="10"/>
        <v>894353</v>
      </c>
      <c r="Z58" s="101">
        <f t="shared" si="10"/>
        <v>2594110</v>
      </c>
      <c r="AA58" s="101">
        <f t="shared" si="10"/>
        <v>1479290</v>
      </c>
      <c r="AB58" s="101">
        <f t="shared" si="10"/>
        <v>727538.6</v>
      </c>
      <c r="AC58" s="101">
        <f t="shared" si="10"/>
        <v>617797.6</v>
      </c>
      <c r="AD58" s="101">
        <f t="shared" si="10"/>
        <v>445134.2</v>
      </c>
      <c r="AE58" s="101">
        <f t="shared" si="10"/>
        <v>254552</v>
      </c>
      <c r="AF58" s="101">
        <f t="shared" si="10"/>
        <v>0</v>
      </c>
      <c r="AG58" s="101">
        <f t="shared" si="10"/>
        <v>546699.4</v>
      </c>
      <c r="AH58" s="101">
        <f t="shared" si="10"/>
        <v>834938</v>
      </c>
      <c r="AI58" s="103">
        <f t="shared" si="10"/>
        <v>625683</v>
      </c>
      <c r="AJ58" s="103">
        <f t="shared" si="10"/>
        <v>236623</v>
      </c>
      <c r="AK58" s="103">
        <f t="shared" si="10"/>
        <v>954705.52</v>
      </c>
      <c r="AL58" s="103">
        <f t="shared" si="10"/>
        <v>890797.27999999991</v>
      </c>
      <c r="AM58" s="103">
        <f t="shared" si="10"/>
        <v>1553520.6399999999</v>
      </c>
      <c r="AN58" s="103">
        <f t="shared" si="10"/>
        <v>0</v>
      </c>
      <c r="AO58" s="103">
        <f t="shared" si="10"/>
        <v>0</v>
      </c>
      <c r="AP58" s="103">
        <f t="shared" si="10"/>
        <v>0</v>
      </c>
    </row>
    <row r="59" spans="1:42">
      <c r="B59" s="96" t="s">
        <v>47</v>
      </c>
      <c r="C59" s="111">
        <v>50</v>
      </c>
      <c r="D59" s="97">
        <f t="shared" ref="D59:AM66" si="11">D26*$C59</f>
        <v>8767450</v>
      </c>
      <c r="E59" s="104">
        <f t="shared" si="11"/>
        <v>0</v>
      </c>
      <c r="F59" s="104">
        <f t="shared" si="11"/>
        <v>0</v>
      </c>
      <c r="G59" s="104">
        <f t="shared" si="11"/>
        <v>0</v>
      </c>
      <c r="H59" s="104">
        <f t="shared" si="11"/>
        <v>0</v>
      </c>
      <c r="I59" s="104">
        <f t="shared" si="11"/>
        <v>6900</v>
      </c>
      <c r="J59" s="104">
        <f t="shared" si="11"/>
        <v>13800</v>
      </c>
      <c r="K59" s="104">
        <f t="shared" si="11"/>
        <v>0</v>
      </c>
      <c r="L59" s="104">
        <f t="shared" si="11"/>
        <v>0</v>
      </c>
      <c r="M59" s="104">
        <f t="shared" si="11"/>
        <v>36650</v>
      </c>
      <c r="N59" s="104">
        <f t="shared" si="11"/>
        <v>52900</v>
      </c>
      <c r="O59" s="104">
        <f t="shared" si="11"/>
        <v>0</v>
      </c>
      <c r="P59" s="104">
        <f t="shared" si="11"/>
        <v>27450</v>
      </c>
      <c r="Q59" s="104">
        <f t="shared" si="11"/>
        <v>38950</v>
      </c>
      <c r="R59" s="104">
        <f t="shared" si="11"/>
        <v>441500</v>
      </c>
      <c r="S59" s="104">
        <f t="shared" si="11"/>
        <v>1106200</v>
      </c>
      <c r="T59" s="104">
        <f t="shared" si="11"/>
        <v>901350</v>
      </c>
      <c r="U59" s="104">
        <f t="shared" si="11"/>
        <v>1026650</v>
      </c>
      <c r="V59" s="104">
        <f t="shared" si="11"/>
        <v>84900</v>
      </c>
      <c r="W59" s="104">
        <f t="shared" si="11"/>
        <v>0</v>
      </c>
      <c r="X59" s="105">
        <f t="shared" si="11"/>
        <v>0</v>
      </c>
      <c r="Y59" s="104">
        <f t="shared" si="11"/>
        <v>478250</v>
      </c>
      <c r="Z59" s="104">
        <f t="shared" si="11"/>
        <v>2453250</v>
      </c>
      <c r="AA59" s="104">
        <f t="shared" si="11"/>
        <v>1385950</v>
      </c>
      <c r="AB59" s="104">
        <f t="shared" si="11"/>
        <v>47950</v>
      </c>
      <c r="AC59" s="104">
        <f t="shared" si="11"/>
        <v>125850</v>
      </c>
      <c r="AD59" s="104">
        <f t="shared" si="11"/>
        <v>103250</v>
      </c>
      <c r="AE59" s="104">
        <f t="shared" si="11"/>
        <v>34400</v>
      </c>
      <c r="AF59" s="104">
        <f t="shared" si="11"/>
        <v>0</v>
      </c>
      <c r="AG59" s="104">
        <f t="shared" si="11"/>
        <v>16000</v>
      </c>
      <c r="AH59" s="104">
        <f t="shared" si="11"/>
        <v>0</v>
      </c>
      <c r="AI59" s="104">
        <f t="shared" si="11"/>
        <v>68350</v>
      </c>
      <c r="AJ59" s="104">
        <f t="shared" si="11"/>
        <v>107500</v>
      </c>
      <c r="AK59" s="104">
        <f t="shared" si="11"/>
        <v>140050</v>
      </c>
      <c r="AL59" s="104">
        <f t="shared" si="11"/>
        <v>24900</v>
      </c>
      <c r="AM59" s="104">
        <f t="shared" si="11"/>
        <v>44500</v>
      </c>
      <c r="AN59" s="104">
        <f t="shared" ref="AN59:AP61" si="12">AN26*$C59</f>
        <v>0</v>
      </c>
      <c r="AO59" s="104">
        <f t="shared" si="12"/>
        <v>0</v>
      </c>
      <c r="AP59" s="104">
        <f t="shared" si="12"/>
        <v>0</v>
      </c>
    </row>
    <row r="60" spans="1:42">
      <c r="B60" s="96" t="s">
        <v>49</v>
      </c>
      <c r="C60" s="111">
        <v>30</v>
      </c>
      <c r="D60" s="97">
        <f t="shared" si="11"/>
        <v>2031360</v>
      </c>
      <c r="E60" s="104">
        <f t="shared" si="11"/>
        <v>0</v>
      </c>
      <c r="F60" s="104">
        <f t="shared" si="11"/>
        <v>0</v>
      </c>
      <c r="G60" s="104">
        <f t="shared" si="11"/>
        <v>0</v>
      </c>
      <c r="H60" s="104">
        <f t="shared" si="11"/>
        <v>1440</v>
      </c>
      <c r="I60" s="104">
        <f t="shared" si="11"/>
        <v>1380</v>
      </c>
      <c r="J60" s="104">
        <f t="shared" si="11"/>
        <v>6900</v>
      </c>
      <c r="K60" s="104">
        <f t="shared" si="11"/>
        <v>0</v>
      </c>
      <c r="L60" s="104">
        <f t="shared" si="11"/>
        <v>0</v>
      </c>
      <c r="M60" s="104">
        <f t="shared" si="11"/>
        <v>0</v>
      </c>
      <c r="N60" s="104">
        <f t="shared" si="11"/>
        <v>1440</v>
      </c>
      <c r="O60" s="104">
        <f t="shared" si="11"/>
        <v>0</v>
      </c>
      <c r="P60" s="104">
        <f t="shared" si="11"/>
        <v>0</v>
      </c>
      <c r="Q60" s="104">
        <f t="shared" si="11"/>
        <v>0</v>
      </c>
      <c r="R60" s="105">
        <f t="shared" si="11"/>
        <v>151800</v>
      </c>
      <c r="S60" s="104">
        <f t="shared" si="11"/>
        <v>342240</v>
      </c>
      <c r="T60" s="106">
        <f t="shared" si="11"/>
        <v>991200</v>
      </c>
      <c r="U60" s="104">
        <f t="shared" si="11"/>
        <v>288900</v>
      </c>
      <c r="V60" s="104">
        <f t="shared" si="11"/>
        <v>1380</v>
      </c>
      <c r="W60" s="104">
        <f t="shared" si="11"/>
        <v>0</v>
      </c>
      <c r="X60" s="105">
        <f t="shared" si="11"/>
        <v>0</v>
      </c>
      <c r="Y60" s="104">
        <f t="shared" si="11"/>
        <v>27600</v>
      </c>
      <c r="Z60" s="104">
        <f t="shared" si="11"/>
        <v>128460</v>
      </c>
      <c r="AA60" s="104">
        <f t="shared" si="11"/>
        <v>76140</v>
      </c>
      <c r="AB60" s="104">
        <f t="shared" si="11"/>
        <v>0</v>
      </c>
      <c r="AC60" s="104">
        <f t="shared" si="11"/>
        <v>0</v>
      </c>
      <c r="AD60" s="104">
        <f t="shared" si="11"/>
        <v>1440</v>
      </c>
      <c r="AE60" s="104">
        <f t="shared" si="11"/>
        <v>0</v>
      </c>
      <c r="AF60" s="104">
        <f t="shared" si="11"/>
        <v>0</v>
      </c>
      <c r="AG60" s="104">
        <f t="shared" si="11"/>
        <v>0</v>
      </c>
      <c r="AH60" s="104">
        <f t="shared" si="11"/>
        <v>0</v>
      </c>
      <c r="AI60" s="104">
        <f t="shared" si="11"/>
        <v>0</v>
      </c>
      <c r="AJ60" s="104">
        <f t="shared" si="11"/>
        <v>0</v>
      </c>
      <c r="AK60" s="104">
        <f t="shared" si="11"/>
        <v>11040</v>
      </c>
      <c r="AL60" s="104">
        <f t="shared" si="11"/>
        <v>0</v>
      </c>
      <c r="AM60" s="104">
        <f t="shared" si="11"/>
        <v>0</v>
      </c>
      <c r="AN60" s="104">
        <f t="shared" si="12"/>
        <v>0</v>
      </c>
      <c r="AO60" s="104">
        <f t="shared" si="12"/>
        <v>0</v>
      </c>
      <c r="AP60" s="104">
        <f t="shared" si="12"/>
        <v>0</v>
      </c>
    </row>
    <row r="61" spans="1:42">
      <c r="B61" s="96" t="s">
        <v>50</v>
      </c>
      <c r="C61" s="111">
        <v>20.88</v>
      </c>
      <c r="D61" s="97">
        <f t="shared" si="11"/>
        <v>4015892.1599999997</v>
      </c>
      <c r="E61" s="104">
        <f t="shared" si="11"/>
        <v>0</v>
      </c>
      <c r="F61" s="104">
        <f t="shared" si="11"/>
        <v>0</v>
      </c>
      <c r="G61" s="104">
        <f t="shared" si="11"/>
        <v>0</v>
      </c>
      <c r="H61" s="104">
        <f t="shared" si="11"/>
        <v>0</v>
      </c>
      <c r="I61" s="104">
        <f t="shared" si="11"/>
        <v>300692.88</v>
      </c>
      <c r="J61" s="104">
        <f t="shared" si="11"/>
        <v>574200</v>
      </c>
      <c r="K61" s="104">
        <f t="shared" si="11"/>
        <v>0</v>
      </c>
      <c r="L61" s="104">
        <f t="shared" si="11"/>
        <v>0</v>
      </c>
      <c r="M61" s="104">
        <f t="shared" si="11"/>
        <v>0</v>
      </c>
      <c r="N61" s="104">
        <f t="shared" si="11"/>
        <v>0</v>
      </c>
      <c r="O61" s="104">
        <f t="shared" si="11"/>
        <v>0</v>
      </c>
      <c r="P61" s="104">
        <f t="shared" si="11"/>
        <v>0</v>
      </c>
      <c r="Q61" s="104">
        <f t="shared" si="11"/>
        <v>0</v>
      </c>
      <c r="R61" s="105">
        <f t="shared" si="11"/>
        <v>0</v>
      </c>
      <c r="S61" s="104">
        <f t="shared" si="11"/>
        <v>0</v>
      </c>
      <c r="T61" s="106">
        <f t="shared" si="11"/>
        <v>0</v>
      </c>
      <c r="U61" s="104">
        <f t="shared" si="11"/>
        <v>11337.84</v>
      </c>
      <c r="V61" s="104">
        <f t="shared" si="11"/>
        <v>0</v>
      </c>
      <c r="W61" s="104">
        <f t="shared" si="11"/>
        <v>0</v>
      </c>
      <c r="X61" s="105">
        <f t="shared" si="11"/>
        <v>0</v>
      </c>
      <c r="Y61" s="104">
        <f t="shared" si="11"/>
        <v>0</v>
      </c>
      <c r="Z61" s="104">
        <f t="shared" si="11"/>
        <v>0</v>
      </c>
      <c r="AA61" s="104">
        <f t="shared" si="11"/>
        <v>0</v>
      </c>
      <c r="AB61" s="104">
        <f t="shared" si="11"/>
        <v>0</v>
      </c>
      <c r="AC61" s="104">
        <f t="shared" si="11"/>
        <v>0</v>
      </c>
      <c r="AD61" s="104">
        <f t="shared" si="11"/>
        <v>0</v>
      </c>
      <c r="AE61" s="104">
        <f t="shared" si="11"/>
        <v>0</v>
      </c>
      <c r="AF61" s="104">
        <f t="shared" si="11"/>
        <v>0</v>
      </c>
      <c r="AG61" s="104">
        <f t="shared" si="11"/>
        <v>0</v>
      </c>
      <c r="AH61" s="104">
        <f t="shared" si="11"/>
        <v>0</v>
      </c>
      <c r="AI61" s="104">
        <f t="shared" si="11"/>
        <v>0</v>
      </c>
      <c r="AJ61" s="104">
        <f t="shared" si="11"/>
        <v>0</v>
      </c>
      <c r="AK61" s="104">
        <f t="shared" si="11"/>
        <v>767423.52</v>
      </c>
      <c r="AL61" s="104">
        <f t="shared" si="11"/>
        <v>859337.27999999991</v>
      </c>
      <c r="AM61" s="104">
        <f t="shared" si="11"/>
        <v>1502900.64</v>
      </c>
      <c r="AN61" s="104">
        <f t="shared" si="12"/>
        <v>0</v>
      </c>
      <c r="AO61" s="104">
        <f t="shared" si="12"/>
        <v>0</v>
      </c>
      <c r="AP61" s="104">
        <f t="shared" si="12"/>
        <v>0</v>
      </c>
    </row>
    <row r="62" spans="1:42">
      <c r="B62" s="96" t="s">
        <v>51</v>
      </c>
      <c r="C62" s="111">
        <v>15</v>
      </c>
      <c r="D62" s="97">
        <f t="shared" si="11"/>
        <v>0</v>
      </c>
      <c r="E62" s="104">
        <f t="shared" si="11"/>
        <v>0</v>
      </c>
      <c r="F62" s="104">
        <f t="shared" si="11"/>
        <v>0</v>
      </c>
      <c r="G62" s="104">
        <f t="shared" si="11"/>
        <v>0</v>
      </c>
      <c r="H62" s="104">
        <f t="shared" si="11"/>
        <v>0</v>
      </c>
      <c r="I62" s="104">
        <f t="shared" si="11"/>
        <v>0</v>
      </c>
      <c r="J62" s="104">
        <f t="shared" si="11"/>
        <v>0</v>
      </c>
      <c r="K62" s="104">
        <f t="shared" si="11"/>
        <v>0</v>
      </c>
      <c r="L62" s="104">
        <f t="shared" si="11"/>
        <v>0</v>
      </c>
      <c r="M62" s="104">
        <f t="shared" si="11"/>
        <v>0</v>
      </c>
      <c r="N62" s="104">
        <f t="shared" si="11"/>
        <v>0</v>
      </c>
      <c r="O62" s="104">
        <f t="shared" si="11"/>
        <v>0</v>
      </c>
      <c r="P62" s="104">
        <f t="shared" si="11"/>
        <v>0</v>
      </c>
      <c r="Q62" s="104">
        <f t="shared" si="11"/>
        <v>0</v>
      </c>
      <c r="R62" s="105">
        <f t="shared" si="11"/>
        <v>0</v>
      </c>
      <c r="S62" s="104">
        <f t="shared" si="11"/>
        <v>0</v>
      </c>
      <c r="T62" s="106">
        <f t="shared" si="11"/>
        <v>0</v>
      </c>
      <c r="U62" s="104">
        <f t="shared" si="11"/>
        <v>0</v>
      </c>
      <c r="V62" s="104">
        <f t="shared" si="11"/>
        <v>0</v>
      </c>
      <c r="W62" s="104">
        <f t="shared" si="11"/>
        <v>0</v>
      </c>
      <c r="X62" s="105">
        <f t="shared" si="11"/>
        <v>0</v>
      </c>
      <c r="Y62" s="104">
        <f t="shared" si="11"/>
        <v>0</v>
      </c>
      <c r="Z62" s="104">
        <f t="shared" si="11"/>
        <v>0</v>
      </c>
      <c r="AA62" s="104">
        <f t="shared" si="11"/>
        <v>0</v>
      </c>
      <c r="AB62" s="104">
        <f t="shared" si="11"/>
        <v>0</v>
      </c>
      <c r="AC62" s="104">
        <f t="shared" si="11"/>
        <v>0</v>
      </c>
      <c r="AD62" s="104">
        <f t="shared" si="11"/>
        <v>0</v>
      </c>
      <c r="AE62" s="104">
        <f t="shared" si="11"/>
        <v>0</v>
      </c>
      <c r="AF62" s="104">
        <f t="shared" si="11"/>
        <v>0</v>
      </c>
      <c r="AG62" s="104">
        <f t="shared" si="11"/>
        <v>0</v>
      </c>
      <c r="AH62" s="104">
        <f t="shared" si="11"/>
        <v>0</v>
      </c>
      <c r="AI62" s="104">
        <f t="shared" si="11"/>
        <v>0</v>
      </c>
      <c r="AJ62" s="104">
        <f t="shared" si="11"/>
        <v>0</v>
      </c>
      <c r="AK62" s="104">
        <f t="shared" si="11"/>
        <v>0</v>
      </c>
      <c r="AL62" s="104">
        <f t="shared" si="11"/>
        <v>0</v>
      </c>
      <c r="AM62" s="104">
        <f t="shared" si="11"/>
        <v>0</v>
      </c>
      <c r="AN62" s="104">
        <f t="shared" ref="AN62:AP63" si="13">AN29*$C62</f>
        <v>0</v>
      </c>
      <c r="AO62" s="104">
        <f t="shared" si="13"/>
        <v>0</v>
      </c>
      <c r="AP62" s="104">
        <f t="shared" si="13"/>
        <v>0</v>
      </c>
    </row>
    <row r="63" spans="1:42">
      <c r="B63" s="96" t="s">
        <v>52</v>
      </c>
      <c r="C63" s="111">
        <v>6</v>
      </c>
      <c r="D63" s="97">
        <f t="shared" si="11"/>
        <v>26088</v>
      </c>
      <c r="E63" s="104">
        <f t="shared" si="11"/>
        <v>0</v>
      </c>
      <c r="F63" s="104">
        <f t="shared" si="11"/>
        <v>0</v>
      </c>
      <c r="G63" s="104">
        <f t="shared" si="11"/>
        <v>0</v>
      </c>
      <c r="H63" s="104">
        <f t="shared" si="11"/>
        <v>0</v>
      </c>
      <c r="I63" s="104">
        <f t="shared" si="11"/>
        <v>0</v>
      </c>
      <c r="J63" s="104">
        <f t="shared" si="11"/>
        <v>0</v>
      </c>
      <c r="K63" s="104">
        <f t="shared" si="11"/>
        <v>0</v>
      </c>
      <c r="L63" s="104">
        <f t="shared" si="11"/>
        <v>0</v>
      </c>
      <c r="M63" s="104">
        <f t="shared" si="11"/>
        <v>0</v>
      </c>
      <c r="N63" s="104">
        <f t="shared" si="11"/>
        <v>0</v>
      </c>
      <c r="O63" s="104">
        <f t="shared" si="11"/>
        <v>0</v>
      </c>
      <c r="P63" s="104">
        <f t="shared" si="11"/>
        <v>0</v>
      </c>
      <c r="Q63" s="104">
        <f t="shared" si="11"/>
        <v>0</v>
      </c>
      <c r="R63" s="105">
        <f t="shared" si="11"/>
        <v>0</v>
      </c>
      <c r="S63" s="104">
        <f t="shared" si="11"/>
        <v>0</v>
      </c>
      <c r="T63" s="106">
        <f t="shared" si="11"/>
        <v>0</v>
      </c>
      <c r="U63" s="104">
        <f t="shared" si="11"/>
        <v>0</v>
      </c>
      <c r="V63" s="104">
        <f t="shared" si="11"/>
        <v>0</v>
      </c>
      <c r="W63" s="104">
        <f t="shared" si="11"/>
        <v>0</v>
      </c>
      <c r="X63" s="105">
        <f t="shared" si="11"/>
        <v>0</v>
      </c>
      <c r="Y63" s="104">
        <f t="shared" si="11"/>
        <v>0</v>
      </c>
      <c r="Z63" s="104">
        <f t="shared" si="11"/>
        <v>0</v>
      </c>
      <c r="AA63" s="104">
        <f t="shared" si="11"/>
        <v>0</v>
      </c>
      <c r="AB63" s="104">
        <f t="shared" si="11"/>
        <v>0</v>
      </c>
      <c r="AC63" s="104">
        <f t="shared" si="11"/>
        <v>0</v>
      </c>
      <c r="AD63" s="104">
        <f t="shared" si="11"/>
        <v>0</v>
      </c>
      <c r="AE63" s="104">
        <f t="shared" si="11"/>
        <v>0</v>
      </c>
      <c r="AF63" s="104">
        <f t="shared" si="11"/>
        <v>0</v>
      </c>
      <c r="AG63" s="104">
        <f t="shared" si="11"/>
        <v>0</v>
      </c>
      <c r="AH63" s="104">
        <f t="shared" si="11"/>
        <v>0</v>
      </c>
      <c r="AI63" s="104">
        <f t="shared" si="11"/>
        <v>0</v>
      </c>
      <c r="AJ63" s="104">
        <f t="shared" si="11"/>
        <v>0</v>
      </c>
      <c r="AK63" s="104">
        <f t="shared" si="11"/>
        <v>26088</v>
      </c>
      <c r="AL63" s="104">
        <f t="shared" si="11"/>
        <v>0</v>
      </c>
      <c r="AM63" s="104">
        <f t="shared" si="11"/>
        <v>0</v>
      </c>
      <c r="AN63" s="104">
        <f t="shared" si="13"/>
        <v>0</v>
      </c>
      <c r="AO63" s="104">
        <f t="shared" si="13"/>
        <v>0</v>
      </c>
      <c r="AP63" s="104">
        <f t="shared" si="13"/>
        <v>0</v>
      </c>
    </row>
    <row r="64" spans="1:42">
      <c r="B64" s="96" t="s">
        <v>53</v>
      </c>
      <c r="C64" s="111">
        <v>19</v>
      </c>
      <c r="D64" s="97">
        <f t="shared" ref="D64" si="14">D31*$C64</f>
        <v>8981148</v>
      </c>
      <c r="E64" s="104">
        <f t="shared" si="11"/>
        <v>0</v>
      </c>
      <c r="F64" s="104">
        <f t="shared" si="11"/>
        <v>0</v>
      </c>
      <c r="G64" s="104">
        <f t="shared" si="11"/>
        <v>0</v>
      </c>
      <c r="H64" s="104">
        <f t="shared" si="11"/>
        <v>37620</v>
      </c>
      <c r="I64" s="104">
        <f t="shared" si="11"/>
        <v>7220</v>
      </c>
      <c r="J64" s="104">
        <f t="shared" si="11"/>
        <v>0</v>
      </c>
      <c r="K64" s="104">
        <f t="shared" si="11"/>
        <v>420090</v>
      </c>
      <c r="L64" s="104">
        <f t="shared" si="11"/>
        <v>363660</v>
      </c>
      <c r="M64" s="104">
        <f t="shared" si="11"/>
        <v>725933</v>
      </c>
      <c r="N64" s="104">
        <f t="shared" si="11"/>
        <v>564547</v>
      </c>
      <c r="O64" s="104">
        <f t="shared" si="11"/>
        <v>434815</v>
      </c>
      <c r="P64" s="104">
        <f t="shared" si="11"/>
        <v>542754</v>
      </c>
      <c r="Q64" s="104">
        <f t="shared" si="11"/>
        <v>432193</v>
      </c>
      <c r="R64" s="105">
        <f t="shared" si="11"/>
        <v>347415</v>
      </c>
      <c r="S64" s="104">
        <f t="shared" si="11"/>
        <v>0</v>
      </c>
      <c r="T64" s="106">
        <f t="shared" si="11"/>
        <v>0</v>
      </c>
      <c r="U64" s="104">
        <f t="shared" si="11"/>
        <v>0</v>
      </c>
      <c r="V64" s="104">
        <f t="shared" si="11"/>
        <v>273125</v>
      </c>
      <c r="W64" s="104">
        <f t="shared" si="11"/>
        <v>577714</v>
      </c>
      <c r="X64" s="105">
        <f t="shared" si="11"/>
        <v>719302</v>
      </c>
      <c r="Y64" s="104">
        <f t="shared" si="11"/>
        <v>331683</v>
      </c>
      <c r="Z64" s="104">
        <f t="shared" si="11"/>
        <v>0</v>
      </c>
      <c r="AA64" s="104">
        <f t="shared" si="11"/>
        <v>0</v>
      </c>
      <c r="AB64" s="104">
        <f t="shared" si="11"/>
        <v>576403</v>
      </c>
      <c r="AC64" s="104">
        <f t="shared" si="11"/>
        <v>383686</v>
      </c>
      <c r="AD64" s="104">
        <f t="shared" si="11"/>
        <v>239913</v>
      </c>
      <c r="AE64" s="104">
        <f t="shared" si="11"/>
        <v>157320</v>
      </c>
      <c r="AF64" s="104">
        <f t="shared" si="11"/>
        <v>0</v>
      </c>
      <c r="AG64" s="104">
        <f t="shared" si="11"/>
        <v>390241</v>
      </c>
      <c r="AH64" s="104">
        <f t="shared" si="11"/>
        <v>787778</v>
      </c>
      <c r="AI64" s="104">
        <f t="shared" si="11"/>
        <v>545813</v>
      </c>
      <c r="AJ64" s="104">
        <f t="shared" si="11"/>
        <v>121923</v>
      </c>
      <c r="AK64" s="104">
        <f t="shared" si="11"/>
        <v>0</v>
      </c>
      <c r="AL64" s="104">
        <f t="shared" si="11"/>
        <v>0</v>
      </c>
      <c r="AM64" s="104">
        <f t="shared" si="11"/>
        <v>0</v>
      </c>
      <c r="AN64" s="104">
        <f t="shared" ref="AN64:AP64" si="15">AN31*$C64</f>
        <v>0</v>
      </c>
      <c r="AO64" s="104">
        <f t="shared" si="15"/>
        <v>0</v>
      </c>
      <c r="AP64" s="104">
        <f t="shared" si="15"/>
        <v>0</v>
      </c>
    </row>
    <row r="65" spans="2:42">
      <c r="B65" s="96" t="s">
        <v>54</v>
      </c>
      <c r="C65" s="111">
        <v>10</v>
      </c>
      <c r="D65" s="97">
        <f t="shared" ref="D65:S70" si="16">D32*$C65</f>
        <v>1194680</v>
      </c>
      <c r="E65" s="104">
        <f t="shared" si="11"/>
        <v>0</v>
      </c>
      <c r="F65" s="104">
        <f t="shared" si="11"/>
        <v>0</v>
      </c>
      <c r="G65" s="104">
        <f t="shared" si="11"/>
        <v>0</v>
      </c>
      <c r="H65" s="104">
        <f t="shared" si="11"/>
        <v>17400</v>
      </c>
      <c r="I65" s="104">
        <f t="shared" si="11"/>
        <v>4400</v>
      </c>
      <c r="J65" s="104">
        <f t="shared" si="11"/>
        <v>0</v>
      </c>
      <c r="K65" s="104">
        <f t="shared" si="11"/>
        <v>127440</v>
      </c>
      <c r="L65" s="104">
        <f t="shared" si="11"/>
        <v>118080</v>
      </c>
      <c r="M65" s="104">
        <f t="shared" si="11"/>
        <v>0</v>
      </c>
      <c r="N65" s="104">
        <f t="shared" si="11"/>
        <v>8280</v>
      </c>
      <c r="O65" s="104">
        <f t="shared" si="11"/>
        <v>101520</v>
      </c>
      <c r="P65" s="104">
        <f t="shared" si="11"/>
        <v>134820</v>
      </c>
      <c r="Q65" s="104">
        <f t="shared" si="11"/>
        <v>13320</v>
      </c>
      <c r="R65" s="105">
        <f t="shared" si="11"/>
        <v>124200</v>
      </c>
      <c r="S65" s="104">
        <f t="shared" si="11"/>
        <v>0</v>
      </c>
      <c r="T65" s="106">
        <f t="shared" si="11"/>
        <v>0</v>
      </c>
      <c r="U65" s="104">
        <f t="shared" si="11"/>
        <v>0</v>
      </c>
      <c r="V65" s="104">
        <f t="shared" si="11"/>
        <v>99900</v>
      </c>
      <c r="W65" s="104">
        <f t="shared" si="11"/>
        <v>114660</v>
      </c>
      <c r="X65" s="105">
        <f t="shared" si="11"/>
        <v>124920</v>
      </c>
      <c r="Y65" s="104">
        <f t="shared" si="11"/>
        <v>55260</v>
      </c>
      <c r="Z65" s="104">
        <f t="shared" si="11"/>
        <v>0</v>
      </c>
      <c r="AA65" s="104">
        <f t="shared" si="11"/>
        <v>0</v>
      </c>
      <c r="AB65" s="104">
        <f t="shared" si="11"/>
        <v>52920</v>
      </c>
      <c r="AC65" s="104">
        <f t="shared" si="11"/>
        <v>0</v>
      </c>
      <c r="AD65" s="104">
        <f t="shared" si="11"/>
        <v>0</v>
      </c>
      <c r="AE65" s="104">
        <f t="shared" si="11"/>
        <v>0</v>
      </c>
      <c r="AF65" s="104">
        <f t="shared" si="11"/>
        <v>0</v>
      </c>
      <c r="AG65" s="104">
        <f t="shared" si="11"/>
        <v>38880</v>
      </c>
      <c r="AH65" s="104">
        <f t="shared" si="11"/>
        <v>47160</v>
      </c>
      <c r="AI65" s="104">
        <f t="shared" si="11"/>
        <v>11520</v>
      </c>
      <c r="AJ65" s="104">
        <f t="shared" si="11"/>
        <v>0</v>
      </c>
      <c r="AK65" s="104">
        <f t="shared" si="11"/>
        <v>0</v>
      </c>
      <c r="AL65" s="104">
        <f t="shared" si="11"/>
        <v>0</v>
      </c>
      <c r="AM65" s="104">
        <f t="shared" si="11"/>
        <v>0</v>
      </c>
      <c r="AN65" s="104">
        <f t="shared" ref="AN65:AP65" si="17">AN32*$C65</f>
        <v>0</v>
      </c>
      <c r="AO65" s="104">
        <f t="shared" si="17"/>
        <v>0</v>
      </c>
      <c r="AP65" s="104">
        <f t="shared" si="17"/>
        <v>0</v>
      </c>
    </row>
    <row r="66" spans="2:42">
      <c r="B66" s="96" t="s">
        <v>55</v>
      </c>
      <c r="C66" s="111">
        <v>47.6</v>
      </c>
      <c r="D66" s="97">
        <f t="shared" si="16"/>
        <v>863940</v>
      </c>
      <c r="E66" s="104">
        <f t="shared" si="11"/>
        <v>0</v>
      </c>
      <c r="F66" s="104">
        <f t="shared" si="11"/>
        <v>0</v>
      </c>
      <c r="G66" s="104">
        <f t="shared" si="11"/>
        <v>0</v>
      </c>
      <c r="H66" s="104">
        <f t="shared" si="11"/>
        <v>0</v>
      </c>
      <c r="I66" s="104">
        <f t="shared" si="11"/>
        <v>0</v>
      </c>
      <c r="J66" s="104">
        <f t="shared" ref="J66:AN70" si="18">J33*$C66</f>
        <v>0</v>
      </c>
      <c r="K66" s="104">
        <f t="shared" si="18"/>
        <v>0</v>
      </c>
      <c r="L66" s="104">
        <f t="shared" si="18"/>
        <v>0</v>
      </c>
      <c r="M66" s="104">
        <f t="shared" si="18"/>
        <v>40840.800000000003</v>
      </c>
      <c r="N66" s="104">
        <f t="shared" si="18"/>
        <v>52360</v>
      </c>
      <c r="O66" s="104">
        <f t="shared" si="18"/>
        <v>0</v>
      </c>
      <c r="P66" s="104">
        <f t="shared" si="18"/>
        <v>33510.400000000001</v>
      </c>
      <c r="Q66" s="104">
        <f t="shared" si="18"/>
        <v>83776</v>
      </c>
      <c r="R66" s="105">
        <f t="shared" si="18"/>
        <v>0</v>
      </c>
      <c r="S66" s="104">
        <f t="shared" si="18"/>
        <v>0</v>
      </c>
      <c r="T66" s="106">
        <f t="shared" si="18"/>
        <v>0</v>
      </c>
      <c r="U66" s="104">
        <f t="shared" si="18"/>
        <v>0</v>
      </c>
      <c r="V66" s="104">
        <f t="shared" si="18"/>
        <v>19896.8</v>
      </c>
      <c r="W66" s="104">
        <f t="shared" si="18"/>
        <v>0</v>
      </c>
      <c r="X66" s="105">
        <f t="shared" si="18"/>
        <v>0</v>
      </c>
      <c r="Y66" s="104">
        <f t="shared" si="18"/>
        <v>0</v>
      </c>
      <c r="Z66" s="104">
        <f t="shared" si="18"/>
        <v>0</v>
      </c>
      <c r="AA66" s="104">
        <f t="shared" si="18"/>
        <v>0</v>
      </c>
      <c r="AB66" s="104">
        <f t="shared" si="18"/>
        <v>50265.599999999999</v>
      </c>
      <c r="AC66" s="104">
        <f t="shared" si="18"/>
        <v>107861.6</v>
      </c>
      <c r="AD66" s="104">
        <f t="shared" si="18"/>
        <v>100531.2</v>
      </c>
      <c r="AE66" s="104">
        <f t="shared" si="18"/>
        <v>62832</v>
      </c>
      <c r="AF66" s="104">
        <f t="shared" si="18"/>
        <v>0</v>
      </c>
      <c r="AG66" s="104">
        <f t="shared" si="18"/>
        <v>101578.40000000001</v>
      </c>
      <c r="AH66" s="104">
        <f t="shared" si="18"/>
        <v>0</v>
      </c>
      <c r="AI66" s="104">
        <f>AL33*$C66</f>
        <v>0</v>
      </c>
      <c r="AJ66" s="104">
        <f>AM33*$C66</f>
        <v>0</v>
      </c>
      <c r="AK66" s="104">
        <f>AN33*$C66</f>
        <v>0</v>
      </c>
      <c r="AL66" s="104">
        <f>AO33*$C66</f>
        <v>0</v>
      </c>
      <c r="AM66" s="104">
        <f>AP33*$C66</f>
        <v>0</v>
      </c>
      <c r="AN66" s="104">
        <f t="shared" ref="AN66:AP66" si="19">AQ33*$C66</f>
        <v>0</v>
      </c>
      <c r="AO66" s="104">
        <f t="shared" si="19"/>
        <v>0</v>
      </c>
      <c r="AP66" s="104">
        <f t="shared" si="19"/>
        <v>0</v>
      </c>
    </row>
    <row r="67" spans="2:42">
      <c r="B67" s="96" t="s">
        <v>56</v>
      </c>
      <c r="C67" s="111">
        <v>27.39</v>
      </c>
      <c r="D67" s="97">
        <f t="shared" si="16"/>
        <v>0</v>
      </c>
      <c r="E67" s="104">
        <f t="shared" si="16"/>
        <v>0</v>
      </c>
      <c r="F67" s="104">
        <f t="shared" si="16"/>
        <v>0</v>
      </c>
      <c r="G67" s="104">
        <f t="shared" si="16"/>
        <v>0</v>
      </c>
      <c r="H67" s="104">
        <f t="shared" si="16"/>
        <v>0</v>
      </c>
      <c r="I67" s="104">
        <f t="shared" si="16"/>
        <v>0</v>
      </c>
      <c r="J67" s="104">
        <f t="shared" si="16"/>
        <v>0</v>
      </c>
      <c r="K67" s="104">
        <f t="shared" si="16"/>
        <v>0</v>
      </c>
      <c r="L67" s="104">
        <f t="shared" si="16"/>
        <v>0</v>
      </c>
      <c r="M67" s="104">
        <f t="shared" si="16"/>
        <v>0</v>
      </c>
      <c r="N67" s="104">
        <f t="shared" si="16"/>
        <v>0</v>
      </c>
      <c r="O67" s="104">
        <f t="shared" si="16"/>
        <v>0</v>
      </c>
      <c r="P67" s="104">
        <f t="shared" si="16"/>
        <v>0</v>
      </c>
      <c r="Q67" s="104">
        <f t="shared" si="16"/>
        <v>0</v>
      </c>
      <c r="R67" s="105">
        <f t="shared" si="16"/>
        <v>0</v>
      </c>
      <c r="S67" s="104">
        <f t="shared" si="16"/>
        <v>0</v>
      </c>
      <c r="T67" s="106">
        <f t="shared" si="18"/>
        <v>0</v>
      </c>
      <c r="U67" s="104">
        <f t="shared" si="18"/>
        <v>0</v>
      </c>
      <c r="V67" s="104">
        <f t="shared" si="18"/>
        <v>0</v>
      </c>
      <c r="W67" s="104">
        <f t="shared" si="18"/>
        <v>0</v>
      </c>
      <c r="X67" s="105">
        <f t="shared" si="18"/>
        <v>0</v>
      </c>
      <c r="Y67" s="104">
        <f t="shared" si="18"/>
        <v>0</v>
      </c>
      <c r="Z67" s="104">
        <f t="shared" si="18"/>
        <v>0</v>
      </c>
      <c r="AA67" s="104">
        <f t="shared" si="18"/>
        <v>0</v>
      </c>
      <c r="AB67" s="104">
        <f t="shared" si="18"/>
        <v>0</v>
      </c>
      <c r="AC67" s="104">
        <f t="shared" si="18"/>
        <v>0</v>
      </c>
      <c r="AD67" s="104">
        <f t="shared" si="18"/>
        <v>0</v>
      </c>
      <c r="AE67" s="104">
        <f t="shared" si="18"/>
        <v>0</v>
      </c>
      <c r="AF67" s="104">
        <f t="shared" si="18"/>
        <v>0</v>
      </c>
      <c r="AG67" s="104">
        <f t="shared" si="18"/>
        <v>0</v>
      </c>
      <c r="AH67" s="104">
        <f t="shared" si="18"/>
        <v>0</v>
      </c>
      <c r="AI67" s="104">
        <f t="shared" si="18"/>
        <v>0</v>
      </c>
      <c r="AJ67" s="104">
        <f t="shared" si="18"/>
        <v>0</v>
      </c>
      <c r="AK67" s="104">
        <f t="shared" si="18"/>
        <v>0</v>
      </c>
      <c r="AL67" s="104">
        <f>AP34*$C67</f>
        <v>0</v>
      </c>
      <c r="AM67" s="104">
        <f>AO34*$C67</f>
        <v>0</v>
      </c>
      <c r="AN67" s="104">
        <f t="shared" ref="AN67:AP67" si="20">AP34*$C67</f>
        <v>0</v>
      </c>
      <c r="AO67" s="104">
        <f t="shared" si="20"/>
        <v>0</v>
      </c>
      <c r="AP67" s="104">
        <f t="shared" si="20"/>
        <v>0</v>
      </c>
    </row>
    <row r="68" spans="2:42">
      <c r="B68" s="96" t="s">
        <v>57</v>
      </c>
      <c r="C68" s="111">
        <v>26</v>
      </c>
      <c r="D68" s="97">
        <f t="shared" si="16"/>
        <v>0</v>
      </c>
      <c r="E68" s="104">
        <f t="shared" si="16"/>
        <v>0</v>
      </c>
      <c r="F68" s="104">
        <f t="shared" si="16"/>
        <v>0</v>
      </c>
      <c r="G68" s="104">
        <f t="shared" si="16"/>
        <v>0</v>
      </c>
      <c r="H68" s="104">
        <f t="shared" si="16"/>
        <v>0</v>
      </c>
      <c r="I68" s="104">
        <f t="shared" si="16"/>
        <v>0</v>
      </c>
      <c r="J68" s="104">
        <f t="shared" si="16"/>
        <v>0</v>
      </c>
      <c r="K68" s="104">
        <f t="shared" si="16"/>
        <v>0</v>
      </c>
      <c r="L68" s="104">
        <f t="shared" si="16"/>
        <v>0</v>
      </c>
      <c r="M68" s="104">
        <f t="shared" si="16"/>
        <v>0</v>
      </c>
      <c r="N68" s="104">
        <f t="shared" si="16"/>
        <v>0</v>
      </c>
      <c r="O68" s="104">
        <f t="shared" si="16"/>
        <v>0</v>
      </c>
      <c r="P68" s="104">
        <f t="shared" si="16"/>
        <v>0</v>
      </c>
      <c r="Q68" s="104">
        <f t="shared" si="16"/>
        <v>0</v>
      </c>
      <c r="R68" s="105">
        <f t="shared" si="16"/>
        <v>0</v>
      </c>
      <c r="S68" s="104">
        <f t="shared" si="16"/>
        <v>0</v>
      </c>
      <c r="T68" s="106">
        <f t="shared" si="18"/>
        <v>0</v>
      </c>
      <c r="U68" s="104">
        <f t="shared" si="18"/>
        <v>0</v>
      </c>
      <c r="V68" s="104">
        <f t="shared" si="18"/>
        <v>0</v>
      </c>
      <c r="W68" s="104">
        <f t="shared" si="18"/>
        <v>0</v>
      </c>
      <c r="X68" s="105">
        <f t="shared" si="18"/>
        <v>0</v>
      </c>
      <c r="Y68" s="104">
        <f t="shared" si="18"/>
        <v>0</v>
      </c>
      <c r="Z68" s="104">
        <f t="shared" si="18"/>
        <v>0</v>
      </c>
      <c r="AA68" s="104">
        <f t="shared" si="18"/>
        <v>0</v>
      </c>
      <c r="AB68" s="104">
        <f t="shared" si="18"/>
        <v>0</v>
      </c>
      <c r="AC68" s="104">
        <f t="shared" si="18"/>
        <v>0</v>
      </c>
      <c r="AD68" s="104">
        <f t="shared" si="18"/>
        <v>0</v>
      </c>
      <c r="AE68" s="104">
        <f t="shared" si="18"/>
        <v>0</v>
      </c>
      <c r="AF68" s="104">
        <f t="shared" si="18"/>
        <v>0</v>
      </c>
      <c r="AG68" s="104">
        <f t="shared" si="18"/>
        <v>0</v>
      </c>
      <c r="AH68" s="104">
        <f t="shared" si="18"/>
        <v>0</v>
      </c>
      <c r="AI68" s="104">
        <f t="shared" si="18"/>
        <v>0</v>
      </c>
      <c r="AJ68" s="104">
        <f t="shared" si="18"/>
        <v>0</v>
      </c>
      <c r="AK68" s="104">
        <f t="shared" si="18"/>
        <v>0</v>
      </c>
      <c r="AL68" s="104">
        <f t="shared" si="18"/>
        <v>0</v>
      </c>
      <c r="AM68" s="104">
        <f t="shared" si="18"/>
        <v>0</v>
      </c>
      <c r="AN68" s="104">
        <f t="shared" si="18"/>
        <v>0</v>
      </c>
      <c r="AO68" s="104">
        <f t="shared" ref="AO68:AP68" si="21">AO35*$C68</f>
        <v>0</v>
      </c>
      <c r="AP68" s="104">
        <f t="shared" si="21"/>
        <v>0</v>
      </c>
    </row>
    <row r="69" spans="2:42">
      <c r="B69" s="96" t="s">
        <v>58</v>
      </c>
      <c r="C69" s="111">
        <v>48</v>
      </c>
      <c r="D69" s="97">
        <f t="shared" si="16"/>
        <v>0</v>
      </c>
      <c r="E69" s="104">
        <f t="shared" si="16"/>
        <v>0</v>
      </c>
      <c r="F69" s="104">
        <f t="shared" si="16"/>
        <v>0</v>
      </c>
      <c r="G69" s="104">
        <f t="shared" si="16"/>
        <v>0</v>
      </c>
      <c r="H69" s="104">
        <f t="shared" si="16"/>
        <v>0</v>
      </c>
      <c r="I69" s="104">
        <f t="shared" si="16"/>
        <v>0</v>
      </c>
      <c r="J69" s="104">
        <f t="shared" si="16"/>
        <v>0</v>
      </c>
      <c r="K69" s="104">
        <f t="shared" si="16"/>
        <v>0</v>
      </c>
      <c r="L69" s="104">
        <f t="shared" si="16"/>
        <v>0</v>
      </c>
      <c r="M69" s="104">
        <f t="shared" si="16"/>
        <v>0</v>
      </c>
      <c r="N69" s="104">
        <f t="shared" si="16"/>
        <v>0</v>
      </c>
      <c r="O69" s="104">
        <f t="shared" si="16"/>
        <v>0</v>
      </c>
      <c r="P69" s="104">
        <f t="shared" si="16"/>
        <v>0</v>
      </c>
      <c r="Q69" s="104">
        <f t="shared" si="16"/>
        <v>0</v>
      </c>
      <c r="R69" s="105">
        <f t="shared" si="16"/>
        <v>0</v>
      </c>
      <c r="S69" s="104">
        <f t="shared" si="16"/>
        <v>0</v>
      </c>
      <c r="T69" s="106">
        <f t="shared" si="18"/>
        <v>0</v>
      </c>
      <c r="U69" s="104">
        <f t="shared" si="18"/>
        <v>0</v>
      </c>
      <c r="V69" s="104">
        <f t="shared" si="18"/>
        <v>0</v>
      </c>
      <c r="W69" s="104">
        <f t="shared" si="18"/>
        <v>0</v>
      </c>
      <c r="X69" s="105">
        <f t="shared" si="18"/>
        <v>0</v>
      </c>
      <c r="Y69" s="104">
        <f t="shared" si="18"/>
        <v>0</v>
      </c>
      <c r="Z69" s="104">
        <f t="shared" si="18"/>
        <v>0</v>
      </c>
      <c r="AA69" s="104">
        <f t="shared" si="18"/>
        <v>0</v>
      </c>
      <c r="AB69" s="104">
        <f t="shared" si="18"/>
        <v>0</v>
      </c>
      <c r="AC69" s="104">
        <f t="shared" si="18"/>
        <v>0</v>
      </c>
      <c r="AD69" s="104">
        <f t="shared" si="18"/>
        <v>0</v>
      </c>
      <c r="AE69" s="104">
        <f t="shared" si="18"/>
        <v>0</v>
      </c>
      <c r="AF69" s="104">
        <f t="shared" si="18"/>
        <v>0</v>
      </c>
      <c r="AG69" s="104">
        <f t="shared" si="18"/>
        <v>0</v>
      </c>
      <c r="AH69" s="104">
        <f t="shared" si="18"/>
        <v>0</v>
      </c>
      <c r="AI69" s="104">
        <f t="shared" si="18"/>
        <v>0</v>
      </c>
      <c r="AJ69" s="104">
        <f t="shared" si="18"/>
        <v>0</v>
      </c>
      <c r="AK69" s="104">
        <f t="shared" si="18"/>
        <v>0</v>
      </c>
      <c r="AL69" s="104">
        <f t="shared" si="18"/>
        <v>0</v>
      </c>
      <c r="AM69" s="104">
        <f t="shared" si="18"/>
        <v>0</v>
      </c>
      <c r="AN69" s="104">
        <f t="shared" si="18"/>
        <v>0</v>
      </c>
      <c r="AO69" s="104">
        <f t="shared" ref="AO69:AP69" si="22">AO36*$C69</f>
        <v>0</v>
      </c>
      <c r="AP69" s="104">
        <f t="shared" si="22"/>
        <v>0</v>
      </c>
    </row>
    <row r="70" spans="2:42">
      <c r="B70" s="96" t="s">
        <v>59</v>
      </c>
      <c r="C70" s="112">
        <v>8</v>
      </c>
      <c r="D70" s="97">
        <f t="shared" si="16"/>
        <v>133952</v>
      </c>
      <c r="E70" s="104">
        <f t="shared" si="16"/>
        <v>0</v>
      </c>
      <c r="F70" s="104">
        <f t="shared" si="16"/>
        <v>0</v>
      </c>
      <c r="G70" s="104">
        <f t="shared" si="16"/>
        <v>0</v>
      </c>
      <c r="H70" s="104">
        <f t="shared" si="16"/>
        <v>0</v>
      </c>
      <c r="I70" s="104">
        <f t="shared" si="16"/>
        <v>4952</v>
      </c>
      <c r="J70" s="104">
        <f t="shared" si="16"/>
        <v>25736</v>
      </c>
      <c r="K70" s="104">
        <f t="shared" si="16"/>
        <v>0</v>
      </c>
      <c r="L70" s="104">
        <f t="shared" si="16"/>
        <v>0</v>
      </c>
      <c r="M70" s="104">
        <f t="shared" si="16"/>
        <v>0</v>
      </c>
      <c r="N70" s="104">
        <f t="shared" si="16"/>
        <v>0</v>
      </c>
      <c r="O70" s="104">
        <f t="shared" si="16"/>
        <v>0</v>
      </c>
      <c r="P70" s="104">
        <f t="shared" si="16"/>
        <v>0</v>
      </c>
      <c r="Q70" s="104">
        <f t="shared" si="16"/>
        <v>0</v>
      </c>
      <c r="R70" s="105">
        <f t="shared" si="16"/>
        <v>0</v>
      </c>
      <c r="S70" s="104">
        <f t="shared" si="16"/>
        <v>2520</v>
      </c>
      <c r="T70" s="106">
        <f t="shared" si="18"/>
        <v>12680</v>
      </c>
      <c r="U70" s="104">
        <f t="shared" si="18"/>
        <v>25000</v>
      </c>
      <c r="V70" s="104">
        <f t="shared" si="18"/>
        <v>1520</v>
      </c>
      <c r="W70" s="104">
        <f t="shared" si="18"/>
        <v>0</v>
      </c>
      <c r="X70" s="105">
        <f t="shared" si="18"/>
        <v>0</v>
      </c>
      <c r="Y70" s="104">
        <f t="shared" si="18"/>
        <v>1560</v>
      </c>
      <c r="Z70" s="104">
        <f t="shared" si="18"/>
        <v>12400</v>
      </c>
      <c r="AA70" s="104">
        <f t="shared" si="18"/>
        <v>17200</v>
      </c>
      <c r="AB70" s="104">
        <f t="shared" si="18"/>
        <v>0</v>
      </c>
      <c r="AC70" s="104">
        <f t="shared" si="18"/>
        <v>400</v>
      </c>
      <c r="AD70" s="104">
        <f t="shared" si="18"/>
        <v>0</v>
      </c>
      <c r="AE70" s="104">
        <f t="shared" si="18"/>
        <v>0</v>
      </c>
      <c r="AF70" s="104">
        <f t="shared" si="18"/>
        <v>0</v>
      </c>
      <c r="AG70" s="104">
        <f t="shared" si="18"/>
        <v>0</v>
      </c>
      <c r="AH70" s="104">
        <f t="shared" si="18"/>
        <v>0</v>
      </c>
      <c r="AI70" s="104">
        <f t="shared" si="18"/>
        <v>0</v>
      </c>
      <c r="AJ70" s="104">
        <f t="shared" si="18"/>
        <v>7200</v>
      </c>
      <c r="AK70" s="104">
        <f t="shared" si="18"/>
        <v>10104</v>
      </c>
      <c r="AL70" s="104">
        <f t="shared" si="18"/>
        <v>6560</v>
      </c>
      <c r="AM70" s="104">
        <f t="shared" si="18"/>
        <v>6120</v>
      </c>
      <c r="AN70" s="104">
        <f t="shared" si="18"/>
        <v>0</v>
      </c>
      <c r="AO70" s="104">
        <f t="shared" ref="AO70:AP70" si="23">AO37*$C70</f>
        <v>0</v>
      </c>
      <c r="AP70" s="104">
        <f t="shared" si="23"/>
        <v>0</v>
      </c>
    </row>
    <row r="71" spans="2:42">
      <c r="B71" s="35" t="s">
        <v>85</v>
      </c>
      <c r="C71" s="113">
        <v>2.2000000000000002</v>
      </c>
      <c r="D71" s="98">
        <f t="shared" ref="D71:AM71" si="24">D49*C71</f>
        <v>367400.00000000006</v>
      </c>
      <c r="E71" s="107">
        <f t="shared" si="24"/>
        <v>0</v>
      </c>
      <c r="F71" s="107">
        <f t="shared" si="24"/>
        <v>0</v>
      </c>
      <c r="G71" s="107">
        <f t="shared" si="24"/>
        <v>0</v>
      </c>
      <c r="H71" s="107">
        <f t="shared" si="24"/>
        <v>0</v>
      </c>
      <c r="I71" s="107">
        <f t="shared" si="24"/>
        <v>0</v>
      </c>
      <c r="J71" s="107">
        <f t="shared" si="24"/>
        <v>0</v>
      </c>
      <c r="K71" s="107">
        <f t="shared" si="24"/>
        <v>0</v>
      </c>
      <c r="L71" s="107">
        <f t="shared" si="24"/>
        <v>0</v>
      </c>
      <c r="M71" s="107">
        <f t="shared" si="24"/>
        <v>0</v>
      </c>
      <c r="N71" s="107">
        <f t="shared" si="24"/>
        <v>0</v>
      </c>
      <c r="O71" s="107">
        <f t="shared" si="24"/>
        <v>0</v>
      </c>
      <c r="P71" s="107">
        <f t="shared" si="24"/>
        <v>0</v>
      </c>
      <c r="Q71" s="107">
        <f t="shared" si="24"/>
        <v>0</v>
      </c>
      <c r="R71" s="107">
        <f t="shared" si="24"/>
        <v>0</v>
      </c>
      <c r="S71" s="107">
        <f t="shared" si="24"/>
        <v>0</v>
      </c>
      <c r="T71" s="107">
        <f t="shared" si="24"/>
        <v>0</v>
      </c>
      <c r="U71" s="107">
        <f t="shared" si="24"/>
        <v>0</v>
      </c>
      <c r="V71" s="107">
        <f t="shared" si="24"/>
        <v>0</v>
      </c>
      <c r="W71" s="107">
        <f t="shared" si="24"/>
        <v>0</v>
      </c>
      <c r="X71" s="107">
        <f t="shared" si="24"/>
        <v>0</v>
      </c>
      <c r="Y71" s="107">
        <f t="shared" si="24"/>
        <v>0</v>
      </c>
      <c r="Z71" s="107">
        <f t="shared" si="24"/>
        <v>0</v>
      </c>
      <c r="AA71" s="107">
        <f t="shared" si="24"/>
        <v>0</v>
      </c>
      <c r="AB71" s="107">
        <f t="shared" si="24"/>
        <v>0</v>
      </c>
      <c r="AC71" s="107">
        <f t="shared" si="24"/>
        <v>0</v>
      </c>
      <c r="AD71" s="107">
        <f t="shared" si="24"/>
        <v>0</v>
      </c>
      <c r="AE71" s="107">
        <f t="shared" si="24"/>
        <v>0</v>
      </c>
      <c r="AF71" s="107">
        <f t="shared" si="24"/>
        <v>0</v>
      </c>
      <c r="AG71" s="107">
        <f t="shared" si="24"/>
        <v>0</v>
      </c>
      <c r="AH71" s="107">
        <f t="shared" si="24"/>
        <v>0</v>
      </c>
      <c r="AI71" s="107">
        <f t="shared" si="24"/>
        <v>0</v>
      </c>
      <c r="AJ71" s="107">
        <f t="shared" si="24"/>
        <v>0</v>
      </c>
      <c r="AK71" s="107">
        <f t="shared" si="24"/>
        <v>0</v>
      </c>
      <c r="AL71" s="107">
        <f t="shared" si="24"/>
        <v>0</v>
      </c>
      <c r="AM71" s="107">
        <f t="shared" si="24"/>
        <v>0</v>
      </c>
      <c r="AN71" s="107">
        <f t="shared" ref="AN71" si="25">AN49*AM71</f>
        <v>0</v>
      </c>
      <c r="AO71" s="107">
        <f t="shared" ref="AO71" si="26">AO49*AN71</f>
        <v>0</v>
      </c>
      <c r="AP71" s="107">
        <f t="shared" ref="AP71" si="27">AP49*AO71</f>
        <v>0</v>
      </c>
    </row>
    <row r="73" spans="2:42">
      <c r="B73" s="318" t="s">
        <v>86</v>
      </c>
      <c r="C73" s="319"/>
      <c r="D73" s="108">
        <f>AVERAGEIF(E58:Y58, "&gt;0")</f>
        <v>780146.31777777779</v>
      </c>
      <c r="E73" s="11"/>
    </row>
    <row r="75" spans="2:42">
      <c r="B75" s="12" t="s">
        <v>87</v>
      </c>
      <c r="C75" s="13">
        <v>0.28999999999999998</v>
      </c>
      <c r="D75" s="14">
        <f>SUM(E75:AI75)</f>
        <v>6428829.1907999991</v>
      </c>
      <c r="E75" s="163">
        <f t="shared" ref="E75:AP75" si="28">E58*$C$75</f>
        <v>0</v>
      </c>
      <c r="F75" s="14">
        <f t="shared" si="28"/>
        <v>0</v>
      </c>
      <c r="G75" s="14">
        <f t="shared" si="28"/>
        <v>0</v>
      </c>
      <c r="H75" s="14">
        <f t="shared" si="28"/>
        <v>16373.4</v>
      </c>
      <c r="I75" s="14">
        <f t="shared" si="28"/>
        <v>94408.015199999994</v>
      </c>
      <c r="J75" s="14">
        <f t="shared" si="28"/>
        <v>179984.43999999997</v>
      </c>
      <c r="K75" s="14">
        <f t="shared" si="28"/>
        <v>158783.69999999998</v>
      </c>
      <c r="L75" s="14">
        <f t="shared" si="28"/>
        <v>139704.59999999998</v>
      </c>
      <c r="M75" s="14">
        <f t="shared" si="28"/>
        <v>232992.902</v>
      </c>
      <c r="N75" s="14">
        <f t="shared" si="28"/>
        <v>197062.83</v>
      </c>
      <c r="O75" s="14">
        <f t="shared" si="28"/>
        <v>155537.15</v>
      </c>
      <c r="P75" s="14">
        <f t="shared" si="28"/>
        <v>214174.976</v>
      </c>
      <c r="Q75" s="14">
        <f t="shared" si="28"/>
        <v>164789.31</v>
      </c>
      <c r="R75" s="14">
        <f t="shared" si="28"/>
        <v>308825.34999999998</v>
      </c>
      <c r="S75" s="14">
        <f t="shared" si="28"/>
        <v>420778.39999999997</v>
      </c>
      <c r="T75" s="14">
        <f t="shared" si="28"/>
        <v>552516.69999999995</v>
      </c>
      <c r="U75" s="14">
        <f t="shared" si="28"/>
        <v>392047.47359999997</v>
      </c>
      <c r="V75" s="14">
        <f t="shared" si="28"/>
        <v>139409.32199999999</v>
      </c>
      <c r="W75" s="14">
        <f t="shared" si="28"/>
        <v>200788.46</v>
      </c>
      <c r="X75" s="14">
        <f t="shared" si="28"/>
        <v>244824.37999999998</v>
      </c>
      <c r="Y75" s="14">
        <f t="shared" si="28"/>
        <v>259362.37</v>
      </c>
      <c r="Z75" s="14">
        <f t="shared" si="28"/>
        <v>752291.89999999991</v>
      </c>
      <c r="AA75" s="14">
        <f t="shared" si="28"/>
        <v>428994.1</v>
      </c>
      <c r="AB75" s="14">
        <f t="shared" si="28"/>
        <v>210986.19399999999</v>
      </c>
      <c r="AC75" s="14">
        <f t="shared" si="28"/>
        <v>179161.30399999997</v>
      </c>
      <c r="AD75" s="14">
        <f t="shared" si="28"/>
        <v>129088.91799999999</v>
      </c>
      <c r="AE75" s="14">
        <f t="shared" si="28"/>
        <v>73820.08</v>
      </c>
      <c r="AF75" s="14">
        <f t="shared" si="28"/>
        <v>0</v>
      </c>
      <c r="AG75" s="14">
        <f t="shared" si="28"/>
        <v>158542.826</v>
      </c>
      <c r="AH75" s="14">
        <f t="shared" si="28"/>
        <v>242132.02</v>
      </c>
      <c r="AI75" s="14">
        <f t="shared" si="28"/>
        <v>181448.06999999998</v>
      </c>
      <c r="AJ75" s="14">
        <f t="shared" si="28"/>
        <v>68620.67</v>
      </c>
      <c r="AK75" s="14">
        <f t="shared" si="28"/>
        <v>276864.60080000001</v>
      </c>
      <c r="AL75" s="14">
        <f t="shared" si="28"/>
        <v>258331.21119999996</v>
      </c>
      <c r="AM75" s="14">
        <f t="shared" si="28"/>
        <v>450520.98559999996</v>
      </c>
      <c r="AN75" s="14">
        <f t="shared" si="28"/>
        <v>0</v>
      </c>
      <c r="AO75" s="14">
        <f t="shared" si="28"/>
        <v>0</v>
      </c>
      <c r="AP75" s="14">
        <f t="shared" si="28"/>
        <v>0</v>
      </c>
    </row>
    <row r="76" spans="2:42">
      <c r="B76" s="16" t="s">
        <v>88</v>
      </c>
      <c r="C76" s="17">
        <f>11800000/322</f>
        <v>36645.962732919252</v>
      </c>
      <c r="D76" s="18">
        <f>SUM(E76:AI76)</f>
        <v>1136024.8447204968</v>
      </c>
      <c r="E76" s="19">
        <f t="shared" ref="E76:AP76" si="29">$C$76</f>
        <v>36645.962732919252</v>
      </c>
      <c r="F76" s="18">
        <f t="shared" si="29"/>
        <v>36645.962732919252</v>
      </c>
      <c r="G76" s="18">
        <f t="shared" si="29"/>
        <v>36645.962732919252</v>
      </c>
      <c r="H76" s="18">
        <f t="shared" si="29"/>
        <v>36645.962732919252</v>
      </c>
      <c r="I76" s="18">
        <f t="shared" si="29"/>
        <v>36645.962732919252</v>
      </c>
      <c r="J76" s="18">
        <f t="shared" si="29"/>
        <v>36645.962732919252</v>
      </c>
      <c r="K76" s="18">
        <f t="shared" si="29"/>
        <v>36645.962732919252</v>
      </c>
      <c r="L76" s="18">
        <f t="shared" si="29"/>
        <v>36645.962732919252</v>
      </c>
      <c r="M76" s="18">
        <f t="shared" si="29"/>
        <v>36645.962732919252</v>
      </c>
      <c r="N76" s="18">
        <f t="shared" si="29"/>
        <v>36645.962732919252</v>
      </c>
      <c r="O76" s="18">
        <f t="shared" si="29"/>
        <v>36645.962732919252</v>
      </c>
      <c r="P76" s="18">
        <f t="shared" si="29"/>
        <v>36645.962732919252</v>
      </c>
      <c r="Q76" s="18">
        <f t="shared" si="29"/>
        <v>36645.962732919252</v>
      </c>
      <c r="R76" s="18">
        <f t="shared" si="29"/>
        <v>36645.962732919252</v>
      </c>
      <c r="S76" s="18">
        <f t="shared" si="29"/>
        <v>36645.962732919252</v>
      </c>
      <c r="T76" s="18">
        <f t="shared" si="29"/>
        <v>36645.962732919252</v>
      </c>
      <c r="U76" s="18">
        <f t="shared" si="29"/>
        <v>36645.962732919252</v>
      </c>
      <c r="V76" s="18">
        <f t="shared" si="29"/>
        <v>36645.962732919252</v>
      </c>
      <c r="W76" s="18">
        <f t="shared" si="29"/>
        <v>36645.962732919252</v>
      </c>
      <c r="X76" s="18">
        <f t="shared" si="29"/>
        <v>36645.962732919252</v>
      </c>
      <c r="Y76" s="18">
        <f t="shared" si="29"/>
        <v>36645.962732919252</v>
      </c>
      <c r="Z76" s="18">
        <f t="shared" si="29"/>
        <v>36645.962732919252</v>
      </c>
      <c r="AA76" s="18">
        <f t="shared" si="29"/>
        <v>36645.962732919252</v>
      </c>
      <c r="AB76" s="18">
        <f t="shared" si="29"/>
        <v>36645.962732919252</v>
      </c>
      <c r="AC76" s="18">
        <f t="shared" si="29"/>
        <v>36645.962732919252</v>
      </c>
      <c r="AD76" s="18">
        <f t="shared" si="29"/>
        <v>36645.962732919252</v>
      </c>
      <c r="AE76" s="18">
        <f t="shared" si="29"/>
        <v>36645.962732919252</v>
      </c>
      <c r="AF76" s="18">
        <f t="shared" si="29"/>
        <v>36645.962732919252</v>
      </c>
      <c r="AG76" s="18">
        <f t="shared" si="29"/>
        <v>36645.962732919252</v>
      </c>
      <c r="AH76" s="18">
        <f t="shared" si="29"/>
        <v>36645.962732919252</v>
      </c>
      <c r="AI76" s="18">
        <f t="shared" si="29"/>
        <v>36645.962732919252</v>
      </c>
      <c r="AJ76" s="18">
        <f t="shared" si="29"/>
        <v>36645.962732919252</v>
      </c>
      <c r="AK76" s="18">
        <f t="shared" si="29"/>
        <v>36645.962732919252</v>
      </c>
      <c r="AL76" s="18">
        <f t="shared" si="29"/>
        <v>36645.962732919252</v>
      </c>
      <c r="AM76" s="18">
        <f t="shared" si="29"/>
        <v>36645.962732919252</v>
      </c>
      <c r="AN76" s="18">
        <f t="shared" si="29"/>
        <v>36645.962732919252</v>
      </c>
      <c r="AO76" s="18">
        <f t="shared" si="29"/>
        <v>36645.962732919252</v>
      </c>
      <c r="AP76" s="18">
        <f t="shared" si="29"/>
        <v>36645.962732919252</v>
      </c>
    </row>
    <row r="77" spans="2:42">
      <c r="B77" s="16" t="s">
        <v>89</v>
      </c>
      <c r="C77" s="17">
        <f>11400000/322</f>
        <v>35403.726708074537</v>
      </c>
      <c r="D77" s="18">
        <f>SUM(E77:AI77)</f>
        <v>1097515.5279503113</v>
      </c>
      <c r="E77" s="19">
        <f t="shared" ref="E77:AP77" si="30">$C$77</f>
        <v>35403.726708074537</v>
      </c>
      <c r="F77" s="18">
        <f t="shared" si="30"/>
        <v>35403.726708074537</v>
      </c>
      <c r="G77" s="18">
        <f t="shared" si="30"/>
        <v>35403.726708074537</v>
      </c>
      <c r="H77" s="18">
        <f t="shared" si="30"/>
        <v>35403.726708074537</v>
      </c>
      <c r="I77" s="18">
        <f t="shared" si="30"/>
        <v>35403.726708074537</v>
      </c>
      <c r="J77" s="18">
        <f t="shared" si="30"/>
        <v>35403.726708074537</v>
      </c>
      <c r="K77" s="18">
        <f t="shared" si="30"/>
        <v>35403.726708074537</v>
      </c>
      <c r="L77" s="18">
        <f t="shared" si="30"/>
        <v>35403.726708074537</v>
      </c>
      <c r="M77" s="18">
        <f t="shared" si="30"/>
        <v>35403.726708074537</v>
      </c>
      <c r="N77" s="18">
        <f t="shared" si="30"/>
        <v>35403.726708074537</v>
      </c>
      <c r="O77" s="18">
        <f t="shared" si="30"/>
        <v>35403.726708074537</v>
      </c>
      <c r="P77" s="18">
        <f t="shared" si="30"/>
        <v>35403.726708074537</v>
      </c>
      <c r="Q77" s="18">
        <f t="shared" si="30"/>
        <v>35403.726708074537</v>
      </c>
      <c r="R77" s="18">
        <f t="shared" si="30"/>
        <v>35403.726708074537</v>
      </c>
      <c r="S77" s="18">
        <f t="shared" si="30"/>
        <v>35403.726708074537</v>
      </c>
      <c r="T77" s="18">
        <f t="shared" si="30"/>
        <v>35403.726708074537</v>
      </c>
      <c r="U77" s="18">
        <f t="shared" si="30"/>
        <v>35403.726708074537</v>
      </c>
      <c r="V77" s="18">
        <f t="shared" si="30"/>
        <v>35403.726708074537</v>
      </c>
      <c r="W77" s="18">
        <f t="shared" si="30"/>
        <v>35403.726708074537</v>
      </c>
      <c r="X77" s="18">
        <f t="shared" si="30"/>
        <v>35403.726708074537</v>
      </c>
      <c r="Y77" s="18">
        <f t="shared" si="30"/>
        <v>35403.726708074537</v>
      </c>
      <c r="Z77" s="18">
        <f t="shared" si="30"/>
        <v>35403.726708074537</v>
      </c>
      <c r="AA77" s="18">
        <f t="shared" si="30"/>
        <v>35403.726708074537</v>
      </c>
      <c r="AB77" s="18">
        <f t="shared" si="30"/>
        <v>35403.726708074537</v>
      </c>
      <c r="AC77" s="18">
        <f t="shared" si="30"/>
        <v>35403.726708074537</v>
      </c>
      <c r="AD77" s="18">
        <f t="shared" si="30"/>
        <v>35403.726708074537</v>
      </c>
      <c r="AE77" s="18">
        <f t="shared" si="30"/>
        <v>35403.726708074537</v>
      </c>
      <c r="AF77" s="18">
        <f t="shared" si="30"/>
        <v>35403.726708074537</v>
      </c>
      <c r="AG77" s="18">
        <f t="shared" si="30"/>
        <v>35403.726708074537</v>
      </c>
      <c r="AH77" s="18">
        <f t="shared" si="30"/>
        <v>35403.726708074537</v>
      </c>
      <c r="AI77" s="18">
        <f t="shared" si="30"/>
        <v>35403.726708074537</v>
      </c>
      <c r="AJ77" s="18">
        <f t="shared" si="30"/>
        <v>35403.726708074537</v>
      </c>
      <c r="AK77" s="18">
        <f t="shared" si="30"/>
        <v>35403.726708074537</v>
      </c>
      <c r="AL77" s="18">
        <f t="shared" si="30"/>
        <v>35403.726708074537</v>
      </c>
      <c r="AM77" s="18">
        <f t="shared" si="30"/>
        <v>35403.726708074537</v>
      </c>
      <c r="AN77" s="18">
        <f t="shared" si="30"/>
        <v>35403.726708074537</v>
      </c>
      <c r="AO77" s="18">
        <f t="shared" si="30"/>
        <v>35403.726708074537</v>
      </c>
      <c r="AP77" s="18">
        <f t="shared" si="30"/>
        <v>35403.726708074537</v>
      </c>
    </row>
    <row r="78" spans="2:42">
      <c r="B78" s="20" t="s">
        <v>90</v>
      </c>
      <c r="C78" s="21">
        <v>11.6</v>
      </c>
      <c r="D78" s="23">
        <f>SUM(E78:AI78)</f>
        <v>3851200</v>
      </c>
      <c r="E78" s="22">
        <f t="shared" ref="E78:AP78" si="31">$C$78*E40</f>
        <v>34800</v>
      </c>
      <c r="F78" s="23">
        <f t="shared" si="31"/>
        <v>11600</v>
      </c>
      <c r="G78" s="23">
        <f t="shared" si="31"/>
        <v>81200</v>
      </c>
      <c r="H78" s="23">
        <f t="shared" si="31"/>
        <v>116000</v>
      </c>
      <c r="I78" s="23">
        <f t="shared" si="31"/>
        <v>150800</v>
      </c>
      <c r="J78" s="23">
        <f t="shared" si="31"/>
        <v>185600</v>
      </c>
      <c r="K78" s="23">
        <f t="shared" si="31"/>
        <v>104400</v>
      </c>
      <c r="L78" s="23">
        <f t="shared" si="31"/>
        <v>104400</v>
      </c>
      <c r="M78" s="23">
        <f t="shared" si="31"/>
        <v>116000</v>
      </c>
      <c r="N78" s="23">
        <f t="shared" si="31"/>
        <v>116000</v>
      </c>
      <c r="O78" s="23">
        <f t="shared" si="31"/>
        <v>104400</v>
      </c>
      <c r="P78" s="23">
        <f t="shared" si="31"/>
        <v>104400</v>
      </c>
      <c r="Q78" s="23">
        <f t="shared" si="31"/>
        <v>116000</v>
      </c>
      <c r="R78" s="23">
        <f t="shared" si="31"/>
        <v>150800</v>
      </c>
      <c r="S78" s="23">
        <f t="shared" si="31"/>
        <v>162400</v>
      </c>
      <c r="T78" s="23">
        <f t="shared" si="31"/>
        <v>162400</v>
      </c>
      <c r="U78" s="23">
        <f t="shared" si="31"/>
        <v>174000</v>
      </c>
      <c r="V78" s="23">
        <f t="shared" si="31"/>
        <v>162400</v>
      </c>
      <c r="W78" s="23">
        <f t="shared" si="31"/>
        <v>116000</v>
      </c>
      <c r="X78" s="23">
        <f t="shared" si="31"/>
        <v>104400</v>
      </c>
      <c r="Y78" s="23">
        <f t="shared" si="31"/>
        <v>150800</v>
      </c>
      <c r="Z78" s="23">
        <f t="shared" si="31"/>
        <v>127600</v>
      </c>
      <c r="AA78" s="23">
        <f t="shared" si="31"/>
        <v>162400</v>
      </c>
      <c r="AB78" s="23">
        <f t="shared" si="31"/>
        <v>162400</v>
      </c>
      <c r="AC78" s="23">
        <f t="shared" si="31"/>
        <v>127600</v>
      </c>
      <c r="AD78" s="23">
        <f t="shared" si="31"/>
        <v>127600</v>
      </c>
      <c r="AE78" s="23">
        <f t="shared" si="31"/>
        <v>139200</v>
      </c>
      <c r="AF78" s="23">
        <f t="shared" si="31"/>
        <v>92800</v>
      </c>
      <c r="AG78" s="23">
        <f t="shared" si="31"/>
        <v>162400</v>
      </c>
      <c r="AH78" s="23">
        <f t="shared" si="31"/>
        <v>92800</v>
      </c>
      <c r="AI78" s="23">
        <f t="shared" si="31"/>
        <v>127600</v>
      </c>
      <c r="AJ78" s="23">
        <f t="shared" si="31"/>
        <v>150800</v>
      </c>
      <c r="AK78" s="23">
        <f t="shared" si="31"/>
        <v>185600</v>
      </c>
      <c r="AL78" s="23">
        <f t="shared" si="31"/>
        <v>150800</v>
      </c>
      <c r="AM78" s="23">
        <f t="shared" si="31"/>
        <v>150800</v>
      </c>
      <c r="AN78" s="23">
        <f t="shared" si="31"/>
        <v>81200</v>
      </c>
      <c r="AO78" s="23">
        <f t="shared" si="31"/>
        <v>58000</v>
      </c>
      <c r="AP78" s="23">
        <f t="shared" si="31"/>
        <v>0</v>
      </c>
    </row>
    <row r="79" spans="2:42">
      <c r="B79" s="24" t="s">
        <v>91</v>
      </c>
      <c r="C79" s="25">
        <f>SUM(E79:AI79)</f>
        <v>9654806.9565291926</v>
      </c>
      <c r="D79" s="161">
        <f t="shared" ref="D79:AP79" si="32">D58-D75-D76-D77-D78</f>
        <v>13868340.596529189</v>
      </c>
      <c r="E79" s="27">
        <f t="shared" si="32"/>
        <v>-106849.6894409938</v>
      </c>
      <c r="F79" s="27">
        <f t="shared" si="32"/>
        <v>-83649.689440993796</v>
      </c>
      <c r="G79" s="27">
        <f t="shared" si="32"/>
        <v>-153249.6894409938</v>
      </c>
      <c r="H79" s="27">
        <f t="shared" si="32"/>
        <v>-147963.08944099379</v>
      </c>
      <c r="I79" s="27">
        <f t="shared" si="32"/>
        <v>8287.1753590062144</v>
      </c>
      <c r="J79" s="27">
        <f t="shared" si="32"/>
        <v>183001.87055900623</v>
      </c>
      <c r="K79" s="27">
        <f t="shared" si="32"/>
        <v>212296.61055900622</v>
      </c>
      <c r="L79" s="27">
        <f t="shared" si="32"/>
        <v>165585.7105590062</v>
      </c>
      <c r="M79" s="27">
        <f t="shared" si="32"/>
        <v>382381.20855900622</v>
      </c>
      <c r="N79" s="27">
        <f t="shared" si="32"/>
        <v>294414.48055900622</v>
      </c>
      <c r="O79" s="27">
        <f t="shared" si="32"/>
        <v>204348.16055900615</v>
      </c>
      <c r="P79" s="27">
        <f t="shared" si="32"/>
        <v>347909.73455900617</v>
      </c>
      <c r="Q79" s="27">
        <f t="shared" si="32"/>
        <v>215400.00055900624</v>
      </c>
      <c r="R79" s="27">
        <f t="shared" si="32"/>
        <v>533239.9605590062</v>
      </c>
      <c r="S79" s="27">
        <f t="shared" si="32"/>
        <v>795731.91055900627</v>
      </c>
      <c r="T79" s="27">
        <f t="shared" si="32"/>
        <v>1118263.6105590062</v>
      </c>
      <c r="U79" s="27">
        <f t="shared" si="32"/>
        <v>713790.67695900635</v>
      </c>
      <c r="V79" s="27">
        <f t="shared" si="32"/>
        <v>106862.78855900618</v>
      </c>
      <c r="W79" s="27">
        <f t="shared" si="32"/>
        <v>303535.85055900621</v>
      </c>
      <c r="X79" s="27">
        <f t="shared" si="32"/>
        <v>422947.93055900617</v>
      </c>
      <c r="Y79" s="26">
        <f t="shared" si="32"/>
        <v>412140.94055900618</v>
      </c>
      <c r="Z79" s="26">
        <f t="shared" si="32"/>
        <v>1642168.4105590063</v>
      </c>
      <c r="AA79" s="26">
        <f t="shared" si="32"/>
        <v>815846.21055900608</v>
      </c>
      <c r="AB79" s="26">
        <f t="shared" si="32"/>
        <v>282102.71655900613</v>
      </c>
      <c r="AC79" s="26">
        <f t="shared" si="32"/>
        <v>238986.60655900615</v>
      </c>
      <c r="AD79" s="26">
        <f t="shared" si="32"/>
        <v>116395.59255900621</v>
      </c>
      <c r="AE79" s="26">
        <f t="shared" si="32"/>
        <v>-30517.769440993812</v>
      </c>
      <c r="AF79" s="26">
        <f t="shared" si="32"/>
        <v>-164849.6894409938</v>
      </c>
      <c r="AG79" s="26">
        <f t="shared" si="32"/>
        <v>153706.8845590062</v>
      </c>
      <c r="AH79" s="26">
        <f t="shared" si="32"/>
        <v>427956.29055900616</v>
      </c>
      <c r="AI79" s="26">
        <f t="shared" si="32"/>
        <v>244585.24055900623</v>
      </c>
      <c r="AJ79" s="26">
        <f t="shared" si="32"/>
        <v>-54847.35944099378</v>
      </c>
      <c r="AK79" s="26">
        <f t="shared" si="32"/>
        <v>420191.22975900618</v>
      </c>
      <c r="AL79" s="26">
        <f t="shared" si="32"/>
        <v>409616.37935900618</v>
      </c>
      <c r="AM79" s="26">
        <f t="shared" si="32"/>
        <v>880149.96495900606</v>
      </c>
      <c r="AN79" s="26">
        <f t="shared" si="32"/>
        <v>-153249.6894409938</v>
      </c>
      <c r="AO79" s="26">
        <f t="shared" si="32"/>
        <v>-130049.6894409938</v>
      </c>
      <c r="AP79" s="26">
        <f t="shared" si="32"/>
        <v>-72049.689440993796</v>
      </c>
    </row>
    <row r="80" spans="2:42">
      <c r="B80" s="320" t="s">
        <v>92</v>
      </c>
      <c r="C80" s="321"/>
      <c r="D80" s="322"/>
      <c r="E80" s="28">
        <f>E79</f>
        <v>-106849.6894409938</v>
      </c>
      <c r="F80" s="28">
        <f t="shared" ref="F80:AM80" si="33">F79+E80</f>
        <v>-190499.37888198759</v>
      </c>
      <c r="G80" s="28">
        <f t="shared" si="33"/>
        <v>-343749.06832298136</v>
      </c>
      <c r="H80" s="28">
        <f t="shared" si="33"/>
        <v>-491712.15776397515</v>
      </c>
      <c r="I80" s="28">
        <f t="shared" si="33"/>
        <v>-483424.98240496893</v>
      </c>
      <c r="J80" s="28">
        <f t="shared" si="33"/>
        <v>-300423.1118459627</v>
      </c>
      <c r="K80" s="28">
        <f t="shared" si="33"/>
        <v>-88126.501286956482</v>
      </c>
      <c r="L80" s="28">
        <f t="shared" si="33"/>
        <v>77459.209272049717</v>
      </c>
      <c r="M80" s="28">
        <f t="shared" si="33"/>
        <v>459840.41783105594</v>
      </c>
      <c r="N80" s="28">
        <f t="shared" si="33"/>
        <v>754254.89839006215</v>
      </c>
      <c r="O80" s="28">
        <f t="shared" si="33"/>
        <v>958603.05894906831</v>
      </c>
      <c r="P80" s="28">
        <f t="shared" si="33"/>
        <v>1306512.7935080745</v>
      </c>
      <c r="Q80" s="28">
        <f t="shared" si="33"/>
        <v>1521912.7940670806</v>
      </c>
      <c r="R80" s="28">
        <f t="shared" si="33"/>
        <v>2055152.7546260869</v>
      </c>
      <c r="S80" s="28">
        <f t="shared" si="33"/>
        <v>2850884.6651850929</v>
      </c>
      <c r="T80" s="28">
        <f t="shared" si="33"/>
        <v>3969148.2757440992</v>
      </c>
      <c r="U80" s="28">
        <f t="shared" si="33"/>
        <v>4682938.9527031053</v>
      </c>
      <c r="V80" s="28">
        <f t="shared" si="33"/>
        <v>4789801.7412621118</v>
      </c>
      <c r="W80" s="28">
        <f t="shared" si="33"/>
        <v>5093337.5918211183</v>
      </c>
      <c r="X80" s="28">
        <f t="shared" si="33"/>
        <v>5516285.5223801248</v>
      </c>
      <c r="Y80" s="29">
        <f t="shared" si="33"/>
        <v>5928426.4629391311</v>
      </c>
      <c r="Z80" s="29">
        <f t="shared" si="33"/>
        <v>7570594.8734981371</v>
      </c>
      <c r="AA80" s="29">
        <f t="shared" si="33"/>
        <v>8386441.084057143</v>
      </c>
      <c r="AB80" s="29">
        <f t="shared" si="33"/>
        <v>8668543.8006161489</v>
      </c>
      <c r="AC80" s="29">
        <f t="shared" si="33"/>
        <v>8907530.4071751554</v>
      </c>
      <c r="AD80" s="29">
        <f t="shared" si="33"/>
        <v>9023925.9997341614</v>
      </c>
      <c r="AE80" s="29">
        <f t="shared" si="33"/>
        <v>8993408.2302931678</v>
      </c>
      <c r="AF80" s="29">
        <f t="shared" si="33"/>
        <v>8828558.5408521742</v>
      </c>
      <c r="AG80" s="29">
        <f t="shared" si="33"/>
        <v>8982265.4254111797</v>
      </c>
      <c r="AH80" s="29">
        <f t="shared" si="33"/>
        <v>9410221.7159701865</v>
      </c>
      <c r="AI80" s="29">
        <f t="shared" si="33"/>
        <v>9654806.9565291926</v>
      </c>
      <c r="AJ80" s="29">
        <f t="shared" si="33"/>
        <v>9599959.5970881991</v>
      </c>
      <c r="AK80" s="29">
        <f t="shared" si="33"/>
        <v>10020150.826847205</v>
      </c>
      <c r="AL80" s="29">
        <f t="shared" si="33"/>
        <v>10429767.206206212</v>
      </c>
      <c r="AM80" s="29">
        <f t="shared" si="33"/>
        <v>11309917.171165219</v>
      </c>
      <c r="AN80" s="29">
        <f t="shared" ref="AN80" si="34">AN79+AM80</f>
        <v>11156667.481724225</v>
      </c>
      <c r="AO80" s="29">
        <f t="shared" ref="AO80" si="35">AO79+AN80</f>
        <v>11026617.792283231</v>
      </c>
      <c r="AP80" s="29">
        <f t="shared" ref="AP80" si="36">AP79+AO80</f>
        <v>10954568.102842238</v>
      </c>
    </row>
    <row r="83" spans="2:13">
      <c r="B83" s="30" t="s">
        <v>93</v>
      </c>
      <c r="C83" s="31">
        <f>D40/D25</f>
        <v>0.31121255723920715</v>
      </c>
    </row>
    <row r="84" spans="2:13">
      <c r="D84" s="10"/>
      <c r="G84" s="323"/>
      <c r="H84" s="323"/>
      <c r="I84" s="323"/>
      <c r="J84" s="323"/>
      <c r="K84" s="32"/>
      <c r="L84" s="32"/>
    </row>
    <row r="85" spans="2:13">
      <c r="D85" s="10"/>
    </row>
    <row r="86" spans="2:13">
      <c r="G86" s="309" t="s">
        <v>94</v>
      </c>
      <c r="H86" s="310"/>
      <c r="I86" s="310"/>
      <c r="J86" s="310"/>
      <c r="K86" s="310"/>
      <c r="L86" s="310"/>
      <c r="M86" s="311"/>
    </row>
    <row r="87" spans="2:13">
      <c r="G87" s="37" t="s">
        <v>95</v>
      </c>
      <c r="H87" s="94" t="s">
        <v>96</v>
      </c>
      <c r="I87" s="94" t="s">
        <v>97</v>
      </c>
      <c r="J87" s="94" t="s">
        <v>98</v>
      </c>
      <c r="K87" s="94" t="s">
        <v>99</v>
      </c>
      <c r="L87" s="94" t="s">
        <v>100</v>
      </c>
      <c r="M87" s="141" t="s">
        <v>101</v>
      </c>
    </row>
    <row r="88" spans="2:13">
      <c r="G88" s="142" t="s">
        <v>47</v>
      </c>
      <c r="H88" s="134" t="s">
        <v>102</v>
      </c>
      <c r="I88" s="134" t="s">
        <v>103</v>
      </c>
      <c r="J88" s="134" t="s">
        <v>104</v>
      </c>
      <c r="K88" s="135">
        <v>2608</v>
      </c>
      <c r="L88" s="140">
        <v>38.229999999999997</v>
      </c>
      <c r="M88" s="145"/>
    </row>
    <row r="89" spans="2:13">
      <c r="G89" s="142" t="s">
        <v>47</v>
      </c>
      <c r="H89" s="134" t="s">
        <v>105</v>
      </c>
      <c r="I89" s="134" t="s">
        <v>106</v>
      </c>
      <c r="J89" s="134" t="s">
        <v>104</v>
      </c>
      <c r="K89" s="135">
        <v>85647</v>
      </c>
      <c r="L89" s="136">
        <v>34.909999999999997</v>
      </c>
      <c r="M89" s="145">
        <v>1.7935075871774091</v>
      </c>
    </row>
    <row r="90" spans="2:13">
      <c r="G90" s="142" t="s">
        <v>47</v>
      </c>
      <c r="H90" s="134" t="s">
        <v>107</v>
      </c>
      <c r="I90" s="134" t="s">
        <v>106</v>
      </c>
      <c r="J90" s="134" t="s">
        <v>104</v>
      </c>
      <c r="K90" s="135">
        <v>742226</v>
      </c>
      <c r="L90" s="136">
        <v>39.049999999999997</v>
      </c>
      <c r="M90" s="145">
        <v>17.38594958037633</v>
      </c>
    </row>
    <row r="91" spans="2:13">
      <c r="G91" s="142" t="s">
        <v>47</v>
      </c>
      <c r="H91" s="134" t="s">
        <v>108</v>
      </c>
      <c r="I91" s="134" t="s">
        <v>106</v>
      </c>
      <c r="J91" s="134" t="s">
        <v>104</v>
      </c>
      <c r="K91" s="135">
        <v>587570</v>
      </c>
      <c r="L91" s="136">
        <v>45.15</v>
      </c>
      <c r="M91" s="145">
        <v>15.913238885266473</v>
      </c>
    </row>
    <row r="92" spans="2:13">
      <c r="G92" s="142" t="s">
        <v>47</v>
      </c>
      <c r="H92" s="134" t="s">
        <v>109</v>
      </c>
      <c r="I92" s="134" t="s">
        <v>106</v>
      </c>
      <c r="J92" s="134" t="s">
        <v>104</v>
      </c>
      <c r="K92" s="135">
        <v>80371</v>
      </c>
      <c r="L92" s="136">
        <v>35.58</v>
      </c>
      <c r="M92" s="145">
        <v>1.7153254445323556</v>
      </c>
    </row>
    <row r="93" spans="2:13">
      <c r="G93" s="147" t="s">
        <v>47</v>
      </c>
      <c r="H93" s="137" t="s">
        <v>110</v>
      </c>
      <c r="I93" s="137" t="s">
        <v>106</v>
      </c>
      <c r="J93" s="137" t="s">
        <v>104</v>
      </c>
      <c r="K93" s="138">
        <v>168667</v>
      </c>
      <c r="L93" s="139">
        <v>50.23</v>
      </c>
      <c r="M93" s="148">
        <v>5.0819982676389799</v>
      </c>
    </row>
    <row r="94" spans="2:13">
      <c r="G94" s="150"/>
      <c r="H94" s="151"/>
      <c r="I94" s="151"/>
      <c r="J94" s="151"/>
      <c r="K94" s="152">
        <v>1667089</v>
      </c>
      <c r="L94" s="153"/>
      <c r="M94" s="154">
        <v>41.89001976499155</v>
      </c>
    </row>
    <row r="95" spans="2:13">
      <c r="G95" s="142"/>
      <c r="H95" s="134"/>
      <c r="I95" s="134"/>
      <c r="J95" s="134"/>
      <c r="K95" s="135"/>
      <c r="L95" s="136"/>
      <c r="M95" s="145"/>
    </row>
    <row r="96" spans="2:13">
      <c r="G96" s="142" t="s">
        <v>49</v>
      </c>
      <c r="H96" s="134" t="s">
        <v>111</v>
      </c>
      <c r="I96" s="134" t="s">
        <v>106</v>
      </c>
      <c r="J96" s="134" t="s">
        <v>104</v>
      </c>
      <c r="K96" s="135">
        <v>77875</v>
      </c>
      <c r="L96" s="136">
        <v>26.49</v>
      </c>
      <c r="M96" s="145">
        <v>8.5388830249596417</v>
      </c>
    </row>
    <row r="97" spans="7:13">
      <c r="G97" s="147" t="s">
        <v>49</v>
      </c>
      <c r="H97" s="137" t="s">
        <v>112</v>
      </c>
      <c r="I97" s="137" t="s">
        <v>106</v>
      </c>
      <c r="J97" s="137" t="s">
        <v>104</v>
      </c>
      <c r="K97" s="138">
        <v>163715</v>
      </c>
      <c r="L97" s="139">
        <v>30.17</v>
      </c>
      <c r="M97" s="148">
        <v>20.444892379651478</v>
      </c>
    </row>
    <row r="98" spans="7:13">
      <c r="G98" s="150"/>
      <c r="H98" s="151"/>
      <c r="I98" s="151"/>
      <c r="J98" s="151"/>
      <c r="K98" s="152">
        <v>241590</v>
      </c>
      <c r="L98" s="153"/>
      <c r="M98" s="154">
        <v>28.983775404611119</v>
      </c>
    </row>
    <row r="99" spans="7:13">
      <c r="G99" s="142"/>
      <c r="H99" s="134"/>
      <c r="I99" s="134"/>
      <c r="J99" s="134"/>
      <c r="K99" s="135"/>
      <c r="L99" s="136"/>
      <c r="M99" s="145"/>
    </row>
    <row r="100" spans="7:13">
      <c r="G100" s="142" t="s">
        <v>113</v>
      </c>
      <c r="H100" s="134" t="s">
        <v>114</v>
      </c>
      <c r="I100" s="134" t="s">
        <v>106</v>
      </c>
      <c r="J100" s="134" t="s">
        <v>104</v>
      </c>
      <c r="K100" s="135">
        <v>64834</v>
      </c>
      <c r="L100" s="136">
        <v>18.75</v>
      </c>
      <c r="M100" s="145">
        <v>3.1173469518590418</v>
      </c>
    </row>
    <row r="101" spans="7:13">
      <c r="G101" s="142" t="s">
        <v>113</v>
      </c>
      <c r="H101" s="134" t="s">
        <v>115</v>
      </c>
      <c r="I101" s="134" t="s">
        <v>106</v>
      </c>
      <c r="J101" s="134" t="s">
        <v>104</v>
      </c>
      <c r="K101" s="135">
        <v>305804</v>
      </c>
      <c r="L101" s="136">
        <v>21.25</v>
      </c>
      <c r="M101" s="145">
        <v>16.664149308004177</v>
      </c>
    </row>
    <row r="102" spans="7:13">
      <c r="G102" s="147" t="s">
        <v>113</v>
      </c>
      <c r="H102" s="137" t="s">
        <v>116</v>
      </c>
      <c r="I102" s="137" t="s">
        <v>106</v>
      </c>
      <c r="J102" s="137" t="s">
        <v>104</v>
      </c>
      <c r="K102" s="138">
        <v>19321</v>
      </c>
      <c r="L102" s="139">
        <v>22.25</v>
      </c>
      <c r="M102" s="148">
        <v>1.102403714236625</v>
      </c>
    </row>
    <row r="103" spans="7:13">
      <c r="G103" s="147"/>
      <c r="H103" s="137"/>
      <c r="I103" s="137"/>
      <c r="J103" s="137"/>
      <c r="K103" s="138">
        <v>389959</v>
      </c>
      <c r="L103" s="139"/>
      <c r="M103" s="149">
        <v>20.883899974099844</v>
      </c>
    </row>
  </sheetData>
  <mergeCells count="8">
    <mergeCell ref="G84:J84"/>
    <mergeCell ref="G86:M86"/>
    <mergeCell ref="A25:A37"/>
    <mergeCell ref="A40:A41"/>
    <mergeCell ref="A45:A50"/>
    <mergeCell ref="A52:A56"/>
    <mergeCell ref="B73:C73"/>
    <mergeCell ref="B80:D80"/>
  </mergeCells>
  <conditionalFormatting sqref="E80:AP80 B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249F-A9F6-4932-9CDF-280E19735E3B}">
  <dimension ref="A2:AL82"/>
  <sheetViews>
    <sheetView workbookViewId="0">
      <selection activeCell="C83" sqref="C83"/>
    </sheetView>
  </sheetViews>
  <sheetFormatPr defaultColWidth="11.42578125" defaultRowHeight="15"/>
  <cols>
    <col min="2" max="2" width="22.85546875" customWidth="1"/>
    <col min="4" max="4" width="12.7109375" customWidth="1"/>
    <col min="7" max="7" width="12.85546875" customWidth="1"/>
    <col min="9" max="10" width="12.42578125" customWidth="1"/>
  </cols>
  <sheetData>
    <row r="2" spans="2:38" ht="15.75">
      <c r="B2" s="54" t="s">
        <v>0</v>
      </c>
      <c r="C2" s="109" t="s">
        <v>1</v>
      </c>
    </row>
    <row r="3" spans="2:38" ht="15.75">
      <c r="B3" s="54" t="s">
        <v>2</v>
      </c>
      <c r="C3" s="109">
        <v>6</v>
      </c>
    </row>
    <row r="4" spans="2:38" ht="15.75">
      <c r="B4" s="54" t="s">
        <v>3</v>
      </c>
      <c r="C4" s="110">
        <v>44763</v>
      </c>
    </row>
    <row r="5" spans="2:38" ht="15.75">
      <c r="B5" s="54" t="s">
        <v>4</v>
      </c>
      <c r="C5" s="110">
        <v>44797</v>
      </c>
    </row>
    <row r="6" spans="2:38" ht="15.75">
      <c r="B6" s="2"/>
      <c r="C6" s="2"/>
    </row>
    <row r="7" spans="2:38" ht="15.75">
      <c r="B7" s="54" t="s">
        <v>5</v>
      </c>
      <c r="D7" s="41" t="s">
        <v>6</v>
      </c>
      <c r="E7" s="42">
        <v>44764</v>
      </c>
      <c r="F7" s="42">
        <v>44765</v>
      </c>
      <c r="G7" s="42">
        <v>44766</v>
      </c>
      <c r="H7" s="42">
        <v>44767</v>
      </c>
      <c r="I7" s="42">
        <v>44768</v>
      </c>
      <c r="J7" s="42">
        <v>44769</v>
      </c>
      <c r="K7" s="42">
        <v>44770</v>
      </c>
      <c r="L7" s="42">
        <v>44771</v>
      </c>
      <c r="M7" s="42">
        <v>44772</v>
      </c>
      <c r="N7" s="42">
        <v>44773</v>
      </c>
      <c r="O7" s="42">
        <v>44774</v>
      </c>
      <c r="P7" s="42">
        <v>44775</v>
      </c>
      <c r="Q7" s="42">
        <v>44776</v>
      </c>
      <c r="R7" s="42">
        <v>44777</v>
      </c>
      <c r="S7" s="42">
        <v>44778</v>
      </c>
      <c r="T7" s="42">
        <v>44779</v>
      </c>
      <c r="U7" s="42">
        <v>44780</v>
      </c>
      <c r="V7" s="42">
        <v>44781</v>
      </c>
      <c r="W7" s="42">
        <v>44782</v>
      </c>
      <c r="X7" s="42">
        <v>44783</v>
      </c>
      <c r="Y7" s="42">
        <v>44784</v>
      </c>
      <c r="Z7" s="42">
        <v>44785</v>
      </c>
      <c r="AA7" s="42">
        <v>44786</v>
      </c>
      <c r="AB7" s="42">
        <v>44787</v>
      </c>
      <c r="AC7" s="42">
        <v>44788</v>
      </c>
      <c r="AD7" s="42">
        <v>44789</v>
      </c>
      <c r="AE7" s="42">
        <v>44790</v>
      </c>
      <c r="AF7" s="42">
        <v>44791</v>
      </c>
      <c r="AG7" s="42">
        <v>44792</v>
      </c>
      <c r="AH7" s="42">
        <v>44793</v>
      </c>
      <c r="AI7" s="42">
        <v>44794</v>
      </c>
      <c r="AJ7" s="42">
        <v>44795</v>
      </c>
      <c r="AK7" s="42">
        <v>44796</v>
      </c>
      <c r="AL7" s="42">
        <v>44797</v>
      </c>
    </row>
    <row r="8" spans="2:38">
      <c r="B8" s="46" t="s">
        <v>7</v>
      </c>
      <c r="C8" s="47" t="s">
        <v>8</v>
      </c>
      <c r="D8" s="71">
        <f>SUM(E8:AL8)</f>
        <v>400.5</v>
      </c>
      <c r="E8" s="114">
        <v>1.5</v>
      </c>
      <c r="F8" s="114">
        <v>8</v>
      </c>
      <c r="G8" s="114">
        <v>24</v>
      </c>
      <c r="H8" s="114">
        <v>18</v>
      </c>
      <c r="I8" s="114">
        <v>24</v>
      </c>
      <c r="J8" s="114">
        <v>24</v>
      </c>
      <c r="K8" s="114">
        <v>24</v>
      </c>
      <c r="L8" s="114">
        <v>24</v>
      </c>
      <c r="M8" s="114">
        <v>24</v>
      </c>
      <c r="N8" s="114">
        <v>7</v>
      </c>
      <c r="O8" s="114">
        <v>24</v>
      </c>
      <c r="P8" s="114">
        <v>24</v>
      </c>
      <c r="Q8" s="114">
        <v>24</v>
      </c>
      <c r="R8" s="114">
        <v>24</v>
      </c>
      <c r="S8" s="114">
        <v>24</v>
      </c>
      <c r="T8" s="114">
        <v>24</v>
      </c>
      <c r="U8" s="114">
        <v>24</v>
      </c>
      <c r="V8" s="114">
        <v>24</v>
      </c>
      <c r="W8" s="114">
        <v>24</v>
      </c>
      <c r="X8" s="114">
        <v>6</v>
      </c>
      <c r="Y8" s="114">
        <v>0</v>
      </c>
      <c r="Z8" s="114">
        <v>0</v>
      </c>
      <c r="AA8" s="114">
        <v>0</v>
      </c>
      <c r="AB8" s="114">
        <v>0</v>
      </c>
      <c r="AC8" s="114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14">
        <v>0</v>
      </c>
      <c r="AL8" s="114">
        <v>0</v>
      </c>
    </row>
    <row r="9" spans="2:38">
      <c r="B9" s="48" t="s">
        <v>9</v>
      </c>
      <c r="C9" s="38" t="s">
        <v>8</v>
      </c>
      <c r="D9" s="71">
        <f t="shared" ref="D9:D15" si="0">SUM(E9:AI9)</f>
        <v>73.5</v>
      </c>
      <c r="E9" s="115">
        <v>20.5</v>
      </c>
      <c r="F9" s="115">
        <v>16</v>
      </c>
      <c r="G9" s="115">
        <v>0</v>
      </c>
      <c r="H9" s="115">
        <v>6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6</v>
      </c>
      <c r="Y9" s="115">
        <v>15</v>
      </c>
      <c r="Z9" s="115">
        <v>10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</row>
    <row r="10" spans="2:38">
      <c r="B10" s="48" t="s">
        <v>10</v>
      </c>
      <c r="C10" s="38" t="s">
        <v>8</v>
      </c>
      <c r="D10" s="71">
        <f t="shared" si="0"/>
        <v>65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17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12</v>
      </c>
      <c r="Y10" s="115">
        <v>9</v>
      </c>
      <c r="Z10" s="115">
        <v>3</v>
      </c>
      <c r="AA10" s="115">
        <v>24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</row>
    <row r="11" spans="2:38">
      <c r="B11" s="48" t="s">
        <v>11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</row>
    <row r="12" spans="2:38">
      <c r="B12" s="48" t="s">
        <v>12</v>
      </c>
      <c r="C12" s="38" t="s">
        <v>8</v>
      </c>
      <c r="D12" s="71">
        <f t="shared" si="0"/>
        <v>11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11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</row>
    <row r="13" spans="2:38">
      <c r="B13" s="48" t="s">
        <v>13</v>
      </c>
      <c r="C13" s="38" t="s">
        <v>8</v>
      </c>
      <c r="D13" s="71">
        <f t="shared" si="0"/>
        <v>2</v>
      </c>
      <c r="E13" s="115">
        <v>2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</row>
    <row r="14" spans="2:38">
      <c r="B14" s="49" t="s">
        <v>14</v>
      </c>
      <c r="C14" s="40" t="s">
        <v>8</v>
      </c>
      <c r="D14" s="71">
        <f t="shared" si="0"/>
        <v>3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3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</row>
    <row r="15" spans="2:38">
      <c r="B15" s="68" t="s">
        <v>15</v>
      </c>
      <c r="C15" s="69" t="s">
        <v>8</v>
      </c>
      <c r="D15" s="70">
        <f t="shared" si="0"/>
        <v>555</v>
      </c>
      <c r="E15" s="117">
        <f t="shared" ref="E15:F15" si="1">SUM(E8:E14)</f>
        <v>24</v>
      </c>
      <c r="F15" s="117">
        <f t="shared" si="1"/>
        <v>24</v>
      </c>
      <c r="G15" s="117">
        <f t="shared" ref="G15:I15" si="2">SUM(G8:G14)</f>
        <v>24</v>
      </c>
      <c r="H15" s="117">
        <f t="shared" si="2"/>
        <v>24</v>
      </c>
      <c r="I15" s="117">
        <f t="shared" si="2"/>
        <v>24</v>
      </c>
      <c r="J15" s="117">
        <f t="shared" ref="J15:L15" si="3">SUM(J8:J14)</f>
        <v>24</v>
      </c>
      <c r="K15" s="117">
        <f t="shared" si="3"/>
        <v>24</v>
      </c>
      <c r="L15" s="117">
        <f t="shared" si="3"/>
        <v>24</v>
      </c>
      <c r="M15" s="117">
        <f t="shared" ref="M15:Y15" si="4">SUM(M8:M14)</f>
        <v>24</v>
      </c>
      <c r="N15" s="117">
        <f t="shared" si="4"/>
        <v>24</v>
      </c>
      <c r="O15" s="117">
        <f t="shared" si="4"/>
        <v>24</v>
      </c>
      <c r="P15" s="117">
        <f t="shared" si="4"/>
        <v>24</v>
      </c>
      <c r="Q15" s="117">
        <f t="shared" si="4"/>
        <v>24</v>
      </c>
      <c r="R15" s="117">
        <f t="shared" si="4"/>
        <v>24</v>
      </c>
      <c r="S15" s="117">
        <f t="shared" si="4"/>
        <v>24</v>
      </c>
      <c r="T15" s="117">
        <f t="shared" si="4"/>
        <v>24</v>
      </c>
      <c r="U15" s="117">
        <f t="shared" si="4"/>
        <v>24</v>
      </c>
      <c r="V15" s="117">
        <f t="shared" si="4"/>
        <v>24</v>
      </c>
      <c r="W15" s="117">
        <f t="shared" si="4"/>
        <v>24</v>
      </c>
      <c r="X15" s="117">
        <f t="shared" si="4"/>
        <v>24</v>
      </c>
      <c r="Y15" s="117">
        <f t="shared" si="4"/>
        <v>24</v>
      </c>
      <c r="Z15" s="117">
        <f t="shared" ref="Z15:AL15" si="5">SUM(Z8:Z14)</f>
        <v>27</v>
      </c>
      <c r="AA15" s="117">
        <f t="shared" si="5"/>
        <v>24</v>
      </c>
      <c r="AB15" s="117">
        <f t="shared" si="5"/>
        <v>0</v>
      </c>
      <c r="AC15" s="117">
        <f t="shared" si="5"/>
        <v>0</v>
      </c>
      <c r="AD15" s="117">
        <f t="shared" si="5"/>
        <v>0</v>
      </c>
      <c r="AE15" s="117">
        <f t="shared" si="5"/>
        <v>0</v>
      </c>
      <c r="AF15" s="117">
        <f t="shared" si="5"/>
        <v>0</v>
      </c>
      <c r="AG15" s="117">
        <f t="shared" si="5"/>
        <v>0</v>
      </c>
      <c r="AH15" s="117">
        <f t="shared" si="5"/>
        <v>0</v>
      </c>
      <c r="AI15" s="117">
        <f t="shared" si="5"/>
        <v>0</v>
      </c>
      <c r="AJ15" s="117">
        <f t="shared" si="5"/>
        <v>0</v>
      </c>
      <c r="AK15" s="117">
        <f t="shared" si="5"/>
        <v>0</v>
      </c>
      <c r="AL15" s="117">
        <f t="shared" si="5"/>
        <v>0</v>
      </c>
    </row>
    <row r="17" spans="1:38">
      <c r="B17" s="50" t="s">
        <v>16</v>
      </c>
      <c r="C17" s="50" t="s">
        <v>0</v>
      </c>
      <c r="D17" s="58">
        <f>SUM(E17:AI17)</f>
        <v>0</v>
      </c>
      <c r="E17" s="127" t="s">
        <v>195</v>
      </c>
      <c r="F17" s="127" t="s">
        <v>196</v>
      </c>
      <c r="G17" s="127" t="s">
        <v>196</v>
      </c>
      <c r="H17" s="127" t="s">
        <v>196</v>
      </c>
      <c r="I17" s="127" t="s">
        <v>197</v>
      </c>
      <c r="J17" s="127" t="s">
        <v>198</v>
      </c>
      <c r="K17" s="127" t="s">
        <v>197</v>
      </c>
      <c r="L17" s="127" t="s">
        <v>199</v>
      </c>
      <c r="M17" s="127" t="s">
        <v>197</v>
      </c>
      <c r="N17" s="127" t="s">
        <v>197</v>
      </c>
      <c r="O17" s="127" t="s">
        <v>197</v>
      </c>
      <c r="P17" s="127" t="s">
        <v>196</v>
      </c>
      <c r="Q17" s="127" t="s">
        <v>162</v>
      </c>
      <c r="R17" s="127" t="s">
        <v>162</v>
      </c>
      <c r="S17" s="127" t="s">
        <v>200</v>
      </c>
      <c r="T17" s="127" t="s">
        <v>162</v>
      </c>
      <c r="U17" s="127" t="s">
        <v>162</v>
      </c>
      <c r="V17" s="127" t="s">
        <v>162</v>
      </c>
      <c r="W17" s="127" t="s">
        <v>201</v>
      </c>
      <c r="X17" s="127" t="s">
        <v>202</v>
      </c>
      <c r="Y17" s="127" t="s">
        <v>202</v>
      </c>
      <c r="Z17" s="127" t="s">
        <v>203</v>
      </c>
      <c r="AA17" s="127" t="s">
        <v>203</v>
      </c>
      <c r="AB17" s="127" t="s">
        <v>128</v>
      </c>
      <c r="AC17" s="127" t="s">
        <v>128</v>
      </c>
      <c r="AD17" s="127" t="s">
        <v>128</v>
      </c>
      <c r="AE17" s="127" t="s">
        <v>128</v>
      </c>
      <c r="AF17" s="127" t="s">
        <v>128</v>
      </c>
      <c r="AG17" s="127" t="s">
        <v>128</v>
      </c>
      <c r="AH17" s="127" t="s">
        <v>128</v>
      </c>
      <c r="AI17" s="127" t="s">
        <v>128</v>
      </c>
      <c r="AJ17" s="127" t="s">
        <v>128</v>
      </c>
      <c r="AK17" s="127" t="s">
        <v>128</v>
      </c>
      <c r="AL17" s="127" t="s">
        <v>128</v>
      </c>
    </row>
    <row r="18" spans="1:38">
      <c r="B18" s="37" t="s">
        <v>31</v>
      </c>
      <c r="C18" s="37" t="s">
        <v>32</v>
      </c>
      <c r="D18" s="131">
        <f>SUM(E18:AI18)</f>
        <v>282</v>
      </c>
      <c r="E18" s="162">
        <v>1</v>
      </c>
      <c r="F18" s="162">
        <v>5</v>
      </c>
      <c r="G18" s="162">
        <v>22</v>
      </c>
      <c r="H18" s="162">
        <v>15.5</v>
      </c>
      <c r="I18" s="162">
        <v>16.5</v>
      </c>
      <c r="J18" s="162">
        <v>16</v>
      </c>
      <c r="K18" s="162">
        <v>26</v>
      </c>
      <c r="L18" s="162">
        <v>17</v>
      </c>
      <c r="M18" s="162">
        <v>13</v>
      </c>
      <c r="N18" s="162">
        <v>15</v>
      </c>
      <c r="O18" s="162">
        <v>6.5</v>
      </c>
      <c r="P18" s="162">
        <v>14.5</v>
      </c>
      <c r="Q18" s="162">
        <v>8</v>
      </c>
      <c r="R18" s="162">
        <v>16</v>
      </c>
      <c r="S18" s="162">
        <v>20.5</v>
      </c>
      <c r="T18" s="162">
        <v>23.5</v>
      </c>
      <c r="U18" s="162">
        <v>18</v>
      </c>
      <c r="V18" s="162">
        <v>14</v>
      </c>
      <c r="W18" s="162">
        <v>9</v>
      </c>
      <c r="X18" s="162">
        <v>5</v>
      </c>
      <c r="Y18" s="162" t="s">
        <v>128</v>
      </c>
      <c r="Z18" s="162" t="s">
        <v>128</v>
      </c>
      <c r="AA18" s="162" t="s">
        <v>128</v>
      </c>
      <c r="AB18" s="162" t="s">
        <v>128</v>
      </c>
      <c r="AC18" s="162" t="s">
        <v>128</v>
      </c>
      <c r="AD18" s="162" t="s">
        <v>128</v>
      </c>
      <c r="AE18" s="162" t="s">
        <v>128</v>
      </c>
      <c r="AF18" s="162" t="s">
        <v>128</v>
      </c>
      <c r="AG18" s="162" t="s">
        <v>128</v>
      </c>
      <c r="AH18" s="162" t="s">
        <v>128</v>
      </c>
      <c r="AI18" s="162" t="s">
        <v>128</v>
      </c>
      <c r="AJ18" s="162" t="s">
        <v>128</v>
      </c>
      <c r="AK18" s="162" t="s">
        <v>128</v>
      </c>
      <c r="AL18" s="162" t="s">
        <v>128</v>
      </c>
    </row>
    <row r="19" spans="1:38">
      <c r="B19" s="37" t="s">
        <v>35</v>
      </c>
      <c r="C19" s="37" t="s">
        <v>36</v>
      </c>
      <c r="D19" s="131">
        <f>SUM(E19:AI19)</f>
        <v>56</v>
      </c>
      <c r="E19" s="162">
        <v>1</v>
      </c>
      <c r="F19" s="162">
        <v>1</v>
      </c>
      <c r="G19" s="162">
        <v>4</v>
      </c>
      <c r="H19" s="162">
        <v>3</v>
      </c>
      <c r="I19" s="162">
        <v>3</v>
      </c>
      <c r="J19" s="162">
        <v>3</v>
      </c>
      <c r="K19" s="162">
        <v>4</v>
      </c>
      <c r="L19" s="162">
        <v>3</v>
      </c>
      <c r="M19" s="162">
        <v>2</v>
      </c>
      <c r="N19" s="162">
        <v>2</v>
      </c>
      <c r="O19" s="162">
        <v>1</v>
      </c>
      <c r="P19" s="162">
        <v>4</v>
      </c>
      <c r="Q19" s="162">
        <v>5</v>
      </c>
      <c r="R19" s="162">
        <v>3</v>
      </c>
      <c r="S19" s="162">
        <v>4</v>
      </c>
      <c r="T19" s="162">
        <v>4</v>
      </c>
      <c r="U19" s="162">
        <v>3</v>
      </c>
      <c r="V19" s="162">
        <v>3</v>
      </c>
      <c r="W19" s="162">
        <v>2</v>
      </c>
      <c r="X19" s="162">
        <v>1</v>
      </c>
      <c r="Y19" s="162" t="s">
        <v>128</v>
      </c>
      <c r="Z19" s="162" t="s">
        <v>128</v>
      </c>
      <c r="AA19" s="162" t="s">
        <v>128</v>
      </c>
      <c r="AB19" s="162" t="s">
        <v>128</v>
      </c>
      <c r="AC19" s="162" t="s">
        <v>128</v>
      </c>
      <c r="AD19" s="162" t="s">
        <v>128</v>
      </c>
      <c r="AE19" s="162" t="s">
        <v>128</v>
      </c>
      <c r="AF19" s="162" t="s">
        <v>128</v>
      </c>
      <c r="AG19" s="162" t="s">
        <v>128</v>
      </c>
      <c r="AH19" s="162" t="s">
        <v>128</v>
      </c>
      <c r="AI19" s="162" t="s">
        <v>128</v>
      </c>
      <c r="AJ19" s="162" t="s">
        <v>128</v>
      </c>
      <c r="AK19" s="162" t="s">
        <v>128</v>
      </c>
      <c r="AL19" s="162" t="s">
        <v>128</v>
      </c>
    </row>
    <row r="20" spans="1:38">
      <c r="B20" s="39" t="s">
        <v>37</v>
      </c>
      <c r="C20" s="39" t="s">
        <v>38</v>
      </c>
      <c r="D20" s="67">
        <f>SUM(E20:AI20)</f>
        <v>0</v>
      </c>
      <c r="E20" s="129" t="s">
        <v>40</v>
      </c>
      <c r="F20" s="129" t="s">
        <v>40</v>
      </c>
      <c r="G20" s="129" t="s">
        <v>40</v>
      </c>
      <c r="H20" s="129" t="s">
        <v>40</v>
      </c>
      <c r="I20" s="129" t="s">
        <v>40</v>
      </c>
      <c r="J20" s="129" t="s">
        <v>40</v>
      </c>
      <c r="K20" s="129" t="s">
        <v>40</v>
      </c>
      <c r="L20" s="129" t="s">
        <v>40</v>
      </c>
      <c r="M20" s="129" t="s">
        <v>40</v>
      </c>
      <c r="N20" s="129" t="s">
        <v>40</v>
      </c>
      <c r="O20" s="129" t="s">
        <v>40</v>
      </c>
      <c r="P20" s="129" t="s">
        <v>40</v>
      </c>
      <c r="Q20" s="129" t="s">
        <v>40</v>
      </c>
      <c r="R20" s="129" t="s">
        <v>40</v>
      </c>
      <c r="S20" s="129" t="s">
        <v>40</v>
      </c>
      <c r="T20" s="129" t="s">
        <v>40</v>
      </c>
      <c r="U20" s="129" t="s">
        <v>40</v>
      </c>
      <c r="V20" s="129" t="s">
        <v>40</v>
      </c>
      <c r="W20" s="129" t="s">
        <v>204</v>
      </c>
      <c r="X20" s="129" t="s">
        <v>40</v>
      </c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</row>
    <row r="21" spans="1:38">
      <c r="B21" s="39" t="s">
        <v>41</v>
      </c>
      <c r="C21" s="39" t="s">
        <v>42</v>
      </c>
      <c r="D21" s="130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</row>
    <row r="23" spans="1:38">
      <c r="B23" s="167" t="s">
        <v>43</v>
      </c>
      <c r="C23" s="168">
        <f>D25/D18</f>
        <v>1625.0744680851064</v>
      </c>
    </row>
    <row r="24" spans="1:38">
      <c r="D24" s="10"/>
    </row>
    <row r="25" spans="1:38">
      <c r="A25" s="312" t="s">
        <v>44</v>
      </c>
      <c r="B25" s="35" t="s">
        <v>45</v>
      </c>
      <c r="C25" s="36" t="s">
        <v>46</v>
      </c>
      <c r="D25" s="70">
        <f>SUM(E25:AP25)</f>
        <v>458271</v>
      </c>
      <c r="E25" s="75">
        <f t="shared" ref="E25:F25" si="6">SUM(E26:E37)</f>
        <v>1058</v>
      </c>
      <c r="F25" s="175">
        <f t="shared" si="6"/>
        <v>5402</v>
      </c>
      <c r="G25" s="75">
        <f t="shared" ref="G25:I25" si="7">SUM(G26:G37)</f>
        <v>37196</v>
      </c>
      <c r="H25" s="175">
        <f t="shared" si="7"/>
        <v>9961</v>
      </c>
      <c r="I25" s="75">
        <f t="shared" si="7"/>
        <v>24360</v>
      </c>
      <c r="J25" s="175">
        <f t="shared" ref="J25:L25" si="8">SUM(J26:J37)</f>
        <v>38266</v>
      </c>
      <c r="K25" s="75">
        <f t="shared" si="8"/>
        <v>50056</v>
      </c>
      <c r="L25" s="175">
        <f t="shared" si="8"/>
        <v>50386</v>
      </c>
      <c r="M25" s="75">
        <f t="shared" ref="M25:Y25" si="9">SUM(M26:M37)</f>
        <v>23675</v>
      </c>
      <c r="N25" s="175">
        <f t="shared" si="9"/>
        <v>14093</v>
      </c>
      <c r="O25" s="75">
        <f t="shared" si="9"/>
        <v>8427</v>
      </c>
      <c r="P25" s="176">
        <f t="shared" si="9"/>
        <v>5684</v>
      </c>
      <c r="Q25" s="175">
        <f t="shared" si="9"/>
        <v>4183</v>
      </c>
      <c r="R25" s="75">
        <f t="shared" si="9"/>
        <v>26659</v>
      </c>
      <c r="S25" s="175">
        <f t="shared" si="9"/>
        <v>60960</v>
      </c>
      <c r="T25" s="75">
        <f t="shared" si="9"/>
        <v>48798</v>
      </c>
      <c r="U25" s="75">
        <f t="shared" si="9"/>
        <v>34101</v>
      </c>
      <c r="V25" s="75">
        <f t="shared" si="9"/>
        <v>6610</v>
      </c>
      <c r="W25" s="75">
        <f t="shared" si="9"/>
        <v>3816</v>
      </c>
      <c r="X25" s="75">
        <f t="shared" si="9"/>
        <v>4580</v>
      </c>
      <c r="Y25" s="75">
        <f t="shared" si="9"/>
        <v>0</v>
      </c>
      <c r="Z25" s="75">
        <f t="shared" ref="Z25:AL25" si="10">SUM(Z26:Z37)</f>
        <v>0</v>
      </c>
      <c r="AA25" s="75">
        <f t="shared" si="10"/>
        <v>0</v>
      </c>
      <c r="AB25" s="75">
        <f t="shared" si="10"/>
        <v>0</v>
      </c>
      <c r="AC25" s="75">
        <f t="shared" si="10"/>
        <v>0</v>
      </c>
      <c r="AD25" s="75">
        <f t="shared" si="10"/>
        <v>0</v>
      </c>
      <c r="AE25" s="75">
        <f t="shared" si="10"/>
        <v>0</v>
      </c>
      <c r="AF25" s="75">
        <f t="shared" si="10"/>
        <v>0</v>
      </c>
      <c r="AG25" s="75">
        <f t="shared" si="10"/>
        <v>0</v>
      </c>
      <c r="AH25" s="75">
        <f t="shared" si="10"/>
        <v>0</v>
      </c>
      <c r="AI25" s="75">
        <f t="shared" si="10"/>
        <v>0</v>
      </c>
      <c r="AJ25" s="75">
        <f t="shared" si="10"/>
        <v>0</v>
      </c>
      <c r="AK25" s="75">
        <f t="shared" si="10"/>
        <v>0</v>
      </c>
      <c r="AL25" s="75">
        <f t="shared" si="10"/>
        <v>0</v>
      </c>
    </row>
    <row r="26" spans="1:38">
      <c r="A26" s="313"/>
      <c r="B26" s="37" t="s">
        <v>47</v>
      </c>
      <c r="C26" s="38" t="s">
        <v>48</v>
      </c>
      <c r="D26" s="73">
        <f t="shared" ref="D26:D30" si="11">SUM(E26:AP26)</f>
        <v>432868</v>
      </c>
      <c r="E26" s="55">
        <v>1058</v>
      </c>
      <c r="F26" s="55">
        <v>4740</v>
      </c>
      <c r="G26" s="55">
        <v>34600</v>
      </c>
      <c r="H26" s="55">
        <v>9275</v>
      </c>
      <c r="I26" s="55">
        <v>23928</v>
      </c>
      <c r="J26" s="55">
        <v>36541</v>
      </c>
      <c r="K26" s="55">
        <v>47658</v>
      </c>
      <c r="L26" s="55">
        <v>48742</v>
      </c>
      <c r="M26" s="55">
        <v>15377</v>
      </c>
      <c r="N26" s="55">
        <v>13693</v>
      </c>
      <c r="O26" s="55">
        <v>8230</v>
      </c>
      <c r="P26" s="55">
        <v>4994</v>
      </c>
      <c r="Q26" s="55">
        <v>4162</v>
      </c>
      <c r="R26" s="55">
        <v>26559</v>
      </c>
      <c r="S26" s="55">
        <v>60282</v>
      </c>
      <c r="T26" s="55">
        <v>48260</v>
      </c>
      <c r="U26" s="55">
        <v>33329</v>
      </c>
      <c r="V26" s="55">
        <v>6216</v>
      </c>
      <c r="W26" s="55">
        <v>2926</v>
      </c>
      <c r="X26" s="55">
        <v>2298</v>
      </c>
      <c r="Y26" s="55">
        <v>0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  <c r="AG26" s="55">
        <v>0</v>
      </c>
      <c r="AH26" s="55">
        <v>0</v>
      </c>
      <c r="AI26" s="55">
        <v>0</v>
      </c>
      <c r="AJ26" s="55">
        <v>0</v>
      </c>
      <c r="AK26" s="55">
        <v>0</v>
      </c>
      <c r="AL26" s="55">
        <v>0</v>
      </c>
    </row>
    <row r="27" spans="1:38">
      <c r="A27" s="313"/>
      <c r="B27" s="37" t="s">
        <v>49</v>
      </c>
      <c r="C27" s="38" t="s">
        <v>48</v>
      </c>
      <c r="D27" s="73">
        <f t="shared" si="11"/>
        <v>10330</v>
      </c>
      <c r="E27" s="55"/>
      <c r="F27" s="55">
        <v>418</v>
      </c>
      <c r="G27" s="55">
        <v>1896</v>
      </c>
      <c r="H27" s="55">
        <v>336</v>
      </c>
      <c r="I27" s="55">
        <v>432</v>
      </c>
      <c r="J27" s="55">
        <v>1440</v>
      </c>
      <c r="K27" s="55">
        <v>2160</v>
      </c>
      <c r="L27" s="55">
        <v>336</v>
      </c>
      <c r="M27" s="55">
        <v>96</v>
      </c>
      <c r="N27" s="55">
        <v>48</v>
      </c>
      <c r="O27" s="55">
        <v>48</v>
      </c>
      <c r="P27" s="55">
        <v>96</v>
      </c>
      <c r="Q27" s="55">
        <v>0</v>
      </c>
      <c r="R27" s="55">
        <v>0</v>
      </c>
      <c r="S27" s="55">
        <v>528</v>
      </c>
      <c r="T27" s="55">
        <v>288</v>
      </c>
      <c r="U27" s="55">
        <v>672</v>
      </c>
      <c r="V27" s="55">
        <v>144</v>
      </c>
      <c r="W27" s="55">
        <v>624</v>
      </c>
      <c r="X27" s="55">
        <v>768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</row>
    <row r="28" spans="1:38">
      <c r="A28" s="313"/>
      <c r="B28" s="37" t="s">
        <v>50</v>
      </c>
      <c r="C28" s="38" t="s">
        <v>48</v>
      </c>
      <c r="D28" s="73">
        <f t="shared" si="11"/>
        <v>0</v>
      </c>
      <c r="E28" s="55"/>
      <c r="F28" s="55"/>
      <c r="G28" s="55"/>
      <c r="H28" s="55"/>
      <c r="I28" s="55"/>
      <c r="J28" s="55"/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</row>
    <row r="29" spans="1:38">
      <c r="A29" s="313"/>
      <c r="B29" s="37" t="s">
        <v>51</v>
      </c>
      <c r="C29" s="38" t="s">
        <v>48</v>
      </c>
      <c r="D29" s="73">
        <f t="shared" si="11"/>
        <v>0</v>
      </c>
      <c r="E29" s="55"/>
      <c r="F29" s="55"/>
      <c r="G29" s="55"/>
      <c r="H29" s="55"/>
      <c r="I29" s="55"/>
      <c r="J29" s="55"/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</row>
    <row r="30" spans="1:38">
      <c r="A30" s="313"/>
      <c r="B30" s="37" t="s">
        <v>52</v>
      </c>
      <c r="C30" s="38" t="s">
        <v>48</v>
      </c>
      <c r="D30" s="73">
        <f t="shared" si="11"/>
        <v>7496</v>
      </c>
      <c r="E30" s="55"/>
      <c r="F30" s="55"/>
      <c r="G30" s="55"/>
      <c r="H30" s="55"/>
      <c r="I30" s="55"/>
      <c r="J30" s="55"/>
      <c r="K30" s="55">
        <v>0</v>
      </c>
      <c r="L30" s="55">
        <v>0</v>
      </c>
      <c r="M30" s="55">
        <v>7496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</row>
    <row r="31" spans="1:38">
      <c r="A31" s="313"/>
      <c r="B31" s="37" t="s">
        <v>53</v>
      </c>
      <c r="C31" s="38" t="s">
        <v>48</v>
      </c>
      <c r="D31" s="73">
        <f>SUM(E31:AP31)</f>
        <v>816</v>
      </c>
      <c r="E31" s="55"/>
      <c r="F31" s="55"/>
      <c r="G31" s="55"/>
      <c r="H31" s="55"/>
      <c r="I31" s="55"/>
      <c r="J31" s="55"/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816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</row>
    <row r="32" spans="1:38">
      <c r="A32" s="313"/>
      <c r="B32" s="37" t="s">
        <v>54</v>
      </c>
      <c r="C32" s="38" t="s">
        <v>48</v>
      </c>
      <c r="D32" s="73">
        <f t="shared" ref="D32:D37" si="12">SUM(E32:AP32)</f>
        <v>648</v>
      </c>
      <c r="E32" s="55"/>
      <c r="F32" s="55"/>
      <c r="G32" s="55"/>
      <c r="H32" s="55"/>
      <c r="I32" s="55"/>
      <c r="J32" s="55"/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648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</row>
    <row r="33" spans="1:38">
      <c r="A33" s="313"/>
      <c r="B33" s="37" t="s">
        <v>55</v>
      </c>
      <c r="C33" s="38" t="s">
        <v>48</v>
      </c>
      <c r="D33" s="73">
        <f t="shared" si="12"/>
        <v>2374</v>
      </c>
      <c r="E33" s="55"/>
      <c r="F33" s="55">
        <v>44</v>
      </c>
      <c r="G33" s="55">
        <v>0</v>
      </c>
      <c r="H33" s="55">
        <v>0</v>
      </c>
      <c r="I33" s="55">
        <v>0</v>
      </c>
      <c r="J33" s="55">
        <v>0</v>
      </c>
      <c r="K33" s="55">
        <v>88</v>
      </c>
      <c r="L33" s="55">
        <v>1164</v>
      </c>
      <c r="M33" s="55">
        <v>556</v>
      </c>
      <c r="N33" s="55">
        <v>252</v>
      </c>
      <c r="O33" s="55">
        <v>83</v>
      </c>
      <c r="P33" s="55">
        <v>0</v>
      </c>
      <c r="Q33" s="55">
        <v>21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166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</row>
    <row r="34" spans="1:38">
      <c r="A34" s="313"/>
      <c r="B34" s="37" t="s">
        <v>56</v>
      </c>
      <c r="C34" s="38" t="s">
        <v>48</v>
      </c>
      <c r="D34" s="73">
        <f t="shared" si="12"/>
        <v>0</v>
      </c>
      <c r="E34" s="55"/>
      <c r="F34" s="55"/>
      <c r="G34" s="55"/>
      <c r="H34" s="55"/>
      <c r="I34" s="55"/>
      <c r="J34" s="55"/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</row>
    <row r="35" spans="1:38">
      <c r="A35" s="313"/>
      <c r="B35" s="37" t="s">
        <v>57</v>
      </c>
      <c r="C35" s="38" t="s">
        <v>48</v>
      </c>
      <c r="D35" s="73">
        <f t="shared" si="12"/>
        <v>0</v>
      </c>
      <c r="E35" s="55"/>
      <c r="F35" s="55"/>
      <c r="G35" s="55"/>
      <c r="H35" s="55"/>
      <c r="I35" s="55"/>
      <c r="J35" s="55"/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</row>
    <row r="36" spans="1:38">
      <c r="A36" s="313"/>
      <c r="B36" s="37" t="s">
        <v>58</v>
      </c>
      <c r="C36" s="38" t="s">
        <v>48</v>
      </c>
      <c r="D36" s="73">
        <f t="shared" si="12"/>
        <v>0</v>
      </c>
      <c r="E36" s="55"/>
      <c r="F36" s="55"/>
      <c r="G36" s="55"/>
      <c r="H36" s="55"/>
      <c r="I36" s="55"/>
      <c r="J36" s="55"/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</row>
    <row r="37" spans="1:38">
      <c r="A37" s="314"/>
      <c r="B37" s="39" t="s">
        <v>59</v>
      </c>
      <c r="C37" s="40" t="s">
        <v>48</v>
      </c>
      <c r="D37" s="73">
        <f t="shared" si="12"/>
        <v>3739</v>
      </c>
      <c r="E37" s="55"/>
      <c r="F37" s="55">
        <v>200</v>
      </c>
      <c r="G37" s="55">
        <v>700</v>
      </c>
      <c r="H37" s="55">
        <v>350</v>
      </c>
      <c r="I37" s="55">
        <v>0</v>
      </c>
      <c r="J37" s="55">
        <v>285</v>
      </c>
      <c r="K37" s="55">
        <v>150</v>
      </c>
      <c r="L37" s="55">
        <v>144</v>
      </c>
      <c r="M37" s="55">
        <v>150</v>
      </c>
      <c r="N37" s="55">
        <v>100</v>
      </c>
      <c r="O37" s="55">
        <v>66</v>
      </c>
      <c r="P37" s="55">
        <v>594</v>
      </c>
      <c r="Q37" s="55">
        <v>0</v>
      </c>
      <c r="R37" s="55">
        <v>100</v>
      </c>
      <c r="S37" s="55">
        <v>150</v>
      </c>
      <c r="T37" s="55">
        <v>250</v>
      </c>
      <c r="U37" s="55">
        <v>100</v>
      </c>
      <c r="V37" s="55">
        <v>250</v>
      </c>
      <c r="W37" s="55">
        <v>100</v>
      </c>
      <c r="X37" s="55">
        <v>50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</row>
    <row r="38" spans="1:38">
      <c r="A38" s="164"/>
      <c r="B38" s="94" t="s">
        <v>149</v>
      </c>
      <c r="C38" s="166"/>
      <c r="D38" s="169">
        <f t="shared" ref="D38:E38" si="13">D36/D25</f>
        <v>0</v>
      </c>
      <c r="E38" s="170">
        <f t="shared" si="13"/>
        <v>0</v>
      </c>
      <c r="F38" s="170">
        <f t="shared" ref="F38:I38" si="14">F36/F25</f>
        <v>0</v>
      </c>
      <c r="G38" s="170">
        <f t="shared" si="14"/>
        <v>0</v>
      </c>
      <c r="H38" s="170">
        <f t="shared" si="14"/>
        <v>0</v>
      </c>
      <c r="I38" s="170">
        <f t="shared" si="14"/>
        <v>0</v>
      </c>
      <c r="J38" s="170">
        <f t="shared" ref="J38:L38" si="15">J36/J25</f>
        <v>0</v>
      </c>
      <c r="K38" s="170">
        <v>0</v>
      </c>
      <c r="L38" s="170">
        <f t="shared" si="15"/>
        <v>0</v>
      </c>
      <c r="M38" s="170">
        <f t="shared" ref="M38:Y38" si="16">M36/M25</f>
        <v>0</v>
      </c>
      <c r="N38" s="170">
        <f t="shared" si="16"/>
        <v>0</v>
      </c>
      <c r="O38" s="170">
        <f t="shared" si="16"/>
        <v>0</v>
      </c>
      <c r="P38" s="170">
        <f t="shared" si="16"/>
        <v>0</v>
      </c>
      <c r="Q38" s="170">
        <f t="shared" si="16"/>
        <v>0</v>
      </c>
      <c r="R38" s="170">
        <f t="shared" si="16"/>
        <v>0</v>
      </c>
      <c r="S38" s="170">
        <f t="shared" si="16"/>
        <v>0</v>
      </c>
      <c r="T38" s="170">
        <f t="shared" si="16"/>
        <v>0</v>
      </c>
      <c r="U38" s="170">
        <f t="shared" si="16"/>
        <v>0</v>
      </c>
      <c r="V38" s="170">
        <f t="shared" si="16"/>
        <v>0</v>
      </c>
      <c r="W38" s="170">
        <f t="shared" si="16"/>
        <v>0</v>
      </c>
      <c r="X38" s="170">
        <f t="shared" si="16"/>
        <v>0</v>
      </c>
      <c r="Y38" s="170" t="e">
        <f t="shared" si="16"/>
        <v>#DIV/0!</v>
      </c>
      <c r="Z38" s="170" t="e">
        <f t="shared" ref="Z38:AL38" si="17">Z36/Z25</f>
        <v>#DIV/0!</v>
      </c>
      <c r="AA38" s="170" t="e">
        <f t="shared" si="17"/>
        <v>#DIV/0!</v>
      </c>
      <c r="AB38" s="170" t="e">
        <f t="shared" si="17"/>
        <v>#DIV/0!</v>
      </c>
      <c r="AC38" s="170" t="e">
        <f t="shared" si="17"/>
        <v>#DIV/0!</v>
      </c>
      <c r="AD38" s="170" t="e">
        <f t="shared" si="17"/>
        <v>#DIV/0!</v>
      </c>
      <c r="AE38" s="170" t="e">
        <f t="shared" si="17"/>
        <v>#DIV/0!</v>
      </c>
      <c r="AF38" s="170" t="e">
        <f t="shared" si="17"/>
        <v>#DIV/0!</v>
      </c>
      <c r="AG38" s="170" t="e">
        <f t="shared" si="17"/>
        <v>#DIV/0!</v>
      </c>
      <c r="AH38" s="170" t="e">
        <f t="shared" si="17"/>
        <v>#DIV/0!</v>
      </c>
      <c r="AI38" s="170" t="e">
        <f t="shared" si="17"/>
        <v>#DIV/0!</v>
      </c>
      <c r="AJ38" s="170" t="e">
        <f t="shared" si="17"/>
        <v>#DIV/0!</v>
      </c>
      <c r="AK38" s="170" t="e">
        <f t="shared" si="17"/>
        <v>#DIV/0!</v>
      </c>
      <c r="AL38" s="170" t="e">
        <f t="shared" si="17"/>
        <v>#DIV/0!</v>
      </c>
    </row>
    <row r="39" spans="1:38">
      <c r="A39" s="33"/>
      <c r="C39" s="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</row>
    <row r="40" spans="1:38">
      <c r="A40" s="324" t="s">
        <v>60</v>
      </c>
      <c r="B40" s="50" t="s">
        <v>61</v>
      </c>
      <c r="C40" s="91" t="s">
        <v>62</v>
      </c>
      <c r="D40" s="81">
        <f>SUM(E40:AI40)</f>
        <v>307000</v>
      </c>
      <c r="E40" s="86">
        <v>12000</v>
      </c>
      <c r="F40" s="86">
        <v>13000</v>
      </c>
      <c r="G40" s="86">
        <v>13000</v>
      </c>
      <c r="H40" s="86">
        <v>13000</v>
      </c>
      <c r="I40" s="86">
        <v>13000</v>
      </c>
      <c r="J40" s="86">
        <v>13000</v>
      </c>
      <c r="K40" s="86">
        <v>13000</v>
      </c>
      <c r="L40" s="86">
        <v>13000</v>
      </c>
      <c r="M40" s="86">
        <v>13000</v>
      </c>
      <c r="N40" s="86">
        <v>9000</v>
      </c>
      <c r="O40" s="86">
        <v>14000</v>
      </c>
      <c r="P40" s="86">
        <v>13000</v>
      </c>
      <c r="Q40" s="86">
        <v>11000</v>
      </c>
      <c r="R40" s="86">
        <v>11000</v>
      </c>
      <c r="S40" s="86">
        <v>13000</v>
      </c>
      <c r="T40" s="86">
        <v>12000</v>
      </c>
      <c r="U40" s="86">
        <v>13000</v>
      </c>
      <c r="V40" s="86">
        <v>13000</v>
      </c>
      <c r="W40" s="86">
        <v>13000</v>
      </c>
      <c r="X40" s="86">
        <v>11000</v>
      </c>
      <c r="Y40" s="86">
        <v>12000</v>
      </c>
      <c r="Z40" s="86">
        <v>9000</v>
      </c>
      <c r="AA40" s="86">
        <v>3000</v>
      </c>
      <c r="AB40" s="86">
        <v>3000</v>
      </c>
      <c r="AC40" s="86">
        <v>2000</v>
      </c>
      <c r="AD40" s="86">
        <v>2000</v>
      </c>
      <c r="AE40" s="86">
        <v>2000</v>
      </c>
      <c r="AF40" s="86">
        <v>12000</v>
      </c>
      <c r="AG40" s="86">
        <v>13000</v>
      </c>
      <c r="AH40" s="86">
        <v>0</v>
      </c>
      <c r="AI40" s="86">
        <v>0</v>
      </c>
      <c r="AJ40" s="86">
        <v>0</v>
      </c>
      <c r="AK40" s="86">
        <v>0</v>
      </c>
      <c r="AL40" s="86">
        <v>0</v>
      </c>
    </row>
    <row r="41" spans="1:38">
      <c r="A41" s="325"/>
      <c r="B41" s="39" t="s">
        <v>63</v>
      </c>
      <c r="C41" s="92" t="s">
        <v>62</v>
      </c>
      <c r="D41" s="82">
        <f>SUM(E41:AI41)</f>
        <v>1000</v>
      </c>
      <c r="E41" s="87">
        <v>0</v>
      </c>
      <c r="F41" s="87">
        <v>0</v>
      </c>
      <c r="G41" s="87">
        <v>0</v>
      </c>
      <c r="H41" s="87">
        <v>0</v>
      </c>
      <c r="I41" s="87">
        <v>200</v>
      </c>
      <c r="J41" s="87">
        <v>0</v>
      </c>
      <c r="K41" s="87">
        <v>0</v>
      </c>
      <c r="L41" s="87">
        <v>0</v>
      </c>
      <c r="M41" s="87">
        <v>0</v>
      </c>
      <c r="N41" s="87">
        <v>200</v>
      </c>
      <c r="O41" s="87">
        <v>0</v>
      </c>
      <c r="P41" s="87">
        <v>0</v>
      </c>
      <c r="Q41" s="87">
        <v>0</v>
      </c>
      <c r="R41" s="87">
        <v>200</v>
      </c>
      <c r="S41" s="87">
        <v>0</v>
      </c>
      <c r="T41" s="87">
        <v>0</v>
      </c>
      <c r="U41" s="87">
        <v>0</v>
      </c>
      <c r="V41" s="87">
        <v>0</v>
      </c>
      <c r="W41" s="87">
        <v>200</v>
      </c>
      <c r="X41" s="87">
        <v>0</v>
      </c>
      <c r="Y41" s="87">
        <v>0</v>
      </c>
      <c r="Z41" s="87">
        <v>0</v>
      </c>
      <c r="AA41" s="87">
        <v>0</v>
      </c>
      <c r="AB41" s="87">
        <v>0</v>
      </c>
      <c r="AC41" s="87">
        <v>0</v>
      </c>
      <c r="AD41" s="87">
        <v>0</v>
      </c>
      <c r="AE41" s="87">
        <v>0</v>
      </c>
      <c r="AF41" s="87">
        <v>0</v>
      </c>
      <c r="AG41" s="87">
        <v>200</v>
      </c>
      <c r="AH41" s="87">
        <v>0</v>
      </c>
      <c r="AI41" s="87">
        <v>0</v>
      </c>
      <c r="AJ41" s="87">
        <v>0</v>
      </c>
      <c r="AK41" s="87">
        <v>0</v>
      </c>
      <c r="AL41" s="87">
        <v>0</v>
      </c>
    </row>
    <row r="44" spans="1:38">
      <c r="A44" s="312" t="s">
        <v>64</v>
      </c>
      <c r="B44" s="93" t="s">
        <v>65</v>
      </c>
      <c r="C44" s="47" t="s">
        <v>8</v>
      </c>
      <c r="D44" s="83">
        <f>SUM(E44:AI44)</f>
        <v>0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  <c r="Z44" s="88">
        <v>0</v>
      </c>
      <c r="AA44" s="88">
        <v>0</v>
      </c>
      <c r="AB44" s="88">
        <v>0</v>
      </c>
      <c r="AC44" s="88">
        <v>0</v>
      </c>
      <c r="AD44" s="88">
        <v>0</v>
      </c>
      <c r="AE44" s="88">
        <v>0</v>
      </c>
      <c r="AF44" s="88">
        <v>0</v>
      </c>
      <c r="AG44" s="88">
        <v>0</v>
      </c>
      <c r="AH44" s="88">
        <v>0</v>
      </c>
      <c r="AI44" s="88">
        <v>0</v>
      </c>
      <c r="AJ44" s="88">
        <v>0</v>
      </c>
      <c r="AK44" s="88">
        <v>0</v>
      </c>
      <c r="AL44" s="88">
        <v>0</v>
      </c>
    </row>
    <row r="45" spans="1:38">
      <c r="A45" s="313"/>
      <c r="B45" s="94" t="s">
        <v>66</v>
      </c>
      <c r="C45" s="38" t="s">
        <v>8</v>
      </c>
      <c r="D45" s="84">
        <f>SUM(E45:AI45)</f>
        <v>0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0</v>
      </c>
      <c r="Z45" s="89">
        <v>0</v>
      </c>
      <c r="AA45" s="89">
        <v>0</v>
      </c>
      <c r="AB45" s="89">
        <v>0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</row>
    <row r="46" spans="1:38">
      <c r="A46" s="313"/>
      <c r="B46" s="94" t="s">
        <v>67</v>
      </c>
      <c r="C46" s="38" t="s">
        <v>8</v>
      </c>
      <c r="D46" s="84">
        <f>SUM(E46:AI46)</f>
        <v>0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</row>
    <row r="47" spans="1:38">
      <c r="A47" s="313"/>
      <c r="B47" s="95" t="s">
        <v>68</v>
      </c>
      <c r="C47" s="40" t="s">
        <v>8</v>
      </c>
      <c r="D47" s="84">
        <f>SUM(E47:AI47)</f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0</v>
      </c>
      <c r="AC47" s="90">
        <v>0</v>
      </c>
      <c r="AD47" s="90">
        <v>0</v>
      </c>
      <c r="AE47" s="90">
        <v>0</v>
      </c>
      <c r="AF47" s="90">
        <v>0</v>
      </c>
      <c r="AG47" s="90">
        <v>0</v>
      </c>
      <c r="AH47" s="90">
        <v>0</v>
      </c>
      <c r="AI47" s="90">
        <v>0</v>
      </c>
      <c r="AJ47" s="90">
        <v>0</v>
      </c>
      <c r="AK47" s="90">
        <v>0</v>
      </c>
      <c r="AL47" s="90">
        <v>0</v>
      </c>
    </row>
    <row r="48" spans="1:38">
      <c r="A48" s="313"/>
      <c r="B48" s="93" t="s">
        <v>69</v>
      </c>
      <c r="C48" s="91" t="s">
        <v>48</v>
      </c>
      <c r="D48" s="85">
        <f>SUM(E48:Y48)</f>
        <v>0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>
        <v>0</v>
      </c>
      <c r="L48" s="86">
        <v>0</v>
      </c>
      <c r="M48" s="86">
        <v>0</v>
      </c>
      <c r="N48" s="86">
        <v>0</v>
      </c>
      <c r="O48" s="86">
        <v>0</v>
      </c>
      <c r="P48" s="86">
        <v>0</v>
      </c>
      <c r="Q48" s="86">
        <v>0</v>
      </c>
      <c r="R48" s="86">
        <v>0</v>
      </c>
      <c r="S48" s="86">
        <v>0</v>
      </c>
      <c r="T48" s="86">
        <v>0</v>
      </c>
      <c r="U48" s="86">
        <v>0</v>
      </c>
      <c r="V48" s="86">
        <v>0</v>
      </c>
      <c r="W48" s="86">
        <v>0</v>
      </c>
      <c r="X48" s="86">
        <v>0</v>
      </c>
      <c r="Y48" s="86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6">
        <v>0</v>
      </c>
      <c r="AK48" s="86">
        <v>0</v>
      </c>
      <c r="AL48" s="86">
        <v>0</v>
      </c>
    </row>
    <row r="49" spans="1:38">
      <c r="A49" s="314"/>
      <c r="B49" s="95" t="s">
        <v>70</v>
      </c>
      <c r="C49" s="92" t="s">
        <v>48</v>
      </c>
      <c r="D49" s="82">
        <f>SUM(E49:Y49)</f>
        <v>0</v>
      </c>
      <c r="E49" s="87">
        <v>0</v>
      </c>
      <c r="F49" s="87">
        <v>0</v>
      </c>
      <c r="G49" s="87">
        <v>0</v>
      </c>
      <c r="H49" s="87">
        <v>0</v>
      </c>
      <c r="I49" s="87">
        <v>0</v>
      </c>
      <c r="J49" s="87">
        <v>0</v>
      </c>
      <c r="K49" s="87">
        <v>0</v>
      </c>
      <c r="L49" s="87">
        <v>0</v>
      </c>
      <c r="M49" s="87">
        <v>0</v>
      </c>
      <c r="N49" s="87">
        <v>0</v>
      </c>
      <c r="O49" s="87">
        <v>0</v>
      </c>
      <c r="P49" s="87">
        <v>0</v>
      </c>
      <c r="Q49" s="87">
        <v>0</v>
      </c>
      <c r="R49" s="87">
        <v>0</v>
      </c>
      <c r="S49" s="87">
        <v>0</v>
      </c>
      <c r="T49" s="87">
        <v>0</v>
      </c>
      <c r="U49" s="87">
        <v>0</v>
      </c>
      <c r="V49" s="87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7">
        <v>0</v>
      </c>
      <c r="AJ49" s="87">
        <v>0</v>
      </c>
      <c r="AK49" s="87">
        <v>0</v>
      </c>
      <c r="AL49" s="87">
        <v>0</v>
      </c>
    </row>
    <row r="50" spans="1:38"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>
      <c r="A51" s="315" t="s">
        <v>71</v>
      </c>
      <c r="B51" s="50" t="s">
        <v>72</v>
      </c>
      <c r="C51" s="45" t="s">
        <v>73</v>
      </c>
      <c r="D51" s="7" t="s">
        <v>73</v>
      </c>
      <c r="E51" s="7" t="s">
        <v>73</v>
      </c>
      <c r="F51" s="7" t="s">
        <v>73</v>
      </c>
      <c r="G51" s="7" t="s">
        <v>73</v>
      </c>
      <c r="H51" s="7" t="s">
        <v>73</v>
      </c>
      <c r="I51" s="7" t="s">
        <v>73</v>
      </c>
      <c r="J51" s="7" t="s">
        <v>73</v>
      </c>
      <c r="K51" s="7" t="s">
        <v>73</v>
      </c>
      <c r="L51" s="7" t="s">
        <v>73</v>
      </c>
      <c r="M51" s="7" t="s">
        <v>73</v>
      </c>
      <c r="N51" s="7" t="s">
        <v>73</v>
      </c>
      <c r="O51" s="7" t="s">
        <v>73</v>
      </c>
      <c r="P51" s="7" t="s">
        <v>73</v>
      </c>
      <c r="Q51" s="7" t="s">
        <v>73</v>
      </c>
      <c r="R51" s="7" t="s">
        <v>73</v>
      </c>
      <c r="S51" s="7" t="s">
        <v>73</v>
      </c>
      <c r="T51" s="7" t="s">
        <v>73</v>
      </c>
      <c r="U51" s="7" t="s">
        <v>73</v>
      </c>
      <c r="V51" s="7" t="s">
        <v>73</v>
      </c>
      <c r="W51" s="7" t="s">
        <v>73</v>
      </c>
      <c r="X51" s="7" t="s">
        <v>73</v>
      </c>
      <c r="Y51" s="7" t="s">
        <v>73</v>
      </c>
      <c r="Z51" s="7" t="s">
        <v>73</v>
      </c>
      <c r="AA51" s="7" t="s">
        <v>73</v>
      </c>
      <c r="AB51" s="7" t="s">
        <v>73</v>
      </c>
      <c r="AC51" s="7" t="s">
        <v>73</v>
      </c>
      <c r="AD51" s="7" t="s">
        <v>73</v>
      </c>
      <c r="AE51" s="7" t="s">
        <v>73</v>
      </c>
      <c r="AF51" s="7" t="s">
        <v>73</v>
      </c>
      <c r="AG51" s="7" t="s">
        <v>73</v>
      </c>
      <c r="AH51" s="7" t="s">
        <v>73</v>
      </c>
      <c r="AI51" s="7" t="s">
        <v>73</v>
      </c>
      <c r="AJ51" s="7" t="s">
        <v>73</v>
      </c>
      <c r="AK51" s="7" t="s">
        <v>73</v>
      </c>
      <c r="AL51" s="7" t="s">
        <v>73</v>
      </c>
    </row>
    <row r="52" spans="1:38">
      <c r="A52" s="316"/>
      <c r="B52" s="37" t="s">
        <v>74</v>
      </c>
      <c r="C52" s="51" t="s">
        <v>75</v>
      </c>
      <c r="D52" s="8" t="s">
        <v>75</v>
      </c>
      <c r="E52" s="8" t="s">
        <v>75</v>
      </c>
      <c r="F52" s="8" t="s">
        <v>75</v>
      </c>
      <c r="G52" s="8" t="s">
        <v>75</v>
      </c>
      <c r="H52" s="8" t="s">
        <v>75</v>
      </c>
      <c r="I52" s="8" t="s">
        <v>75</v>
      </c>
      <c r="J52" s="8" t="s">
        <v>75</v>
      </c>
      <c r="K52" s="8" t="s">
        <v>75</v>
      </c>
      <c r="L52" s="8" t="s">
        <v>75</v>
      </c>
      <c r="M52" s="8" t="s">
        <v>75</v>
      </c>
      <c r="N52" s="8" t="s">
        <v>75</v>
      </c>
      <c r="O52" s="8" t="s">
        <v>75</v>
      </c>
      <c r="P52" s="8" t="s">
        <v>75</v>
      </c>
      <c r="Q52" s="8" t="s">
        <v>75</v>
      </c>
      <c r="R52" s="8" t="s">
        <v>75</v>
      </c>
      <c r="S52" s="8" t="s">
        <v>75</v>
      </c>
      <c r="T52" s="8" t="s">
        <v>75</v>
      </c>
      <c r="U52" s="8" t="s">
        <v>75</v>
      </c>
      <c r="V52" s="8" t="s">
        <v>75</v>
      </c>
      <c r="W52" s="8" t="s">
        <v>75</v>
      </c>
      <c r="X52" s="8" t="s">
        <v>75</v>
      </c>
      <c r="Y52" s="8" t="s">
        <v>75</v>
      </c>
      <c r="Z52" s="8" t="s">
        <v>75</v>
      </c>
      <c r="AA52" s="8" t="s">
        <v>75</v>
      </c>
      <c r="AB52" s="8" t="s">
        <v>75</v>
      </c>
      <c r="AC52" s="8" t="s">
        <v>75</v>
      </c>
      <c r="AD52" s="8" t="s">
        <v>75</v>
      </c>
      <c r="AE52" s="8" t="s">
        <v>75</v>
      </c>
      <c r="AF52" s="8" t="s">
        <v>75</v>
      </c>
      <c r="AG52" s="8" t="s">
        <v>75</v>
      </c>
      <c r="AH52" s="8" t="s">
        <v>75</v>
      </c>
      <c r="AI52" s="8" t="s">
        <v>75</v>
      </c>
      <c r="AJ52" s="8" t="s">
        <v>75</v>
      </c>
      <c r="AK52" s="8" t="s">
        <v>75</v>
      </c>
      <c r="AL52" s="8" t="s">
        <v>75</v>
      </c>
    </row>
    <row r="53" spans="1:38">
      <c r="A53" s="316"/>
      <c r="B53" s="37" t="s">
        <v>7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75</v>
      </c>
      <c r="N53" s="8" t="s">
        <v>75</v>
      </c>
      <c r="O53" s="8" t="s">
        <v>75</v>
      </c>
      <c r="P53" s="8" t="s">
        <v>205</v>
      </c>
      <c r="Q53" s="8" t="s">
        <v>206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207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  <c r="AL53" s="8" t="s">
        <v>75</v>
      </c>
    </row>
    <row r="54" spans="1:38">
      <c r="A54" s="316"/>
      <c r="B54" s="37" t="s">
        <v>76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141</v>
      </c>
      <c r="N54" s="8" t="s">
        <v>141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</row>
    <row r="55" spans="1:38">
      <c r="A55" s="317"/>
      <c r="B55" s="39" t="s">
        <v>82</v>
      </c>
      <c r="C55" s="52" t="s">
        <v>75</v>
      </c>
      <c r="D55" s="9" t="s">
        <v>75</v>
      </c>
      <c r="E55" s="9" t="s">
        <v>75</v>
      </c>
      <c r="F55" s="9" t="s">
        <v>75</v>
      </c>
      <c r="G55" s="9" t="s">
        <v>75</v>
      </c>
      <c r="H55" s="9" t="s">
        <v>75</v>
      </c>
      <c r="I55" s="9" t="s">
        <v>75</v>
      </c>
      <c r="J55" s="9" t="s">
        <v>75</v>
      </c>
      <c r="K55" s="9" t="s">
        <v>75</v>
      </c>
      <c r="L55" s="9" t="s">
        <v>75</v>
      </c>
      <c r="M55" s="9" t="s">
        <v>75</v>
      </c>
      <c r="N55" s="9" t="s">
        <v>75</v>
      </c>
      <c r="O55" s="9" t="s">
        <v>75</v>
      </c>
      <c r="P55" s="9" t="s">
        <v>75</v>
      </c>
      <c r="Q55" s="9" t="s">
        <v>75</v>
      </c>
      <c r="R55" s="9" t="s">
        <v>75</v>
      </c>
      <c r="S55" s="9" t="s">
        <v>75</v>
      </c>
      <c r="T55" s="9" t="s">
        <v>75</v>
      </c>
      <c r="U55" s="9" t="s">
        <v>75</v>
      </c>
      <c r="V55" s="9" t="s">
        <v>75</v>
      </c>
      <c r="W55" s="9" t="s">
        <v>75</v>
      </c>
      <c r="X55" s="9" t="s">
        <v>75</v>
      </c>
      <c r="Y55" s="9" t="s">
        <v>75</v>
      </c>
      <c r="Z55" s="9" t="s">
        <v>75</v>
      </c>
      <c r="AA55" s="9" t="s">
        <v>75</v>
      </c>
      <c r="AB55" s="9" t="s">
        <v>75</v>
      </c>
      <c r="AC55" s="9" t="s">
        <v>75</v>
      </c>
      <c r="AD55" s="9" t="s">
        <v>75</v>
      </c>
      <c r="AE55" s="9" t="s">
        <v>75</v>
      </c>
      <c r="AF55" s="9" t="s">
        <v>75</v>
      </c>
      <c r="AG55" s="9" t="s">
        <v>75</v>
      </c>
      <c r="AH55" s="9" t="s">
        <v>75</v>
      </c>
      <c r="AI55" s="9" t="s">
        <v>75</v>
      </c>
      <c r="AJ55" s="9" t="s">
        <v>75</v>
      </c>
      <c r="AK55" s="9" t="s">
        <v>75</v>
      </c>
      <c r="AL55" s="9" t="s">
        <v>75</v>
      </c>
    </row>
    <row r="57" spans="1:38" ht="15.75">
      <c r="B57" s="53" t="s">
        <v>83</v>
      </c>
      <c r="C57" s="99" t="s">
        <v>84</v>
      </c>
      <c r="D57" s="100">
        <f t="shared" ref="D57:E57" si="18">SUM(D58:D70)</f>
        <v>23518120</v>
      </c>
      <c r="E57" s="101">
        <f t="shared" si="18"/>
        <v>56074</v>
      </c>
      <c r="F57" s="101">
        <f t="shared" ref="F57:I57" si="19">SUM(F58:F70)</f>
        <v>268396</v>
      </c>
      <c r="G57" s="101">
        <f t="shared" si="19"/>
        <v>1900072</v>
      </c>
      <c r="H57" s="101">
        <f t="shared" si="19"/>
        <v>505127</v>
      </c>
      <c r="I57" s="101">
        <f t="shared" si="19"/>
        <v>1282008</v>
      </c>
      <c r="J57" s="101">
        <f t="shared" ref="J57:L57" si="20">SUM(J58:J70)</f>
        <v>1985033</v>
      </c>
      <c r="K57" s="101">
        <f t="shared" si="20"/>
        <v>2600594</v>
      </c>
      <c r="L57" s="101">
        <f t="shared" si="20"/>
        <v>2653430</v>
      </c>
      <c r="M57" s="101">
        <f t="shared" ref="M57:Y57" si="21">SUM(M58:M70)</f>
        <v>922013</v>
      </c>
      <c r="N57" s="101">
        <f t="shared" si="21"/>
        <v>740665</v>
      </c>
      <c r="O57" s="101">
        <f t="shared" si="21"/>
        <v>442404</v>
      </c>
      <c r="P57" s="101">
        <f t="shared" si="21"/>
        <v>272506</v>
      </c>
      <c r="Q57" s="101">
        <f t="shared" si="21"/>
        <v>221636</v>
      </c>
      <c r="R57" s="101">
        <f t="shared" si="21"/>
        <v>1408427</v>
      </c>
      <c r="S57" s="101">
        <f t="shared" si="21"/>
        <v>3213042</v>
      </c>
      <c r="T57" s="101">
        <f t="shared" si="21"/>
        <v>2568996</v>
      </c>
      <c r="U57" s="101">
        <f t="shared" si="21"/>
        <v>1788741</v>
      </c>
      <c r="V57" s="101">
        <f t="shared" si="21"/>
        <v>336056</v>
      </c>
      <c r="W57" s="101">
        <f t="shared" si="21"/>
        <v>184146</v>
      </c>
      <c r="X57" s="101">
        <f t="shared" si="21"/>
        <v>168754</v>
      </c>
      <c r="Y57" s="101">
        <f t="shared" si="21"/>
        <v>0</v>
      </c>
      <c r="Z57" s="101">
        <f t="shared" ref="Z57:AL57" si="22">SUM(Z58:Z70)</f>
        <v>0</v>
      </c>
      <c r="AA57" s="101">
        <f t="shared" si="22"/>
        <v>0</v>
      </c>
      <c r="AB57" s="101">
        <f t="shared" si="22"/>
        <v>0</v>
      </c>
      <c r="AC57" s="101">
        <f t="shared" si="22"/>
        <v>0</v>
      </c>
      <c r="AD57" s="101">
        <f t="shared" si="22"/>
        <v>0</v>
      </c>
      <c r="AE57" s="101">
        <f t="shared" si="22"/>
        <v>0</v>
      </c>
      <c r="AF57" s="101">
        <f t="shared" si="22"/>
        <v>0</v>
      </c>
      <c r="AG57" s="101">
        <f t="shared" si="22"/>
        <v>0</v>
      </c>
      <c r="AH57" s="101">
        <f t="shared" si="22"/>
        <v>0</v>
      </c>
      <c r="AI57" s="101">
        <f t="shared" si="22"/>
        <v>0</v>
      </c>
      <c r="AJ57" s="101">
        <f t="shared" si="22"/>
        <v>0</v>
      </c>
      <c r="AK57" s="101">
        <f t="shared" si="22"/>
        <v>0</v>
      </c>
      <c r="AL57" s="101">
        <f t="shared" si="22"/>
        <v>0</v>
      </c>
    </row>
    <row r="58" spans="1:38">
      <c r="B58" s="96" t="s">
        <v>47</v>
      </c>
      <c r="C58" s="111">
        <v>53</v>
      </c>
      <c r="D58" s="97">
        <f t="shared" ref="D58:AL58" si="23">D26*$C58</f>
        <v>22942004</v>
      </c>
      <c r="E58" s="104">
        <f t="shared" si="23"/>
        <v>56074</v>
      </c>
      <c r="F58" s="104">
        <f t="shared" si="23"/>
        <v>251220</v>
      </c>
      <c r="G58" s="104">
        <f t="shared" si="23"/>
        <v>1833800</v>
      </c>
      <c r="H58" s="104">
        <f t="shared" si="23"/>
        <v>491575</v>
      </c>
      <c r="I58" s="104">
        <f t="shared" si="23"/>
        <v>1268184</v>
      </c>
      <c r="J58" s="104">
        <f t="shared" si="23"/>
        <v>1936673</v>
      </c>
      <c r="K58" s="104">
        <f t="shared" si="23"/>
        <v>2525874</v>
      </c>
      <c r="L58" s="104">
        <f t="shared" si="23"/>
        <v>2583326</v>
      </c>
      <c r="M58" s="104">
        <f t="shared" si="23"/>
        <v>814981</v>
      </c>
      <c r="N58" s="104">
        <f t="shared" si="23"/>
        <v>725729</v>
      </c>
      <c r="O58" s="104">
        <f t="shared" si="23"/>
        <v>436190</v>
      </c>
      <c r="P58" s="104">
        <f t="shared" si="23"/>
        <v>264682</v>
      </c>
      <c r="Q58" s="104">
        <f t="shared" si="23"/>
        <v>220586</v>
      </c>
      <c r="R58" s="104">
        <f t="shared" si="23"/>
        <v>1407627</v>
      </c>
      <c r="S58" s="104">
        <f t="shared" si="23"/>
        <v>3194946</v>
      </c>
      <c r="T58" s="104">
        <f t="shared" si="23"/>
        <v>2557780</v>
      </c>
      <c r="U58" s="104">
        <f t="shared" si="23"/>
        <v>1766437</v>
      </c>
      <c r="V58" s="104">
        <f t="shared" si="23"/>
        <v>329448</v>
      </c>
      <c r="W58" s="104">
        <f t="shared" si="23"/>
        <v>155078</v>
      </c>
      <c r="X58" s="104">
        <f t="shared" si="23"/>
        <v>121794</v>
      </c>
      <c r="Y58" s="104">
        <f t="shared" si="23"/>
        <v>0</v>
      </c>
      <c r="Z58" s="104">
        <f t="shared" si="23"/>
        <v>0</v>
      </c>
      <c r="AA58" s="104">
        <f t="shared" si="23"/>
        <v>0</v>
      </c>
      <c r="AB58" s="104">
        <f t="shared" si="23"/>
        <v>0</v>
      </c>
      <c r="AC58" s="104">
        <f t="shared" si="23"/>
        <v>0</v>
      </c>
      <c r="AD58" s="104">
        <f t="shared" si="23"/>
        <v>0</v>
      </c>
      <c r="AE58" s="104">
        <f t="shared" si="23"/>
        <v>0</v>
      </c>
      <c r="AF58" s="104">
        <f t="shared" si="23"/>
        <v>0</v>
      </c>
      <c r="AG58" s="104">
        <f t="shared" si="23"/>
        <v>0</v>
      </c>
      <c r="AH58" s="104">
        <f t="shared" si="23"/>
        <v>0</v>
      </c>
      <c r="AI58" s="104">
        <f t="shared" si="23"/>
        <v>0</v>
      </c>
      <c r="AJ58" s="104">
        <f t="shared" si="23"/>
        <v>0</v>
      </c>
      <c r="AK58" s="104">
        <f t="shared" si="23"/>
        <v>0</v>
      </c>
      <c r="AL58" s="104">
        <f t="shared" si="23"/>
        <v>0</v>
      </c>
    </row>
    <row r="59" spans="1:38">
      <c r="B59" s="96" t="s">
        <v>49</v>
      </c>
      <c r="C59" s="111">
        <v>32</v>
      </c>
      <c r="D59" s="97">
        <f t="shared" ref="D59:AL59" si="24">D27*$C59</f>
        <v>330560</v>
      </c>
      <c r="E59" s="104">
        <f t="shared" si="24"/>
        <v>0</v>
      </c>
      <c r="F59" s="104">
        <f t="shared" si="24"/>
        <v>13376</v>
      </c>
      <c r="G59" s="104">
        <f t="shared" si="24"/>
        <v>60672</v>
      </c>
      <c r="H59" s="104">
        <f t="shared" si="24"/>
        <v>10752</v>
      </c>
      <c r="I59" s="104">
        <f t="shared" si="24"/>
        <v>13824</v>
      </c>
      <c r="J59" s="104">
        <f t="shared" si="24"/>
        <v>46080</v>
      </c>
      <c r="K59" s="104">
        <f t="shared" si="24"/>
        <v>69120</v>
      </c>
      <c r="L59" s="104">
        <f t="shared" si="24"/>
        <v>10752</v>
      </c>
      <c r="M59" s="104">
        <f t="shared" si="24"/>
        <v>3072</v>
      </c>
      <c r="N59" s="104">
        <f t="shared" si="24"/>
        <v>1536</v>
      </c>
      <c r="O59" s="104">
        <f t="shared" si="24"/>
        <v>1536</v>
      </c>
      <c r="P59" s="104">
        <f t="shared" si="24"/>
        <v>3072</v>
      </c>
      <c r="Q59" s="104">
        <f t="shared" si="24"/>
        <v>0</v>
      </c>
      <c r="R59" s="104">
        <f t="shared" si="24"/>
        <v>0</v>
      </c>
      <c r="S59" s="104">
        <f t="shared" si="24"/>
        <v>16896</v>
      </c>
      <c r="T59" s="104">
        <f t="shared" si="24"/>
        <v>9216</v>
      </c>
      <c r="U59" s="104">
        <f t="shared" si="24"/>
        <v>21504</v>
      </c>
      <c r="V59" s="104">
        <f t="shared" si="24"/>
        <v>4608</v>
      </c>
      <c r="W59" s="104">
        <f t="shared" si="24"/>
        <v>19968</v>
      </c>
      <c r="X59" s="104">
        <f t="shared" si="24"/>
        <v>24576</v>
      </c>
      <c r="Y59" s="104">
        <f t="shared" si="24"/>
        <v>0</v>
      </c>
      <c r="Z59" s="104">
        <f t="shared" si="24"/>
        <v>0</v>
      </c>
      <c r="AA59" s="104">
        <f t="shared" si="24"/>
        <v>0</v>
      </c>
      <c r="AB59" s="104">
        <f t="shared" si="24"/>
        <v>0</v>
      </c>
      <c r="AC59" s="104">
        <f t="shared" si="24"/>
        <v>0</v>
      </c>
      <c r="AD59" s="104">
        <f t="shared" si="24"/>
        <v>0</v>
      </c>
      <c r="AE59" s="104">
        <f t="shared" si="24"/>
        <v>0</v>
      </c>
      <c r="AF59" s="104">
        <f t="shared" si="24"/>
        <v>0</v>
      </c>
      <c r="AG59" s="104">
        <f t="shared" si="24"/>
        <v>0</v>
      </c>
      <c r="AH59" s="104">
        <f t="shared" si="24"/>
        <v>0</v>
      </c>
      <c r="AI59" s="104">
        <f t="shared" si="24"/>
        <v>0</v>
      </c>
      <c r="AJ59" s="104">
        <f t="shared" si="24"/>
        <v>0</v>
      </c>
      <c r="AK59" s="104">
        <f t="shared" si="24"/>
        <v>0</v>
      </c>
      <c r="AL59" s="104">
        <f t="shared" si="24"/>
        <v>0</v>
      </c>
    </row>
    <row r="60" spans="1:38">
      <c r="B60" s="96" t="s">
        <v>50</v>
      </c>
      <c r="C60" s="111">
        <v>23</v>
      </c>
      <c r="D60" s="97">
        <f t="shared" ref="D60:AL60" si="25">D28*$C60</f>
        <v>0</v>
      </c>
      <c r="E60" s="104">
        <f t="shared" si="25"/>
        <v>0</v>
      </c>
      <c r="F60" s="104">
        <f t="shared" si="25"/>
        <v>0</v>
      </c>
      <c r="G60" s="104">
        <f t="shared" si="25"/>
        <v>0</v>
      </c>
      <c r="H60" s="104">
        <f t="shared" si="25"/>
        <v>0</v>
      </c>
      <c r="I60" s="104">
        <f t="shared" si="25"/>
        <v>0</v>
      </c>
      <c r="J60" s="104">
        <f t="shared" si="25"/>
        <v>0</v>
      </c>
      <c r="K60" s="104">
        <f t="shared" si="25"/>
        <v>0</v>
      </c>
      <c r="L60" s="104">
        <f t="shared" si="25"/>
        <v>0</v>
      </c>
      <c r="M60" s="104">
        <f t="shared" si="25"/>
        <v>0</v>
      </c>
      <c r="N60" s="104">
        <f t="shared" si="25"/>
        <v>0</v>
      </c>
      <c r="O60" s="104">
        <f t="shared" si="25"/>
        <v>0</v>
      </c>
      <c r="P60" s="104">
        <f t="shared" si="25"/>
        <v>0</v>
      </c>
      <c r="Q60" s="104">
        <f t="shared" si="25"/>
        <v>0</v>
      </c>
      <c r="R60" s="104">
        <f t="shared" si="25"/>
        <v>0</v>
      </c>
      <c r="S60" s="104">
        <f t="shared" si="25"/>
        <v>0</v>
      </c>
      <c r="T60" s="104">
        <f t="shared" si="25"/>
        <v>0</v>
      </c>
      <c r="U60" s="104">
        <f t="shared" si="25"/>
        <v>0</v>
      </c>
      <c r="V60" s="104">
        <f t="shared" si="25"/>
        <v>0</v>
      </c>
      <c r="W60" s="104">
        <f t="shared" si="25"/>
        <v>0</v>
      </c>
      <c r="X60" s="104">
        <f t="shared" si="25"/>
        <v>0</v>
      </c>
      <c r="Y60" s="104">
        <f t="shared" si="25"/>
        <v>0</v>
      </c>
      <c r="Z60" s="104">
        <f t="shared" si="25"/>
        <v>0</v>
      </c>
      <c r="AA60" s="104">
        <f t="shared" si="25"/>
        <v>0</v>
      </c>
      <c r="AB60" s="104">
        <f t="shared" si="25"/>
        <v>0</v>
      </c>
      <c r="AC60" s="104">
        <f t="shared" si="25"/>
        <v>0</v>
      </c>
      <c r="AD60" s="104">
        <f t="shared" si="25"/>
        <v>0</v>
      </c>
      <c r="AE60" s="104">
        <f t="shared" si="25"/>
        <v>0</v>
      </c>
      <c r="AF60" s="104">
        <f t="shared" si="25"/>
        <v>0</v>
      </c>
      <c r="AG60" s="104">
        <f t="shared" si="25"/>
        <v>0</v>
      </c>
      <c r="AH60" s="104">
        <f t="shared" si="25"/>
        <v>0</v>
      </c>
      <c r="AI60" s="104">
        <f t="shared" si="25"/>
        <v>0</v>
      </c>
      <c r="AJ60" s="104">
        <f t="shared" si="25"/>
        <v>0</v>
      </c>
      <c r="AK60" s="104">
        <f t="shared" si="25"/>
        <v>0</v>
      </c>
      <c r="AL60" s="104">
        <f t="shared" si="25"/>
        <v>0</v>
      </c>
    </row>
    <row r="61" spans="1:38">
      <c r="B61" s="96" t="s">
        <v>51</v>
      </c>
      <c r="C61" s="111">
        <v>15</v>
      </c>
      <c r="D61" s="97">
        <f t="shared" ref="D61:AL61" si="26">D29*$C61</f>
        <v>0</v>
      </c>
      <c r="E61" s="104">
        <f t="shared" si="26"/>
        <v>0</v>
      </c>
      <c r="F61" s="104">
        <f t="shared" si="26"/>
        <v>0</v>
      </c>
      <c r="G61" s="104">
        <f t="shared" si="26"/>
        <v>0</v>
      </c>
      <c r="H61" s="104">
        <f t="shared" si="26"/>
        <v>0</v>
      </c>
      <c r="I61" s="104">
        <f t="shared" si="26"/>
        <v>0</v>
      </c>
      <c r="J61" s="104">
        <f t="shared" si="26"/>
        <v>0</v>
      </c>
      <c r="K61" s="104">
        <f t="shared" si="26"/>
        <v>0</v>
      </c>
      <c r="L61" s="104">
        <f t="shared" si="26"/>
        <v>0</v>
      </c>
      <c r="M61" s="104">
        <f t="shared" si="26"/>
        <v>0</v>
      </c>
      <c r="N61" s="104">
        <f t="shared" si="26"/>
        <v>0</v>
      </c>
      <c r="O61" s="104">
        <f t="shared" si="26"/>
        <v>0</v>
      </c>
      <c r="P61" s="104">
        <f t="shared" si="26"/>
        <v>0</v>
      </c>
      <c r="Q61" s="104">
        <f t="shared" si="26"/>
        <v>0</v>
      </c>
      <c r="R61" s="104">
        <f t="shared" si="26"/>
        <v>0</v>
      </c>
      <c r="S61" s="104">
        <f t="shared" si="26"/>
        <v>0</v>
      </c>
      <c r="T61" s="104">
        <f t="shared" si="26"/>
        <v>0</v>
      </c>
      <c r="U61" s="104">
        <f t="shared" si="26"/>
        <v>0</v>
      </c>
      <c r="V61" s="104">
        <f t="shared" si="26"/>
        <v>0</v>
      </c>
      <c r="W61" s="104">
        <f t="shared" si="26"/>
        <v>0</v>
      </c>
      <c r="X61" s="104">
        <f t="shared" si="26"/>
        <v>0</v>
      </c>
      <c r="Y61" s="104">
        <f t="shared" si="26"/>
        <v>0</v>
      </c>
      <c r="Z61" s="104">
        <f t="shared" si="26"/>
        <v>0</v>
      </c>
      <c r="AA61" s="104">
        <f t="shared" si="26"/>
        <v>0</v>
      </c>
      <c r="AB61" s="104">
        <f t="shared" si="26"/>
        <v>0</v>
      </c>
      <c r="AC61" s="104">
        <f t="shared" si="26"/>
        <v>0</v>
      </c>
      <c r="AD61" s="104">
        <f t="shared" si="26"/>
        <v>0</v>
      </c>
      <c r="AE61" s="104">
        <f t="shared" si="26"/>
        <v>0</v>
      </c>
      <c r="AF61" s="104">
        <f t="shared" si="26"/>
        <v>0</v>
      </c>
      <c r="AG61" s="104">
        <f t="shared" si="26"/>
        <v>0</v>
      </c>
      <c r="AH61" s="104">
        <f t="shared" si="26"/>
        <v>0</v>
      </c>
      <c r="AI61" s="104">
        <f t="shared" si="26"/>
        <v>0</v>
      </c>
      <c r="AJ61" s="104">
        <f t="shared" si="26"/>
        <v>0</v>
      </c>
      <c r="AK61" s="104">
        <f t="shared" si="26"/>
        <v>0</v>
      </c>
      <c r="AL61" s="104">
        <f t="shared" si="26"/>
        <v>0</v>
      </c>
    </row>
    <row r="62" spans="1:38">
      <c r="B62" s="96" t="s">
        <v>52</v>
      </c>
      <c r="C62" s="111">
        <v>10</v>
      </c>
      <c r="D62" s="97">
        <f t="shared" ref="D62:AL62" si="27">D30*$C62</f>
        <v>74960</v>
      </c>
      <c r="E62" s="104">
        <f t="shared" si="27"/>
        <v>0</v>
      </c>
      <c r="F62" s="104">
        <f t="shared" si="27"/>
        <v>0</v>
      </c>
      <c r="G62" s="104">
        <f t="shared" si="27"/>
        <v>0</v>
      </c>
      <c r="H62" s="104">
        <f t="shared" si="27"/>
        <v>0</v>
      </c>
      <c r="I62" s="104">
        <f t="shared" si="27"/>
        <v>0</v>
      </c>
      <c r="J62" s="104">
        <f t="shared" si="27"/>
        <v>0</v>
      </c>
      <c r="K62" s="104">
        <f t="shared" si="27"/>
        <v>0</v>
      </c>
      <c r="L62" s="104">
        <f t="shared" si="27"/>
        <v>0</v>
      </c>
      <c r="M62" s="104">
        <f t="shared" si="27"/>
        <v>74960</v>
      </c>
      <c r="N62" s="104">
        <f t="shared" si="27"/>
        <v>0</v>
      </c>
      <c r="O62" s="104">
        <f t="shared" si="27"/>
        <v>0</v>
      </c>
      <c r="P62" s="104">
        <f t="shared" si="27"/>
        <v>0</v>
      </c>
      <c r="Q62" s="104">
        <f t="shared" si="27"/>
        <v>0</v>
      </c>
      <c r="R62" s="104">
        <f t="shared" si="27"/>
        <v>0</v>
      </c>
      <c r="S62" s="104">
        <f t="shared" si="27"/>
        <v>0</v>
      </c>
      <c r="T62" s="104">
        <f t="shared" si="27"/>
        <v>0</v>
      </c>
      <c r="U62" s="104">
        <f t="shared" si="27"/>
        <v>0</v>
      </c>
      <c r="V62" s="104">
        <f t="shared" si="27"/>
        <v>0</v>
      </c>
      <c r="W62" s="104">
        <f t="shared" si="27"/>
        <v>0</v>
      </c>
      <c r="X62" s="104">
        <f t="shared" si="27"/>
        <v>0</v>
      </c>
      <c r="Y62" s="104">
        <f t="shared" si="27"/>
        <v>0</v>
      </c>
      <c r="Z62" s="104">
        <f t="shared" si="27"/>
        <v>0</v>
      </c>
      <c r="AA62" s="104">
        <f t="shared" si="27"/>
        <v>0</v>
      </c>
      <c r="AB62" s="104">
        <f t="shared" si="27"/>
        <v>0</v>
      </c>
      <c r="AC62" s="104">
        <f t="shared" si="27"/>
        <v>0</v>
      </c>
      <c r="AD62" s="104">
        <f t="shared" si="27"/>
        <v>0</v>
      </c>
      <c r="AE62" s="104">
        <f t="shared" si="27"/>
        <v>0</v>
      </c>
      <c r="AF62" s="104">
        <f t="shared" si="27"/>
        <v>0</v>
      </c>
      <c r="AG62" s="104">
        <f t="shared" si="27"/>
        <v>0</v>
      </c>
      <c r="AH62" s="104">
        <f t="shared" si="27"/>
        <v>0</v>
      </c>
      <c r="AI62" s="104">
        <f t="shared" si="27"/>
        <v>0</v>
      </c>
      <c r="AJ62" s="104">
        <f t="shared" si="27"/>
        <v>0</v>
      </c>
      <c r="AK62" s="104">
        <f t="shared" si="27"/>
        <v>0</v>
      </c>
      <c r="AL62" s="104">
        <f t="shared" si="27"/>
        <v>0</v>
      </c>
    </row>
    <row r="63" spans="1:38">
      <c r="B63" s="96" t="s">
        <v>53</v>
      </c>
      <c r="C63" s="111">
        <v>19</v>
      </c>
      <c r="D63" s="97">
        <f t="shared" ref="D63:AL63" si="28">D31*$C63</f>
        <v>15504</v>
      </c>
      <c r="E63" s="104">
        <f t="shared" si="28"/>
        <v>0</v>
      </c>
      <c r="F63" s="104">
        <f t="shared" si="28"/>
        <v>0</v>
      </c>
      <c r="G63" s="104">
        <f t="shared" si="28"/>
        <v>0</v>
      </c>
      <c r="H63" s="104">
        <f t="shared" si="28"/>
        <v>0</v>
      </c>
      <c r="I63" s="104">
        <f t="shared" si="28"/>
        <v>0</v>
      </c>
      <c r="J63" s="104">
        <f t="shared" si="28"/>
        <v>0</v>
      </c>
      <c r="K63" s="104">
        <f t="shared" si="28"/>
        <v>0</v>
      </c>
      <c r="L63" s="104">
        <f t="shared" si="28"/>
        <v>0</v>
      </c>
      <c r="M63" s="104">
        <f t="shared" si="28"/>
        <v>0</v>
      </c>
      <c r="N63" s="104">
        <f t="shared" si="28"/>
        <v>0</v>
      </c>
      <c r="O63" s="104">
        <f t="shared" si="28"/>
        <v>0</v>
      </c>
      <c r="P63" s="104">
        <f t="shared" si="28"/>
        <v>0</v>
      </c>
      <c r="Q63" s="104">
        <f t="shared" si="28"/>
        <v>0</v>
      </c>
      <c r="R63" s="104">
        <f t="shared" si="28"/>
        <v>0</v>
      </c>
      <c r="S63" s="104">
        <f t="shared" si="28"/>
        <v>0</v>
      </c>
      <c r="T63" s="104">
        <f t="shared" si="28"/>
        <v>0</v>
      </c>
      <c r="U63" s="104">
        <f t="shared" si="28"/>
        <v>0</v>
      </c>
      <c r="V63" s="104">
        <f t="shared" si="28"/>
        <v>0</v>
      </c>
      <c r="W63" s="104">
        <f t="shared" si="28"/>
        <v>0</v>
      </c>
      <c r="X63" s="104">
        <f t="shared" si="28"/>
        <v>15504</v>
      </c>
      <c r="Y63" s="104">
        <f t="shared" si="28"/>
        <v>0</v>
      </c>
      <c r="Z63" s="104">
        <f t="shared" si="28"/>
        <v>0</v>
      </c>
      <c r="AA63" s="104">
        <f t="shared" si="28"/>
        <v>0</v>
      </c>
      <c r="AB63" s="104">
        <f t="shared" si="28"/>
        <v>0</v>
      </c>
      <c r="AC63" s="104">
        <f t="shared" si="28"/>
        <v>0</v>
      </c>
      <c r="AD63" s="104">
        <f t="shared" si="28"/>
        <v>0</v>
      </c>
      <c r="AE63" s="104">
        <f t="shared" si="28"/>
        <v>0</v>
      </c>
      <c r="AF63" s="104">
        <f t="shared" si="28"/>
        <v>0</v>
      </c>
      <c r="AG63" s="104">
        <f t="shared" si="28"/>
        <v>0</v>
      </c>
      <c r="AH63" s="104">
        <f t="shared" si="28"/>
        <v>0</v>
      </c>
      <c r="AI63" s="104">
        <f t="shared" si="28"/>
        <v>0</v>
      </c>
      <c r="AJ63" s="104">
        <f t="shared" si="28"/>
        <v>0</v>
      </c>
      <c r="AK63" s="104">
        <f t="shared" si="28"/>
        <v>0</v>
      </c>
      <c r="AL63" s="104">
        <f t="shared" si="28"/>
        <v>0</v>
      </c>
    </row>
    <row r="64" spans="1:38">
      <c r="B64" s="96" t="s">
        <v>54</v>
      </c>
      <c r="C64" s="111">
        <v>10</v>
      </c>
      <c r="D64" s="97">
        <f t="shared" ref="D64:AL64" si="29">D32*$C64</f>
        <v>6480</v>
      </c>
      <c r="E64" s="104">
        <f t="shared" si="29"/>
        <v>0</v>
      </c>
      <c r="F64" s="104">
        <f t="shared" si="29"/>
        <v>0</v>
      </c>
      <c r="G64" s="104">
        <f t="shared" si="29"/>
        <v>0</v>
      </c>
      <c r="H64" s="104">
        <f t="shared" si="29"/>
        <v>0</v>
      </c>
      <c r="I64" s="104">
        <f t="shared" si="29"/>
        <v>0</v>
      </c>
      <c r="J64" s="104">
        <f t="shared" si="29"/>
        <v>0</v>
      </c>
      <c r="K64" s="104">
        <f t="shared" si="29"/>
        <v>0</v>
      </c>
      <c r="L64" s="104">
        <f t="shared" si="29"/>
        <v>0</v>
      </c>
      <c r="M64" s="104">
        <f t="shared" si="29"/>
        <v>0</v>
      </c>
      <c r="N64" s="104">
        <f t="shared" si="29"/>
        <v>0</v>
      </c>
      <c r="O64" s="104">
        <f t="shared" si="29"/>
        <v>0</v>
      </c>
      <c r="P64" s="104">
        <f t="shared" si="29"/>
        <v>0</v>
      </c>
      <c r="Q64" s="104">
        <f t="shared" si="29"/>
        <v>0</v>
      </c>
      <c r="R64" s="104">
        <f t="shared" si="29"/>
        <v>0</v>
      </c>
      <c r="S64" s="104">
        <f t="shared" si="29"/>
        <v>0</v>
      </c>
      <c r="T64" s="104">
        <f t="shared" si="29"/>
        <v>0</v>
      </c>
      <c r="U64" s="104">
        <f t="shared" si="29"/>
        <v>0</v>
      </c>
      <c r="V64" s="104">
        <f t="shared" si="29"/>
        <v>0</v>
      </c>
      <c r="W64" s="104">
        <f t="shared" si="29"/>
        <v>0</v>
      </c>
      <c r="X64" s="104">
        <f t="shared" si="29"/>
        <v>6480</v>
      </c>
      <c r="Y64" s="104">
        <f t="shared" si="29"/>
        <v>0</v>
      </c>
      <c r="Z64" s="104">
        <f t="shared" si="29"/>
        <v>0</v>
      </c>
      <c r="AA64" s="104">
        <f t="shared" si="29"/>
        <v>0</v>
      </c>
      <c r="AB64" s="104">
        <f t="shared" si="29"/>
        <v>0</v>
      </c>
      <c r="AC64" s="104">
        <f t="shared" si="29"/>
        <v>0</v>
      </c>
      <c r="AD64" s="104">
        <f t="shared" si="29"/>
        <v>0</v>
      </c>
      <c r="AE64" s="104">
        <f t="shared" si="29"/>
        <v>0</v>
      </c>
      <c r="AF64" s="104">
        <f t="shared" si="29"/>
        <v>0</v>
      </c>
      <c r="AG64" s="104">
        <f t="shared" si="29"/>
        <v>0</v>
      </c>
      <c r="AH64" s="104">
        <f t="shared" si="29"/>
        <v>0</v>
      </c>
      <c r="AI64" s="104">
        <f t="shared" si="29"/>
        <v>0</v>
      </c>
      <c r="AJ64" s="104">
        <f t="shared" si="29"/>
        <v>0</v>
      </c>
      <c r="AK64" s="104">
        <f t="shared" si="29"/>
        <v>0</v>
      </c>
      <c r="AL64" s="104">
        <f t="shared" si="29"/>
        <v>0</v>
      </c>
    </row>
    <row r="65" spans="2:38">
      <c r="B65" s="96" t="s">
        <v>55</v>
      </c>
      <c r="C65" s="111">
        <v>50</v>
      </c>
      <c r="D65" s="97">
        <f t="shared" ref="D65:AL65" si="30">D33*$C65</f>
        <v>118700</v>
      </c>
      <c r="E65" s="104">
        <f t="shared" si="30"/>
        <v>0</v>
      </c>
      <c r="F65" s="104">
        <f t="shared" si="30"/>
        <v>2200</v>
      </c>
      <c r="G65" s="104">
        <f t="shared" si="30"/>
        <v>0</v>
      </c>
      <c r="H65" s="104">
        <f t="shared" si="30"/>
        <v>0</v>
      </c>
      <c r="I65" s="104">
        <f t="shared" si="30"/>
        <v>0</v>
      </c>
      <c r="J65" s="104">
        <f t="shared" si="30"/>
        <v>0</v>
      </c>
      <c r="K65" s="104">
        <f t="shared" si="30"/>
        <v>4400</v>
      </c>
      <c r="L65" s="104">
        <f t="shared" si="30"/>
        <v>58200</v>
      </c>
      <c r="M65" s="104">
        <f t="shared" si="30"/>
        <v>27800</v>
      </c>
      <c r="N65" s="104">
        <f t="shared" si="30"/>
        <v>12600</v>
      </c>
      <c r="O65" s="104">
        <f t="shared" si="30"/>
        <v>4150</v>
      </c>
      <c r="P65" s="104">
        <f t="shared" si="30"/>
        <v>0</v>
      </c>
      <c r="Q65" s="104">
        <f t="shared" si="30"/>
        <v>1050</v>
      </c>
      <c r="R65" s="104">
        <f t="shared" si="30"/>
        <v>0</v>
      </c>
      <c r="S65" s="104">
        <f t="shared" si="30"/>
        <v>0</v>
      </c>
      <c r="T65" s="104">
        <f t="shared" si="30"/>
        <v>0</v>
      </c>
      <c r="U65" s="104">
        <f t="shared" si="30"/>
        <v>0</v>
      </c>
      <c r="V65" s="104">
        <f t="shared" si="30"/>
        <v>0</v>
      </c>
      <c r="W65" s="104">
        <f t="shared" si="30"/>
        <v>8300</v>
      </c>
      <c r="X65" s="104">
        <f t="shared" si="30"/>
        <v>0</v>
      </c>
      <c r="Y65" s="104">
        <f t="shared" si="30"/>
        <v>0</v>
      </c>
      <c r="Z65" s="104">
        <f t="shared" si="30"/>
        <v>0</v>
      </c>
      <c r="AA65" s="104">
        <f t="shared" si="30"/>
        <v>0</v>
      </c>
      <c r="AB65" s="104">
        <f t="shared" si="30"/>
        <v>0</v>
      </c>
      <c r="AC65" s="104">
        <f t="shared" si="30"/>
        <v>0</v>
      </c>
      <c r="AD65" s="104">
        <f t="shared" si="30"/>
        <v>0</v>
      </c>
      <c r="AE65" s="104">
        <f t="shared" si="30"/>
        <v>0</v>
      </c>
      <c r="AF65" s="104">
        <f t="shared" si="30"/>
        <v>0</v>
      </c>
      <c r="AG65" s="104">
        <f t="shared" si="30"/>
        <v>0</v>
      </c>
      <c r="AH65" s="104">
        <f t="shared" si="30"/>
        <v>0</v>
      </c>
      <c r="AI65" s="104">
        <f t="shared" si="30"/>
        <v>0</v>
      </c>
      <c r="AJ65" s="104">
        <f t="shared" si="30"/>
        <v>0</v>
      </c>
      <c r="AK65" s="104">
        <f t="shared" si="30"/>
        <v>0</v>
      </c>
      <c r="AL65" s="104">
        <f t="shared" si="30"/>
        <v>0</v>
      </c>
    </row>
    <row r="66" spans="2:38">
      <c r="B66" s="96" t="s">
        <v>56</v>
      </c>
      <c r="C66" s="111">
        <v>27.39</v>
      </c>
      <c r="D66" s="97">
        <f t="shared" ref="D66:AL66" si="31">D34*$C66</f>
        <v>0</v>
      </c>
      <c r="E66" s="104">
        <f t="shared" si="31"/>
        <v>0</v>
      </c>
      <c r="F66" s="104">
        <f t="shared" si="31"/>
        <v>0</v>
      </c>
      <c r="G66" s="104">
        <f t="shared" si="31"/>
        <v>0</v>
      </c>
      <c r="H66" s="104">
        <f t="shared" si="31"/>
        <v>0</v>
      </c>
      <c r="I66" s="104">
        <f t="shared" si="31"/>
        <v>0</v>
      </c>
      <c r="J66" s="104">
        <f t="shared" si="31"/>
        <v>0</v>
      </c>
      <c r="K66" s="104">
        <f t="shared" si="31"/>
        <v>0</v>
      </c>
      <c r="L66" s="104">
        <f t="shared" si="31"/>
        <v>0</v>
      </c>
      <c r="M66" s="104">
        <f t="shared" si="31"/>
        <v>0</v>
      </c>
      <c r="N66" s="104">
        <f t="shared" si="31"/>
        <v>0</v>
      </c>
      <c r="O66" s="104">
        <f t="shared" si="31"/>
        <v>0</v>
      </c>
      <c r="P66" s="104">
        <f t="shared" si="31"/>
        <v>0</v>
      </c>
      <c r="Q66" s="104">
        <f t="shared" si="31"/>
        <v>0</v>
      </c>
      <c r="R66" s="104">
        <f t="shared" si="31"/>
        <v>0</v>
      </c>
      <c r="S66" s="104">
        <f t="shared" si="31"/>
        <v>0</v>
      </c>
      <c r="T66" s="104">
        <f t="shared" si="31"/>
        <v>0</v>
      </c>
      <c r="U66" s="104">
        <f t="shared" si="31"/>
        <v>0</v>
      </c>
      <c r="V66" s="104">
        <f t="shared" si="31"/>
        <v>0</v>
      </c>
      <c r="W66" s="104">
        <f t="shared" si="31"/>
        <v>0</v>
      </c>
      <c r="X66" s="104">
        <f t="shared" si="31"/>
        <v>0</v>
      </c>
      <c r="Y66" s="104">
        <f t="shared" si="31"/>
        <v>0</v>
      </c>
      <c r="Z66" s="104">
        <f t="shared" si="31"/>
        <v>0</v>
      </c>
      <c r="AA66" s="104">
        <f t="shared" si="31"/>
        <v>0</v>
      </c>
      <c r="AB66" s="104">
        <f t="shared" si="31"/>
        <v>0</v>
      </c>
      <c r="AC66" s="104">
        <f t="shared" si="31"/>
        <v>0</v>
      </c>
      <c r="AD66" s="104">
        <f t="shared" si="31"/>
        <v>0</v>
      </c>
      <c r="AE66" s="104">
        <f t="shared" si="31"/>
        <v>0</v>
      </c>
      <c r="AF66" s="104">
        <f t="shared" si="31"/>
        <v>0</v>
      </c>
      <c r="AG66" s="104">
        <f t="shared" si="31"/>
        <v>0</v>
      </c>
      <c r="AH66" s="104">
        <f t="shared" si="31"/>
        <v>0</v>
      </c>
      <c r="AI66" s="104">
        <f t="shared" si="31"/>
        <v>0</v>
      </c>
      <c r="AJ66" s="104">
        <f t="shared" si="31"/>
        <v>0</v>
      </c>
      <c r="AK66" s="104">
        <f t="shared" si="31"/>
        <v>0</v>
      </c>
      <c r="AL66" s="104">
        <f t="shared" si="31"/>
        <v>0</v>
      </c>
    </row>
    <row r="67" spans="2:38">
      <c r="B67" s="96" t="s">
        <v>57</v>
      </c>
      <c r="C67" s="111">
        <v>26</v>
      </c>
      <c r="D67" s="97">
        <f t="shared" ref="D67:AL67" si="32">D35*$C67</f>
        <v>0</v>
      </c>
      <c r="E67" s="104">
        <f t="shared" si="32"/>
        <v>0</v>
      </c>
      <c r="F67" s="104">
        <f t="shared" si="32"/>
        <v>0</v>
      </c>
      <c r="G67" s="104">
        <f t="shared" si="32"/>
        <v>0</v>
      </c>
      <c r="H67" s="104">
        <f t="shared" si="32"/>
        <v>0</v>
      </c>
      <c r="I67" s="104">
        <f t="shared" si="32"/>
        <v>0</v>
      </c>
      <c r="J67" s="104">
        <f t="shared" si="32"/>
        <v>0</v>
      </c>
      <c r="K67" s="104">
        <f t="shared" si="32"/>
        <v>0</v>
      </c>
      <c r="L67" s="104">
        <f t="shared" si="32"/>
        <v>0</v>
      </c>
      <c r="M67" s="104">
        <f t="shared" si="32"/>
        <v>0</v>
      </c>
      <c r="N67" s="104">
        <f t="shared" si="32"/>
        <v>0</v>
      </c>
      <c r="O67" s="104">
        <f t="shared" si="32"/>
        <v>0</v>
      </c>
      <c r="P67" s="104">
        <f t="shared" si="32"/>
        <v>0</v>
      </c>
      <c r="Q67" s="104">
        <f t="shared" si="32"/>
        <v>0</v>
      </c>
      <c r="R67" s="104">
        <f t="shared" si="32"/>
        <v>0</v>
      </c>
      <c r="S67" s="104">
        <f t="shared" si="32"/>
        <v>0</v>
      </c>
      <c r="T67" s="104">
        <f t="shared" si="32"/>
        <v>0</v>
      </c>
      <c r="U67" s="104">
        <f t="shared" si="32"/>
        <v>0</v>
      </c>
      <c r="V67" s="104">
        <f t="shared" si="32"/>
        <v>0</v>
      </c>
      <c r="W67" s="104">
        <f t="shared" si="32"/>
        <v>0</v>
      </c>
      <c r="X67" s="104">
        <f t="shared" si="32"/>
        <v>0</v>
      </c>
      <c r="Y67" s="104">
        <f t="shared" si="32"/>
        <v>0</v>
      </c>
      <c r="Z67" s="104">
        <f t="shared" si="32"/>
        <v>0</v>
      </c>
      <c r="AA67" s="104">
        <f t="shared" si="32"/>
        <v>0</v>
      </c>
      <c r="AB67" s="104">
        <f t="shared" si="32"/>
        <v>0</v>
      </c>
      <c r="AC67" s="104">
        <f t="shared" si="32"/>
        <v>0</v>
      </c>
      <c r="AD67" s="104">
        <f t="shared" si="32"/>
        <v>0</v>
      </c>
      <c r="AE67" s="104">
        <f t="shared" si="32"/>
        <v>0</v>
      </c>
      <c r="AF67" s="104">
        <f t="shared" si="32"/>
        <v>0</v>
      </c>
      <c r="AG67" s="104">
        <f t="shared" si="32"/>
        <v>0</v>
      </c>
      <c r="AH67" s="104">
        <f t="shared" si="32"/>
        <v>0</v>
      </c>
      <c r="AI67" s="104">
        <f t="shared" si="32"/>
        <v>0</v>
      </c>
      <c r="AJ67" s="104">
        <f t="shared" si="32"/>
        <v>0</v>
      </c>
      <c r="AK67" s="104">
        <f t="shared" si="32"/>
        <v>0</v>
      </c>
      <c r="AL67" s="104">
        <f t="shared" si="32"/>
        <v>0</v>
      </c>
    </row>
    <row r="68" spans="2:38">
      <c r="B68" s="96" t="s">
        <v>58</v>
      </c>
      <c r="C68" s="111">
        <v>48</v>
      </c>
      <c r="D68" s="97">
        <f t="shared" ref="D68:AL68" si="33">D36*$C68</f>
        <v>0</v>
      </c>
      <c r="E68" s="104">
        <f t="shared" si="33"/>
        <v>0</v>
      </c>
      <c r="F68" s="104">
        <f t="shared" si="33"/>
        <v>0</v>
      </c>
      <c r="G68" s="104">
        <f t="shared" si="33"/>
        <v>0</v>
      </c>
      <c r="H68" s="104">
        <f t="shared" si="33"/>
        <v>0</v>
      </c>
      <c r="I68" s="104">
        <f t="shared" si="33"/>
        <v>0</v>
      </c>
      <c r="J68" s="104">
        <f t="shared" si="33"/>
        <v>0</v>
      </c>
      <c r="K68" s="104">
        <f t="shared" si="33"/>
        <v>0</v>
      </c>
      <c r="L68" s="104">
        <f t="shared" si="33"/>
        <v>0</v>
      </c>
      <c r="M68" s="104">
        <f t="shared" si="33"/>
        <v>0</v>
      </c>
      <c r="N68" s="104">
        <f t="shared" si="33"/>
        <v>0</v>
      </c>
      <c r="O68" s="104">
        <f t="shared" si="33"/>
        <v>0</v>
      </c>
      <c r="P68" s="104">
        <f t="shared" si="33"/>
        <v>0</v>
      </c>
      <c r="Q68" s="104">
        <f t="shared" si="33"/>
        <v>0</v>
      </c>
      <c r="R68" s="104">
        <f t="shared" si="33"/>
        <v>0</v>
      </c>
      <c r="S68" s="104">
        <f t="shared" si="33"/>
        <v>0</v>
      </c>
      <c r="T68" s="104">
        <f t="shared" si="33"/>
        <v>0</v>
      </c>
      <c r="U68" s="104">
        <f t="shared" si="33"/>
        <v>0</v>
      </c>
      <c r="V68" s="104">
        <f t="shared" si="33"/>
        <v>0</v>
      </c>
      <c r="W68" s="104">
        <f t="shared" si="33"/>
        <v>0</v>
      </c>
      <c r="X68" s="104">
        <f t="shared" si="33"/>
        <v>0</v>
      </c>
      <c r="Y68" s="104">
        <f t="shared" si="33"/>
        <v>0</v>
      </c>
      <c r="Z68" s="104">
        <f t="shared" si="33"/>
        <v>0</v>
      </c>
      <c r="AA68" s="104">
        <f t="shared" si="33"/>
        <v>0</v>
      </c>
      <c r="AB68" s="104">
        <f t="shared" si="33"/>
        <v>0</v>
      </c>
      <c r="AC68" s="104">
        <f t="shared" si="33"/>
        <v>0</v>
      </c>
      <c r="AD68" s="104">
        <f t="shared" si="33"/>
        <v>0</v>
      </c>
      <c r="AE68" s="104">
        <f t="shared" si="33"/>
        <v>0</v>
      </c>
      <c r="AF68" s="104">
        <f t="shared" si="33"/>
        <v>0</v>
      </c>
      <c r="AG68" s="104">
        <f t="shared" si="33"/>
        <v>0</v>
      </c>
      <c r="AH68" s="104">
        <f t="shared" si="33"/>
        <v>0</v>
      </c>
      <c r="AI68" s="104">
        <f t="shared" si="33"/>
        <v>0</v>
      </c>
      <c r="AJ68" s="104">
        <f t="shared" si="33"/>
        <v>0</v>
      </c>
      <c r="AK68" s="104">
        <f t="shared" si="33"/>
        <v>0</v>
      </c>
      <c r="AL68" s="104">
        <f t="shared" si="33"/>
        <v>0</v>
      </c>
    </row>
    <row r="69" spans="2:38">
      <c r="B69" s="96" t="s">
        <v>59</v>
      </c>
      <c r="C69" s="112">
        <v>8</v>
      </c>
      <c r="D69" s="97">
        <f t="shared" ref="D69:AL69" si="34">D37*$C69</f>
        <v>29912</v>
      </c>
      <c r="E69" s="104">
        <f t="shared" si="34"/>
        <v>0</v>
      </c>
      <c r="F69" s="104">
        <f t="shared" si="34"/>
        <v>1600</v>
      </c>
      <c r="G69" s="104">
        <f t="shared" si="34"/>
        <v>5600</v>
      </c>
      <c r="H69" s="104">
        <f t="shared" si="34"/>
        <v>2800</v>
      </c>
      <c r="I69" s="104">
        <f t="shared" si="34"/>
        <v>0</v>
      </c>
      <c r="J69" s="104">
        <f t="shared" si="34"/>
        <v>2280</v>
      </c>
      <c r="K69" s="104">
        <f t="shared" si="34"/>
        <v>1200</v>
      </c>
      <c r="L69" s="104">
        <f t="shared" si="34"/>
        <v>1152</v>
      </c>
      <c r="M69" s="104">
        <f t="shared" si="34"/>
        <v>1200</v>
      </c>
      <c r="N69" s="104">
        <f t="shared" si="34"/>
        <v>800</v>
      </c>
      <c r="O69" s="104">
        <f t="shared" si="34"/>
        <v>528</v>
      </c>
      <c r="P69" s="104">
        <f t="shared" si="34"/>
        <v>4752</v>
      </c>
      <c r="Q69" s="104">
        <f t="shared" si="34"/>
        <v>0</v>
      </c>
      <c r="R69" s="104">
        <f t="shared" si="34"/>
        <v>800</v>
      </c>
      <c r="S69" s="104">
        <f t="shared" si="34"/>
        <v>1200</v>
      </c>
      <c r="T69" s="104">
        <f t="shared" si="34"/>
        <v>2000</v>
      </c>
      <c r="U69" s="104">
        <f t="shared" si="34"/>
        <v>800</v>
      </c>
      <c r="V69" s="104">
        <f t="shared" si="34"/>
        <v>2000</v>
      </c>
      <c r="W69" s="104">
        <f t="shared" si="34"/>
        <v>800</v>
      </c>
      <c r="X69" s="104">
        <f t="shared" si="34"/>
        <v>400</v>
      </c>
      <c r="Y69" s="104">
        <f t="shared" si="34"/>
        <v>0</v>
      </c>
      <c r="Z69" s="104">
        <f t="shared" si="34"/>
        <v>0</v>
      </c>
      <c r="AA69" s="104">
        <f t="shared" si="34"/>
        <v>0</v>
      </c>
      <c r="AB69" s="104">
        <f t="shared" si="34"/>
        <v>0</v>
      </c>
      <c r="AC69" s="104">
        <f t="shared" si="34"/>
        <v>0</v>
      </c>
      <c r="AD69" s="104">
        <f t="shared" si="34"/>
        <v>0</v>
      </c>
      <c r="AE69" s="104">
        <f t="shared" si="34"/>
        <v>0</v>
      </c>
      <c r="AF69" s="104">
        <f t="shared" si="34"/>
        <v>0</v>
      </c>
      <c r="AG69" s="104">
        <f t="shared" si="34"/>
        <v>0</v>
      </c>
      <c r="AH69" s="104">
        <f t="shared" si="34"/>
        <v>0</v>
      </c>
      <c r="AI69" s="104">
        <f t="shared" si="34"/>
        <v>0</v>
      </c>
      <c r="AJ69" s="104">
        <f t="shared" si="34"/>
        <v>0</v>
      </c>
      <c r="AK69" s="104">
        <f t="shared" si="34"/>
        <v>0</v>
      </c>
      <c r="AL69" s="104">
        <f t="shared" si="34"/>
        <v>0</v>
      </c>
    </row>
    <row r="70" spans="2:38">
      <c r="B70" s="35" t="s">
        <v>85</v>
      </c>
      <c r="C70" s="113">
        <v>2.2000000000000002</v>
      </c>
      <c r="D70" s="98">
        <f t="shared" ref="D70:F70" si="35">D48*C70</f>
        <v>0</v>
      </c>
      <c r="E70" s="107">
        <f t="shared" si="35"/>
        <v>0</v>
      </c>
      <c r="F70" s="107">
        <f t="shared" si="35"/>
        <v>0</v>
      </c>
      <c r="G70" s="107">
        <f t="shared" ref="G70" si="36">G48*F70</f>
        <v>0</v>
      </c>
      <c r="H70" s="107">
        <f t="shared" ref="H70" si="37">H48*G70</f>
        <v>0</v>
      </c>
      <c r="I70" s="107">
        <f t="shared" ref="I70" si="38">I48*H70</f>
        <v>0</v>
      </c>
      <c r="J70" s="107">
        <f t="shared" ref="J70" si="39">J48*I70</f>
        <v>0</v>
      </c>
      <c r="K70" s="107">
        <f t="shared" ref="K70" si="40">K48*J70</f>
        <v>0</v>
      </c>
      <c r="L70" s="107">
        <f t="shared" ref="L70" si="41">L48*K70</f>
        <v>0</v>
      </c>
      <c r="M70" s="107">
        <f t="shared" ref="M70" si="42">M48*L70</f>
        <v>0</v>
      </c>
      <c r="N70" s="107">
        <f t="shared" ref="N70" si="43">N48*M70</f>
        <v>0</v>
      </c>
      <c r="O70" s="107">
        <f t="shared" ref="O70" si="44">O48*N70</f>
        <v>0</v>
      </c>
      <c r="P70" s="107">
        <f t="shared" ref="P70" si="45">P48*O70</f>
        <v>0</v>
      </c>
      <c r="Q70" s="107">
        <f t="shared" ref="Q70" si="46">Q48*P70</f>
        <v>0</v>
      </c>
      <c r="R70" s="107">
        <f t="shared" ref="R70" si="47">R48*Q70</f>
        <v>0</v>
      </c>
      <c r="S70" s="107">
        <f t="shared" ref="S70" si="48">S48*R70</f>
        <v>0</v>
      </c>
      <c r="T70" s="107">
        <f t="shared" ref="T70" si="49">T48*S70</f>
        <v>0</v>
      </c>
      <c r="U70" s="107">
        <f t="shared" ref="U70" si="50">U48*T70</f>
        <v>0</v>
      </c>
      <c r="V70" s="107">
        <f t="shared" ref="V70" si="51">V48*U70</f>
        <v>0</v>
      </c>
      <c r="W70" s="107">
        <f t="shared" ref="W70" si="52">W48*V70</f>
        <v>0</v>
      </c>
      <c r="X70" s="107">
        <f t="shared" ref="X70" si="53">X48*W70</f>
        <v>0</v>
      </c>
      <c r="Y70" s="107">
        <f t="shared" ref="Y70" si="54">Y48*X70</f>
        <v>0</v>
      </c>
      <c r="Z70" s="107">
        <f t="shared" ref="Z70" si="55">Z48*Y70</f>
        <v>0</v>
      </c>
      <c r="AA70" s="107">
        <f t="shared" ref="AA70" si="56">AA48*Z70</f>
        <v>0</v>
      </c>
      <c r="AB70" s="107">
        <f t="shared" ref="AB70" si="57">AB48*AA70</f>
        <v>0</v>
      </c>
      <c r="AC70" s="107">
        <f t="shared" ref="AC70" si="58">AC48*AB70</f>
        <v>0</v>
      </c>
      <c r="AD70" s="107">
        <f t="shared" ref="AD70" si="59">AD48*AC70</f>
        <v>0</v>
      </c>
      <c r="AE70" s="107">
        <f t="shared" ref="AE70" si="60">AE48*AD70</f>
        <v>0</v>
      </c>
      <c r="AF70" s="107">
        <f t="shared" ref="AF70" si="61">AF48*AE70</f>
        <v>0</v>
      </c>
      <c r="AG70" s="107">
        <f t="shared" ref="AG70" si="62">AG48*AF70</f>
        <v>0</v>
      </c>
      <c r="AH70" s="107">
        <f t="shared" ref="AH70" si="63">AH48*AG70</f>
        <v>0</v>
      </c>
      <c r="AI70" s="107">
        <f t="shared" ref="AI70" si="64">AI48*AH70</f>
        <v>0</v>
      </c>
      <c r="AJ70" s="107">
        <f t="shared" ref="AJ70" si="65">AJ48*AI70</f>
        <v>0</v>
      </c>
      <c r="AK70" s="107">
        <f t="shared" ref="AK70" si="66">AK48*AJ70</f>
        <v>0</v>
      </c>
      <c r="AL70" s="107">
        <f t="shared" ref="AL70" si="67">AL48*AK70</f>
        <v>0</v>
      </c>
    </row>
    <row r="72" spans="2:38">
      <c r="B72" s="318" t="s">
        <v>86</v>
      </c>
      <c r="C72" s="319"/>
      <c r="D72" s="108">
        <f>AVERAGEIF(E57:AL57, "&gt;0")</f>
        <v>1175906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4" spans="2:38">
      <c r="B74" s="12" t="s">
        <v>87</v>
      </c>
      <c r="C74" s="13">
        <v>0.28999999999999998</v>
      </c>
      <c r="D74" s="14">
        <f>SUM(E74:AL74)</f>
        <v>6820254.7999999989</v>
      </c>
      <c r="E74" s="171">
        <f t="shared" ref="E74:J74" si="68">E57*$C$74</f>
        <v>16261.46</v>
      </c>
      <c r="F74" s="15">
        <f t="shared" si="68"/>
        <v>77834.84</v>
      </c>
      <c r="G74" s="14">
        <f t="shared" si="68"/>
        <v>551020.88</v>
      </c>
      <c r="H74" s="15">
        <f t="shared" si="68"/>
        <v>146486.82999999999</v>
      </c>
      <c r="I74" s="14">
        <f t="shared" si="68"/>
        <v>371782.31999999995</v>
      </c>
      <c r="J74" s="171">
        <f t="shared" si="68"/>
        <v>575659.56999999995</v>
      </c>
      <c r="K74" s="14">
        <f t="shared" ref="K74:AG74" si="69">K57*$C$74</f>
        <v>754172.25999999989</v>
      </c>
      <c r="L74" s="14">
        <f t="shared" si="69"/>
        <v>769494.7</v>
      </c>
      <c r="M74" s="14">
        <f t="shared" si="69"/>
        <v>267383.76999999996</v>
      </c>
      <c r="N74" s="14">
        <f t="shared" si="69"/>
        <v>214792.84999999998</v>
      </c>
      <c r="O74" s="14">
        <f t="shared" si="69"/>
        <v>128297.15999999999</v>
      </c>
      <c r="P74" s="14">
        <f t="shared" si="69"/>
        <v>79026.739999999991</v>
      </c>
      <c r="Q74" s="14">
        <f t="shared" si="69"/>
        <v>64274.439999999995</v>
      </c>
      <c r="R74" s="14">
        <f t="shared" si="69"/>
        <v>408443.82999999996</v>
      </c>
      <c r="S74" s="14">
        <f t="shared" si="69"/>
        <v>931782.17999999993</v>
      </c>
      <c r="T74" s="14">
        <f t="shared" si="69"/>
        <v>745008.84</v>
      </c>
      <c r="U74" s="14">
        <f t="shared" si="69"/>
        <v>518734.88999999996</v>
      </c>
      <c r="V74" s="14">
        <f t="shared" si="69"/>
        <v>97456.239999999991</v>
      </c>
      <c r="W74" s="14">
        <f t="shared" si="69"/>
        <v>53402.34</v>
      </c>
      <c r="X74" s="14">
        <f t="shared" si="69"/>
        <v>48938.659999999996</v>
      </c>
      <c r="Y74" s="14">
        <f t="shared" si="69"/>
        <v>0</v>
      </c>
      <c r="Z74" s="14">
        <f t="shared" si="69"/>
        <v>0</v>
      </c>
      <c r="AA74" s="14">
        <f t="shared" si="69"/>
        <v>0</v>
      </c>
      <c r="AB74" s="14">
        <f t="shared" si="69"/>
        <v>0</v>
      </c>
      <c r="AC74" s="14">
        <f t="shared" si="69"/>
        <v>0</v>
      </c>
      <c r="AD74" s="14">
        <f t="shared" si="69"/>
        <v>0</v>
      </c>
      <c r="AE74" s="14">
        <f t="shared" si="69"/>
        <v>0</v>
      </c>
      <c r="AF74" s="14">
        <f t="shared" si="69"/>
        <v>0</v>
      </c>
      <c r="AG74" s="14">
        <f t="shared" si="69"/>
        <v>0</v>
      </c>
      <c r="AH74" s="14">
        <f t="shared" ref="AH74:AL74" si="70">AH57*$C$74</f>
        <v>0</v>
      </c>
      <c r="AI74" s="15">
        <f t="shared" si="70"/>
        <v>0</v>
      </c>
      <c r="AJ74" s="14">
        <f t="shared" si="70"/>
        <v>0</v>
      </c>
      <c r="AK74" s="15">
        <f t="shared" si="70"/>
        <v>0</v>
      </c>
      <c r="AL74" s="14">
        <f t="shared" si="70"/>
        <v>0</v>
      </c>
    </row>
    <row r="75" spans="2:38">
      <c r="B75" s="16" t="s">
        <v>88</v>
      </c>
      <c r="C75" s="17">
        <f>11800000/322</f>
        <v>36645.962732919252</v>
      </c>
      <c r="D75" s="18">
        <f>SUM(E75:AL75)</f>
        <v>1245962.7329192546</v>
      </c>
      <c r="E75" s="172">
        <f t="shared" ref="E75:AL75" si="71">$C$75</f>
        <v>36645.962732919252</v>
      </c>
      <c r="F75" s="19">
        <f t="shared" si="71"/>
        <v>36645.962732919252</v>
      </c>
      <c r="G75" s="18">
        <f t="shared" si="71"/>
        <v>36645.962732919252</v>
      </c>
      <c r="H75" s="19">
        <f t="shared" si="71"/>
        <v>36645.962732919252</v>
      </c>
      <c r="I75" s="18">
        <f t="shared" si="71"/>
        <v>36645.962732919252</v>
      </c>
      <c r="J75" s="172">
        <f t="shared" si="71"/>
        <v>36645.962732919252</v>
      </c>
      <c r="K75" s="18">
        <f t="shared" si="71"/>
        <v>36645.962732919252</v>
      </c>
      <c r="L75" s="18">
        <f t="shared" si="71"/>
        <v>36645.962732919252</v>
      </c>
      <c r="M75" s="18">
        <f t="shared" si="71"/>
        <v>36645.962732919252</v>
      </c>
      <c r="N75" s="18">
        <f t="shared" si="71"/>
        <v>36645.962732919252</v>
      </c>
      <c r="O75" s="18">
        <f t="shared" si="71"/>
        <v>36645.962732919252</v>
      </c>
      <c r="P75" s="18">
        <f t="shared" si="71"/>
        <v>36645.962732919252</v>
      </c>
      <c r="Q75" s="18">
        <f t="shared" si="71"/>
        <v>36645.962732919252</v>
      </c>
      <c r="R75" s="18">
        <f t="shared" si="71"/>
        <v>36645.962732919252</v>
      </c>
      <c r="S75" s="18">
        <f t="shared" si="71"/>
        <v>36645.962732919252</v>
      </c>
      <c r="T75" s="18">
        <f t="shared" si="71"/>
        <v>36645.962732919252</v>
      </c>
      <c r="U75" s="18">
        <f t="shared" si="71"/>
        <v>36645.962732919252</v>
      </c>
      <c r="V75" s="18">
        <f t="shared" si="71"/>
        <v>36645.962732919252</v>
      </c>
      <c r="W75" s="18">
        <f t="shared" si="71"/>
        <v>36645.962732919252</v>
      </c>
      <c r="X75" s="18">
        <f t="shared" si="71"/>
        <v>36645.962732919252</v>
      </c>
      <c r="Y75" s="18">
        <f t="shared" si="71"/>
        <v>36645.962732919252</v>
      </c>
      <c r="Z75" s="18">
        <f t="shared" si="71"/>
        <v>36645.962732919252</v>
      </c>
      <c r="AA75" s="18">
        <f t="shared" si="71"/>
        <v>36645.962732919252</v>
      </c>
      <c r="AB75" s="18">
        <f t="shared" si="71"/>
        <v>36645.962732919252</v>
      </c>
      <c r="AC75" s="18">
        <f t="shared" si="71"/>
        <v>36645.962732919252</v>
      </c>
      <c r="AD75" s="18">
        <f t="shared" si="71"/>
        <v>36645.962732919252</v>
      </c>
      <c r="AE75" s="18">
        <f t="shared" si="71"/>
        <v>36645.962732919252</v>
      </c>
      <c r="AF75" s="18">
        <f t="shared" si="71"/>
        <v>36645.962732919252</v>
      </c>
      <c r="AG75" s="18">
        <f t="shared" si="71"/>
        <v>36645.962732919252</v>
      </c>
      <c r="AH75" s="18">
        <f t="shared" si="71"/>
        <v>36645.962732919252</v>
      </c>
      <c r="AI75" s="19">
        <f t="shared" si="71"/>
        <v>36645.962732919252</v>
      </c>
      <c r="AJ75" s="18">
        <f t="shared" si="71"/>
        <v>36645.962732919252</v>
      </c>
      <c r="AK75" s="19">
        <f t="shared" si="71"/>
        <v>36645.962732919252</v>
      </c>
      <c r="AL75" s="18">
        <f t="shared" si="71"/>
        <v>36645.962732919252</v>
      </c>
    </row>
    <row r="76" spans="2:38">
      <c r="B76" s="16" t="s">
        <v>89</v>
      </c>
      <c r="C76" s="17">
        <f>11400000/322</f>
        <v>35403.726708074537</v>
      </c>
      <c r="D76" s="18">
        <f t="shared" ref="D76:D77" si="72">SUM(E76:AL76)</f>
        <v>1203726.708074535</v>
      </c>
      <c r="E76" s="172">
        <f t="shared" ref="E76:AL76" si="73">$C$76</f>
        <v>35403.726708074537</v>
      </c>
      <c r="F76" s="19">
        <f t="shared" si="73"/>
        <v>35403.726708074537</v>
      </c>
      <c r="G76" s="18">
        <f t="shared" si="73"/>
        <v>35403.726708074537</v>
      </c>
      <c r="H76" s="19">
        <f t="shared" si="73"/>
        <v>35403.726708074537</v>
      </c>
      <c r="I76" s="18">
        <f t="shared" si="73"/>
        <v>35403.726708074537</v>
      </c>
      <c r="J76" s="172">
        <f t="shared" si="73"/>
        <v>35403.726708074537</v>
      </c>
      <c r="K76" s="18">
        <f t="shared" si="73"/>
        <v>35403.726708074537</v>
      </c>
      <c r="L76" s="18">
        <f t="shared" si="73"/>
        <v>35403.726708074537</v>
      </c>
      <c r="M76" s="18">
        <f t="shared" si="73"/>
        <v>35403.726708074537</v>
      </c>
      <c r="N76" s="18">
        <f t="shared" si="73"/>
        <v>35403.726708074537</v>
      </c>
      <c r="O76" s="18">
        <f t="shared" si="73"/>
        <v>35403.726708074537</v>
      </c>
      <c r="P76" s="18">
        <f t="shared" si="73"/>
        <v>35403.726708074537</v>
      </c>
      <c r="Q76" s="18">
        <f t="shared" si="73"/>
        <v>35403.726708074537</v>
      </c>
      <c r="R76" s="18">
        <f t="shared" si="73"/>
        <v>35403.726708074537</v>
      </c>
      <c r="S76" s="18">
        <f t="shared" si="73"/>
        <v>35403.726708074537</v>
      </c>
      <c r="T76" s="18">
        <f t="shared" si="73"/>
        <v>35403.726708074537</v>
      </c>
      <c r="U76" s="18">
        <f t="shared" si="73"/>
        <v>35403.726708074537</v>
      </c>
      <c r="V76" s="18">
        <f t="shared" si="73"/>
        <v>35403.726708074537</v>
      </c>
      <c r="W76" s="18">
        <f t="shared" si="73"/>
        <v>35403.726708074537</v>
      </c>
      <c r="X76" s="18">
        <f t="shared" si="73"/>
        <v>35403.726708074537</v>
      </c>
      <c r="Y76" s="18">
        <f t="shared" si="73"/>
        <v>35403.726708074537</v>
      </c>
      <c r="Z76" s="18">
        <f t="shared" si="73"/>
        <v>35403.726708074537</v>
      </c>
      <c r="AA76" s="18">
        <f t="shared" si="73"/>
        <v>35403.726708074537</v>
      </c>
      <c r="AB76" s="18">
        <f t="shared" si="73"/>
        <v>35403.726708074537</v>
      </c>
      <c r="AC76" s="18">
        <f t="shared" si="73"/>
        <v>35403.726708074537</v>
      </c>
      <c r="AD76" s="18">
        <f t="shared" si="73"/>
        <v>35403.726708074537</v>
      </c>
      <c r="AE76" s="18">
        <f t="shared" si="73"/>
        <v>35403.726708074537</v>
      </c>
      <c r="AF76" s="18">
        <f t="shared" si="73"/>
        <v>35403.726708074537</v>
      </c>
      <c r="AG76" s="18">
        <f t="shared" si="73"/>
        <v>35403.726708074537</v>
      </c>
      <c r="AH76" s="18">
        <f t="shared" si="73"/>
        <v>35403.726708074537</v>
      </c>
      <c r="AI76" s="19">
        <f t="shared" si="73"/>
        <v>35403.726708074537</v>
      </c>
      <c r="AJ76" s="18">
        <f t="shared" si="73"/>
        <v>35403.726708074537</v>
      </c>
      <c r="AK76" s="19">
        <f t="shared" si="73"/>
        <v>35403.726708074537</v>
      </c>
      <c r="AL76" s="18">
        <f t="shared" si="73"/>
        <v>35403.726708074537</v>
      </c>
    </row>
    <row r="77" spans="2:38">
      <c r="B77" s="20" t="s">
        <v>90</v>
      </c>
      <c r="C77" s="21">
        <v>8.5</v>
      </c>
      <c r="D77" s="23">
        <f t="shared" si="72"/>
        <v>2609500</v>
      </c>
      <c r="E77" s="173">
        <f t="shared" ref="E77:J77" si="74">$C$77*E40</f>
        <v>102000</v>
      </c>
      <c r="F77" s="22">
        <f t="shared" si="74"/>
        <v>110500</v>
      </c>
      <c r="G77" s="23">
        <f t="shared" si="74"/>
        <v>110500</v>
      </c>
      <c r="H77" s="22">
        <f t="shared" si="74"/>
        <v>110500</v>
      </c>
      <c r="I77" s="23">
        <f t="shared" si="74"/>
        <v>110500</v>
      </c>
      <c r="J77" s="173">
        <f t="shared" si="74"/>
        <v>110500</v>
      </c>
      <c r="K77" s="23">
        <f t="shared" ref="K77:AG77" si="75">$C$77*K40</f>
        <v>110500</v>
      </c>
      <c r="L77" s="23">
        <f t="shared" si="75"/>
        <v>110500</v>
      </c>
      <c r="M77" s="23">
        <f t="shared" si="75"/>
        <v>110500</v>
      </c>
      <c r="N77" s="23">
        <f t="shared" si="75"/>
        <v>76500</v>
      </c>
      <c r="O77" s="23">
        <f t="shared" si="75"/>
        <v>119000</v>
      </c>
      <c r="P77" s="23">
        <f t="shared" si="75"/>
        <v>110500</v>
      </c>
      <c r="Q77" s="23">
        <f t="shared" si="75"/>
        <v>93500</v>
      </c>
      <c r="R77" s="23">
        <f t="shared" si="75"/>
        <v>93500</v>
      </c>
      <c r="S77" s="23">
        <f t="shared" si="75"/>
        <v>110500</v>
      </c>
      <c r="T77" s="23">
        <f t="shared" si="75"/>
        <v>102000</v>
      </c>
      <c r="U77" s="23">
        <f t="shared" si="75"/>
        <v>110500</v>
      </c>
      <c r="V77" s="23">
        <f t="shared" si="75"/>
        <v>110500</v>
      </c>
      <c r="W77" s="23">
        <f t="shared" si="75"/>
        <v>110500</v>
      </c>
      <c r="X77" s="23">
        <f t="shared" si="75"/>
        <v>93500</v>
      </c>
      <c r="Y77" s="23">
        <f t="shared" si="75"/>
        <v>102000</v>
      </c>
      <c r="Z77" s="23">
        <f t="shared" si="75"/>
        <v>76500</v>
      </c>
      <c r="AA77" s="23">
        <f t="shared" si="75"/>
        <v>25500</v>
      </c>
      <c r="AB77" s="23">
        <f t="shared" si="75"/>
        <v>25500</v>
      </c>
      <c r="AC77" s="23">
        <f t="shared" si="75"/>
        <v>17000</v>
      </c>
      <c r="AD77" s="23">
        <f t="shared" si="75"/>
        <v>17000</v>
      </c>
      <c r="AE77" s="23">
        <f t="shared" si="75"/>
        <v>17000</v>
      </c>
      <c r="AF77" s="23">
        <f t="shared" si="75"/>
        <v>102000</v>
      </c>
      <c r="AG77" s="23">
        <f t="shared" si="75"/>
        <v>110500</v>
      </c>
      <c r="AH77" s="23">
        <f t="shared" ref="AH77:AL77" si="76">$C$77*AH40</f>
        <v>0</v>
      </c>
      <c r="AI77" s="22">
        <f t="shared" si="76"/>
        <v>0</v>
      </c>
      <c r="AJ77" s="23">
        <f t="shared" si="76"/>
        <v>0</v>
      </c>
      <c r="AK77" s="22">
        <f t="shared" si="76"/>
        <v>0</v>
      </c>
      <c r="AL77" s="23">
        <f t="shared" si="76"/>
        <v>0</v>
      </c>
    </row>
    <row r="78" spans="2:38">
      <c r="B78" s="24" t="s">
        <v>91</v>
      </c>
      <c r="C78" s="25">
        <f>SUM(E78:AL78)</f>
        <v>11638675.759006213</v>
      </c>
      <c r="D78" s="174">
        <f>D57-D74-D75-D76-D77</f>
        <v>11638675.759006212</v>
      </c>
      <c r="E78" s="161">
        <f t="shared" ref="E78" si="77">E57-E74-E75-E76-E77</f>
        <v>-134237.14944099379</v>
      </c>
      <c r="F78" s="27">
        <f t="shared" ref="F78:I78" si="78">F57-F74-F75-F76-F77</f>
        <v>8011.4705590062076</v>
      </c>
      <c r="G78" s="26">
        <f t="shared" si="78"/>
        <v>1166501.4305590063</v>
      </c>
      <c r="H78" s="27">
        <f t="shared" si="78"/>
        <v>176090.48055900622</v>
      </c>
      <c r="I78" s="26">
        <f t="shared" si="78"/>
        <v>727675.99055900623</v>
      </c>
      <c r="J78" s="27">
        <f t="shared" ref="J78:AG78" si="79">J57-J74-J75-J76-J77</f>
        <v>1226823.7405590063</v>
      </c>
      <c r="K78" s="26">
        <f t="shared" si="79"/>
        <v>1663872.0505590064</v>
      </c>
      <c r="L78" s="26">
        <f t="shared" si="79"/>
        <v>1701385.6105590062</v>
      </c>
      <c r="M78" s="26">
        <f t="shared" si="79"/>
        <v>472079.54055900616</v>
      </c>
      <c r="N78" s="26">
        <f t="shared" si="79"/>
        <v>377322.4605590062</v>
      </c>
      <c r="O78" s="26">
        <f t="shared" si="79"/>
        <v>123057.15055900623</v>
      </c>
      <c r="P78" s="26">
        <f t="shared" si="79"/>
        <v>10929.570559006213</v>
      </c>
      <c r="Q78" s="26">
        <f t="shared" si="79"/>
        <v>-8188.1294409937982</v>
      </c>
      <c r="R78" s="26">
        <f t="shared" si="79"/>
        <v>834433.48055900622</v>
      </c>
      <c r="S78" s="26">
        <f t="shared" si="79"/>
        <v>2098710.1305590067</v>
      </c>
      <c r="T78" s="26">
        <f t="shared" si="79"/>
        <v>1649937.4705590063</v>
      </c>
      <c r="U78" s="26">
        <f t="shared" si="79"/>
        <v>1087456.4205590063</v>
      </c>
      <c r="V78" s="26">
        <f t="shared" si="79"/>
        <v>56050.070559006213</v>
      </c>
      <c r="W78" s="26">
        <f t="shared" si="79"/>
        <v>-51806.029440993792</v>
      </c>
      <c r="X78" s="26">
        <f t="shared" si="79"/>
        <v>-45734.349440993799</v>
      </c>
      <c r="Y78" s="26">
        <f t="shared" si="79"/>
        <v>-174049.6894409938</v>
      </c>
      <c r="Z78" s="26">
        <f t="shared" si="79"/>
        <v>-148549.6894409938</v>
      </c>
      <c r="AA78" s="26">
        <f t="shared" si="79"/>
        <v>-97549.689440993796</v>
      </c>
      <c r="AB78" s="26">
        <f t="shared" si="79"/>
        <v>-97549.689440993796</v>
      </c>
      <c r="AC78" s="26">
        <f t="shared" si="79"/>
        <v>-89049.689440993796</v>
      </c>
      <c r="AD78" s="26">
        <f t="shared" si="79"/>
        <v>-89049.689440993796</v>
      </c>
      <c r="AE78" s="26">
        <f t="shared" si="79"/>
        <v>-89049.689440993796</v>
      </c>
      <c r="AF78" s="26">
        <f t="shared" si="79"/>
        <v>-174049.6894409938</v>
      </c>
      <c r="AG78" s="26">
        <f t="shared" si="79"/>
        <v>-182549.6894409938</v>
      </c>
      <c r="AH78" s="26">
        <f t="shared" ref="AH78:AL78" si="80">AH57-AH74-AH75-AH76-AH77</f>
        <v>-72049.689440993796</v>
      </c>
      <c r="AI78" s="27">
        <f t="shared" si="80"/>
        <v>-72049.689440993796</v>
      </c>
      <c r="AJ78" s="26">
        <f t="shared" si="80"/>
        <v>-72049.689440993796</v>
      </c>
      <c r="AK78" s="27">
        <f t="shared" si="80"/>
        <v>-72049.689440993796</v>
      </c>
      <c r="AL78" s="26">
        <f t="shared" si="80"/>
        <v>-72049.689440993796</v>
      </c>
    </row>
    <row r="79" spans="2:38">
      <c r="B79" s="320" t="s">
        <v>92</v>
      </c>
      <c r="C79" s="321"/>
      <c r="D79" s="326"/>
      <c r="E79" s="29">
        <f>E78</f>
        <v>-134237.14944099379</v>
      </c>
      <c r="F79" s="28">
        <f>F78+E79</f>
        <v>-126225.67888198758</v>
      </c>
      <c r="G79" s="29">
        <f t="shared" ref="G79:AL79" si="81">G78+F79</f>
        <v>1040275.7516770187</v>
      </c>
      <c r="H79" s="28">
        <f t="shared" si="81"/>
        <v>1216366.2322360249</v>
      </c>
      <c r="I79" s="29">
        <f t="shared" si="81"/>
        <v>1944042.222795031</v>
      </c>
      <c r="J79" s="28">
        <f t="shared" si="81"/>
        <v>3170865.9633540371</v>
      </c>
      <c r="K79" s="29">
        <f t="shared" ref="K79" si="82">K78+J79</f>
        <v>4834738.0139130438</v>
      </c>
      <c r="L79" s="29">
        <f t="shared" ref="L79" si="83">L78+K79</f>
        <v>6536123.62447205</v>
      </c>
      <c r="M79" s="29">
        <f t="shared" ref="M79" si="84">M78+L79</f>
        <v>7008203.1650310559</v>
      </c>
      <c r="N79" s="29">
        <f t="shared" ref="N79" si="85">N78+M79</f>
        <v>7385525.6255900618</v>
      </c>
      <c r="O79" s="29">
        <f t="shared" ref="O79" si="86">O78+N79</f>
        <v>7508582.776149068</v>
      </c>
      <c r="P79" s="29">
        <f t="shared" ref="P79" si="87">P78+O79</f>
        <v>7519512.3467080742</v>
      </c>
      <c r="Q79" s="29">
        <f t="shared" ref="Q79" si="88">Q78+P79</f>
        <v>7511324.2172670802</v>
      </c>
      <c r="R79" s="29">
        <f t="shared" ref="R79" si="89">R78+Q79</f>
        <v>8345757.6978260865</v>
      </c>
      <c r="S79" s="29">
        <f t="shared" ref="S79" si="90">S78+R79</f>
        <v>10444467.828385092</v>
      </c>
      <c r="T79" s="29">
        <f t="shared" ref="T79" si="91">T78+S79</f>
        <v>12094405.298944099</v>
      </c>
      <c r="U79" s="29">
        <f t="shared" ref="U79" si="92">U78+T79</f>
        <v>13181861.719503105</v>
      </c>
      <c r="V79" s="29">
        <f t="shared" ref="V79" si="93">V78+U79</f>
        <v>13237911.790062111</v>
      </c>
      <c r="W79" s="29">
        <f t="shared" ref="W79" si="94">W78+V79</f>
        <v>13186105.760621117</v>
      </c>
      <c r="X79" s="29">
        <f t="shared" ref="X79" si="95">X78+W79</f>
        <v>13140371.411180124</v>
      </c>
      <c r="Y79" s="29">
        <f t="shared" ref="Y79" si="96">Y78+X79</f>
        <v>12966321.72173913</v>
      </c>
      <c r="Z79" s="29">
        <f t="shared" ref="Z79" si="97">Z78+Y79</f>
        <v>12817772.032298137</v>
      </c>
      <c r="AA79" s="29">
        <f t="shared" ref="AA79" si="98">AA78+Z79</f>
        <v>12720222.342857143</v>
      </c>
      <c r="AB79" s="29">
        <f t="shared" ref="AB79" si="99">AB78+AA79</f>
        <v>12622672.653416149</v>
      </c>
      <c r="AC79" s="29">
        <f t="shared" ref="AC79" si="100">AC78+AB79</f>
        <v>12533622.963975156</v>
      </c>
      <c r="AD79" s="29">
        <f t="shared" ref="AD79" si="101">AD78+AC79</f>
        <v>12444573.274534162</v>
      </c>
      <c r="AE79" s="29">
        <f t="shared" ref="AE79" si="102">AE78+AD79</f>
        <v>12355523.585093169</v>
      </c>
      <c r="AF79" s="29">
        <f t="shared" ref="AF79" si="103">AF78+AE79</f>
        <v>12181473.895652175</v>
      </c>
      <c r="AG79" s="29">
        <f t="shared" ref="AG79" si="104">AG78+AF79</f>
        <v>11998924.206211181</v>
      </c>
      <c r="AH79" s="29">
        <f t="shared" si="81"/>
        <v>11926874.516770188</v>
      </c>
      <c r="AI79" s="28">
        <f t="shared" si="81"/>
        <v>11854824.827329194</v>
      </c>
      <c r="AJ79" s="29">
        <f t="shared" si="81"/>
        <v>11782775.137888201</v>
      </c>
      <c r="AK79" s="28">
        <f t="shared" si="81"/>
        <v>11710725.448447207</v>
      </c>
      <c r="AL79" s="29">
        <f t="shared" si="81"/>
        <v>11638675.759006213</v>
      </c>
    </row>
    <row r="80" spans="2:38">
      <c r="D80">
        <f>D78/D57</f>
        <v>0.49488121325200363</v>
      </c>
    </row>
    <row r="82" spans="2:3">
      <c r="B82" s="30" t="s">
        <v>93</v>
      </c>
      <c r="C82" s="31">
        <f>D40/D25</f>
        <v>0.66990928948155126</v>
      </c>
    </row>
  </sheetData>
  <mergeCells count="6">
    <mergeCell ref="B79:D79"/>
    <mergeCell ref="A25:A37"/>
    <mergeCell ref="A40:A41"/>
    <mergeCell ref="A44:A49"/>
    <mergeCell ref="A51:A55"/>
    <mergeCell ref="B72:C72"/>
  </mergeCells>
  <phoneticPr fontId="19" type="noConversion"/>
  <conditionalFormatting sqref="E79:AL79 B7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830A-649C-464B-AB18-A5904C36A509}">
  <dimension ref="A2:AR81"/>
  <sheetViews>
    <sheetView workbookViewId="0">
      <selection activeCell="AR41" sqref="AR41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2.7109375" customWidth="1"/>
    <col min="5" max="5" width="10.140625" bestFit="1" customWidth="1"/>
    <col min="6" max="6" width="11.28515625" customWidth="1"/>
    <col min="7" max="7" width="12.85546875" customWidth="1"/>
    <col min="8" max="8" width="10" customWidth="1"/>
    <col min="9" max="10" width="12.42578125" customWidth="1"/>
  </cols>
  <sheetData>
    <row r="2" spans="2:44" ht="15.75">
      <c r="B2" s="54" t="s">
        <v>0</v>
      </c>
      <c r="C2" s="109" t="s">
        <v>1</v>
      </c>
    </row>
    <row r="3" spans="2:44" ht="15.75">
      <c r="B3" s="54" t="s">
        <v>2</v>
      </c>
      <c r="C3" s="109">
        <v>8</v>
      </c>
    </row>
    <row r="4" spans="2:44" ht="15.75">
      <c r="B4" s="54" t="s">
        <v>3</v>
      </c>
      <c r="C4" s="110">
        <v>44763</v>
      </c>
    </row>
    <row r="5" spans="2:44" ht="15.75">
      <c r="B5" s="54" t="s">
        <v>4</v>
      </c>
      <c r="C5" s="110">
        <v>44797</v>
      </c>
    </row>
    <row r="6" spans="2:44" ht="15.75">
      <c r="B6" s="2"/>
      <c r="C6" s="2"/>
    </row>
    <row r="7" spans="2:44" ht="15.75">
      <c r="B7" s="54" t="s">
        <v>5</v>
      </c>
      <c r="D7" s="41" t="s">
        <v>6</v>
      </c>
      <c r="E7" s="42">
        <v>44797</v>
      </c>
      <c r="F7" s="42">
        <v>44798</v>
      </c>
      <c r="G7" s="42">
        <v>44799</v>
      </c>
      <c r="H7" s="42">
        <v>44800</v>
      </c>
      <c r="I7" s="42">
        <v>44801</v>
      </c>
      <c r="J7" s="42">
        <v>44802</v>
      </c>
      <c r="K7" s="42">
        <v>44803</v>
      </c>
      <c r="L7" s="42">
        <v>44804</v>
      </c>
      <c r="M7" s="42">
        <v>44805</v>
      </c>
      <c r="N7" s="42">
        <v>44806</v>
      </c>
      <c r="O7" s="42">
        <v>44807</v>
      </c>
      <c r="P7" s="42">
        <v>44808</v>
      </c>
      <c r="Q7" s="42">
        <v>44809</v>
      </c>
      <c r="R7" s="42">
        <v>44810</v>
      </c>
      <c r="S7" s="42">
        <v>44811</v>
      </c>
      <c r="T7" s="42">
        <v>44812</v>
      </c>
      <c r="U7" s="42">
        <v>44813</v>
      </c>
      <c r="V7" s="42">
        <v>44814</v>
      </c>
      <c r="W7" s="42">
        <v>44815</v>
      </c>
      <c r="X7" s="42">
        <v>44816</v>
      </c>
      <c r="Y7" s="42">
        <v>44817</v>
      </c>
      <c r="Z7" s="42">
        <v>44818</v>
      </c>
      <c r="AA7" s="42">
        <v>44819</v>
      </c>
      <c r="AB7" s="42">
        <v>44820</v>
      </c>
      <c r="AC7" s="42">
        <v>44821</v>
      </c>
      <c r="AD7" s="42">
        <v>44822</v>
      </c>
      <c r="AE7" s="42">
        <v>44823</v>
      </c>
      <c r="AF7" s="42">
        <v>44824</v>
      </c>
      <c r="AG7" s="42">
        <v>44825</v>
      </c>
      <c r="AH7" s="42">
        <v>44826</v>
      </c>
      <c r="AI7" s="42">
        <v>44827</v>
      </c>
      <c r="AJ7" s="42">
        <v>44828</v>
      </c>
      <c r="AK7" s="42">
        <v>44829</v>
      </c>
      <c r="AL7" s="42">
        <v>44830</v>
      </c>
      <c r="AM7" s="42">
        <v>44831</v>
      </c>
      <c r="AN7" s="42">
        <v>44832</v>
      </c>
      <c r="AO7" s="42">
        <v>44833</v>
      </c>
      <c r="AP7" s="42">
        <v>44834</v>
      </c>
      <c r="AQ7" s="42">
        <v>44835</v>
      </c>
      <c r="AR7" s="42">
        <v>44836</v>
      </c>
    </row>
    <row r="8" spans="2:44">
      <c r="B8" s="46" t="s">
        <v>7</v>
      </c>
      <c r="C8" s="47" t="s">
        <v>8</v>
      </c>
      <c r="D8" s="71">
        <f>SUM(E8:AL8)</f>
        <v>540</v>
      </c>
      <c r="E8" s="114">
        <v>1</v>
      </c>
      <c r="F8" s="114">
        <v>14</v>
      </c>
      <c r="G8" s="114">
        <v>24</v>
      </c>
      <c r="H8" s="114">
        <v>22</v>
      </c>
      <c r="I8" s="114">
        <v>18</v>
      </c>
      <c r="J8" s="114">
        <v>7</v>
      </c>
      <c r="K8" s="114">
        <v>18</v>
      </c>
      <c r="L8" s="114">
        <v>24</v>
      </c>
      <c r="M8" s="114">
        <v>24</v>
      </c>
      <c r="N8" s="114">
        <v>21</v>
      </c>
      <c r="O8" s="114">
        <v>24</v>
      </c>
      <c r="P8" s="114">
        <v>24</v>
      </c>
      <c r="Q8" s="114">
        <v>24</v>
      </c>
      <c r="R8" s="114">
        <v>24</v>
      </c>
      <c r="S8" s="114">
        <v>24</v>
      </c>
      <c r="T8" s="114">
        <v>16</v>
      </c>
      <c r="U8" s="114">
        <v>13</v>
      </c>
      <c r="V8" s="114">
        <v>19</v>
      </c>
      <c r="W8" s="114">
        <v>21</v>
      </c>
      <c r="X8" s="114">
        <v>2</v>
      </c>
      <c r="Y8" s="114">
        <v>20</v>
      </c>
      <c r="Z8" s="114">
        <v>24</v>
      </c>
      <c r="AA8" s="114">
        <v>16</v>
      </c>
      <c r="AB8" s="114">
        <v>0</v>
      </c>
      <c r="AC8" s="114">
        <v>0</v>
      </c>
      <c r="AD8" s="114">
        <v>0</v>
      </c>
      <c r="AE8" s="114">
        <v>0</v>
      </c>
      <c r="AF8" s="114">
        <v>0</v>
      </c>
      <c r="AG8" s="114">
        <v>16</v>
      </c>
      <c r="AH8" s="114">
        <v>24</v>
      </c>
      <c r="AI8" s="114">
        <v>24</v>
      </c>
      <c r="AJ8" s="114">
        <v>24</v>
      </c>
      <c r="AK8" s="114">
        <v>16</v>
      </c>
      <c r="AL8" s="114">
        <v>12</v>
      </c>
      <c r="AM8" s="114">
        <v>24</v>
      </c>
      <c r="AN8" s="114">
        <v>18</v>
      </c>
      <c r="AO8" s="114">
        <v>24</v>
      </c>
      <c r="AP8" s="114">
        <v>18</v>
      </c>
      <c r="AQ8" s="114">
        <v>24</v>
      </c>
      <c r="AR8" s="114">
        <v>19</v>
      </c>
    </row>
    <row r="9" spans="2:44">
      <c r="B9" s="48" t="s">
        <v>9</v>
      </c>
      <c r="C9" s="38" t="s">
        <v>8</v>
      </c>
      <c r="D9" s="71">
        <f t="shared" ref="D9:D15" si="0">SUM(E9:AI9)</f>
        <v>102</v>
      </c>
      <c r="E9" s="115">
        <v>5</v>
      </c>
      <c r="F9" s="115">
        <v>10</v>
      </c>
      <c r="G9" s="115">
        <v>0</v>
      </c>
      <c r="H9" s="115">
        <v>2</v>
      </c>
      <c r="I9" s="115">
        <v>6</v>
      </c>
      <c r="J9" s="115">
        <v>17</v>
      </c>
      <c r="K9" s="115">
        <v>6</v>
      </c>
      <c r="L9" s="115">
        <v>0</v>
      </c>
      <c r="M9" s="115">
        <v>0</v>
      </c>
      <c r="N9" s="115">
        <v>3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8</v>
      </c>
      <c r="U9" s="115">
        <v>11</v>
      </c>
      <c r="V9" s="115">
        <v>5</v>
      </c>
      <c r="W9" s="115">
        <v>3</v>
      </c>
      <c r="X9" s="115">
        <v>22</v>
      </c>
      <c r="Y9" s="115">
        <v>4</v>
      </c>
      <c r="Z9" s="115">
        <v>0</v>
      </c>
      <c r="AA9" s="115"/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8</v>
      </c>
      <c r="AL9" s="115">
        <v>12</v>
      </c>
      <c r="AM9" s="115">
        <v>0</v>
      </c>
      <c r="AN9" s="115">
        <v>6</v>
      </c>
      <c r="AO9" s="115">
        <v>0</v>
      </c>
      <c r="AP9" s="115">
        <v>6</v>
      </c>
      <c r="AQ9" s="115">
        <v>0</v>
      </c>
      <c r="AR9" s="115">
        <v>5</v>
      </c>
    </row>
    <row r="10" spans="2:44">
      <c r="B10" s="48" t="s">
        <v>10</v>
      </c>
      <c r="C10" s="38" t="s">
        <v>8</v>
      </c>
      <c r="D10" s="71">
        <f t="shared" si="0"/>
        <v>32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8</v>
      </c>
      <c r="AB10" s="115">
        <v>24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44">
      <c r="B11" s="48" t="s">
        <v>11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44">
      <c r="B12" s="48" t="s">
        <v>12</v>
      </c>
      <c r="C12" s="38" t="s">
        <v>8</v>
      </c>
      <c r="D12" s="71">
        <f t="shared" si="0"/>
        <v>8</v>
      </c>
      <c r="E12" s="115">
        <v>8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</row>
    <row r="13" spans="2:44">
      <c r="B13" s="48" t="s">
        <v>13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44">
      <c r="B14" s="49" t="s">
        <v>14</v>
      </c>
      <c r="C14" s="40" t="s">
        <v>8</v>
      </c>
      <c r="D14" s="71">
        <f t="shared" si="0"/>
        <v>18</v>
      </c>
      <c r="E14" s="116">
        <v>10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8</v>
      </c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  <c r="AM14" s="116">
        <v>0</v>
      </c>
      <c r="AN14" s="116">
        <v>0</v>
      </c>
      <c r="AO14" s="116">
        <v>0</v>
      </c>
      <c r="AP14" s="116">
        <v>0</v>
      </c>
      <c r="AQ14" s="116">
        <v>0</v>
      </c>
      <c r="AR14" s="116">
        <v>0</v>
      </c>
    </row>
    <row r="15" spans="2:44">
      <c r="B15" s="68" t="s">
        <v>15</v>
      </c>
      <c r="C15" s="69" t="s">
        <v>8</v>
      </c>
      <c r="D15" s="70">
        <f t="shared" si="0"/>
        <v>648</v>
      </c>
      <c r="E15" s="117">
        <f t="shared" ref="E15:AL15" si="1">SUM(E8:E14)</f>
        <v>24</v>
      </c>
      <c r="F15" s="117">
        <f t="shared" si="1"/>
        <v>24</v>
      </c>
      <c r="G15" s="117">
        <f t="shared" si="1"/>
        <v>24</v>
      </c>
      <c r="H15" s="117">
        <f t="shared" si="1"/>
        <v>24</v>
      </c>
      <c r="I15" s="117">
        <f t="shared" si="1"/>
        <v>24</v>
      </c>
      <c r="J15" s="117">
        <f t="shared" si="1"/>
        <v>24</v>
      </c>
      <c r="K15" s="117">
        <f t="shared" si="1"/>
        <v>24</v>
      </c>
      <c r="L15" s="117">
        <f t="shared" si="1"/>
        <v>24</v>
      </c>
      <c r="M15" s="117">
        <f t="shared" si="1"/>
        <v>24</v>
      </c>
      <c r="N15" s="117">
        <f t="shared" si="1"/>
        <v>24</v>
      </c>
      <c r="O15" s="117">
        <f t="shared" si="1"/>
        <v>24</v>
      </c>
      <c r="P15" s="117">
        <f t="shared" si="1"/>
        <v>24</v>
      </c>
      <c r="Q15" s="117">
        <f t="shared" si="1"/>
        <v>24</v>
      </c>
      <c r="R15" s="117">
        <f t="shared" si="1"/>
        <v>24</v>
      </c>
      <c r="S15" s="117">
        <f t="shared" si="1"/>
        <v>24</v>
      </c>
      <c r="T15" s="117">
        <f t="shared" si="1"/>
        <v>24</v>
      </c>
      <c r="U15" s="117">
        <f t="shared" si="1"/>
        <v>24</v>
      </c>
      <c r="V15" s="117">
        <f t="shared" si="1"/>
        <v>24</v>
      </c>
      <c r="W15" s="117">
        <f t="shared" si="1"/>
        <v>24</v>
      </c>
      <c r="X15" s="117">
        <f t="shared" si="1"/>
        <v>24</v>
      </c>
      <c r="Y15" s="117">
        <f t="shared" si="1"/>
        <v>24</v>
      </c>
      <c r="Z15" s="117">
        <f t="shared" si="1"/>
        <v>24</v>
      </c>
      <c r="AA15" s="117">
        <f t="shared" si="1"/>
        <v>24</v>
      </c>
      <c r="AB15" s="117">
        <f t="shared" si="1"/>
        <v>24</v>
      </c>
      <c r="AC15" s="117">
        <f t="shared" si="1"/>
        <v>0</v>
      </c>
      <c r="AD15" s="117">
        <f t="shared" si="1"/>
        <v>0</v>
      </c>
      <c r="AE15" s="117">
        <f t="shared" si="1"/>
        <v>0</v>
      </c>
      <c r="AF15" s="117">
        <f t="shared" si="1"/>
        <v>0</v>
      </c>
      <c r="AG15" s="117">
        <f t="shared" si="1"/>
        <v>24</v>
      </c>
      <c r="AH15" s="117">
        <f t="shared" si="1"/>
        <v>24</v>
      </c>
      <c r="AI15" s="117">
        <f t="shared" si="1"/>
        <v>24</v>
      </c>
      <c r="AJ15" s="117">
        <f t="shared" si="1"/>
        <v>24</v>
      </c>
      <c r="AK15" s="117">
        <f t="shared" si="1"/>
        <v>24</v>
      </c>
      <c r="AL15" s="117">
        <f t="shared" si="1"/>
        <v>24</v>
      </c>
      <c r="AM15" s="117">
        <f t="shared" ref="AM15" si="2">SUM(AM8:AM14)</f>
        <v>24</v>
      </c>
      <c r="AN15" s="117">
        <f>SUM(AN8:AN14)</f>
        <v>24</v>
      </c>
      <c r="AO15" s="117">
        <f>SUM(AO8:AO14)</f>
        <v>24</v>
      </c>
      <c r="AP15" s="117">
        <f>SUM(AP8:AP14)</f>
        <v>24</v>
      </c>
      <c r="AQ15" s="117">
        <f>SUM(AQ8:AQ14)</f>
        <v>24</v>
      </c>
      <c r="AR15" s="117">
        <f>SUM(AR8:AR14)</f>
        <v>24</v>
      </c>
    </row>
    <row r="17" spans="1:44">
      <c r="B17" s="50" t="s">
        <v>16</v>
      </c>
      <c r="C17" s="50" t="s">
        <v>0</v>
      </c>
      <c r="D17" s="58">
        <f>SUM(E17:AI17)</f>
        <v>0</v>
      </c>
      <c r="E17" s="127"/>
      <c r="F17" s="127"/>
      <c r="G17" s="127" t="s">
        <v>175</v>
      </c>
      <c r="H17" s="127" t="s">
        <v>175</v>
      </c>
      <c r="I17" s="127" t="s">
        <v>175</v>
      </c>
      <c r="J17" s="127"/>
      <c r="K17" s="127" t="s">
        <v>208</v>
      </c>
      <c r="L17" s="127" t="s">
        <v>197</v>
      </c>
      <c r="M17" s="127" t="s">
        <v>208</v>
      </c>
      <c r="N17" s="127" t="s">
        <v>209</v>
      </c>
      <c r="O17" s="127" t="s">
        <v>210</v>
      </c>
      <c r="P17" s="127" t="s">
        <v>211</v>
      </c>
      <c r="Q17" s="127" t="s">
        <v>208</v>
      </c>
      <c r="R17" s="127" t="s">
        <v>208</v>
      </c>
      <c r="S17" s="127" t="s">
        <v>208</v>
      </c>
      <c r="T17" s="127" t="s">
        <v>208</v>
      </c>
      <c r="U17" s="127" t="s">
        <v>212</v>
      </c>
      <c r="V17" s="127" t="s">
        <v>213</v>
      </c>
      <c r="W17" s="127" t="s">
        <v>214</v>
      </c>
      <c r="X17" s="127" t="s">
        <v>215</v>
      </c>
      <c r="Y17" s="127" t="s">
        <v>216</v>
      </c>
      <c r="Z17" s="127" t="s">
        <v>21</v>
      </c>
      <c r="AA17" s="127" t="s">
        <v>217</v>
      </c>
      <c r="AB17" s="127" t="s">
        <v>128</v>
      </c>
      <c r="AC17" s="127" t="s">
        <v>128</v>
      </c>
      <c r="AD17" s="127" t="s">
        <v>128</v>
      </c>
      <c r="AE17" s="127" t="s">
        <v>218</v>
      </c>
      <c r="AF17" s="127" t="s">
        <v>203</v>
      </c>
      <c r="AG17" s="127" t="s">
        <v>117</v>
      </c>
      <c r="AH17" s="127" t="s">
        <v>219</v>
      </c>
      <c r="AI17" s="127" t="s">
        <v>218</v>
      </c>
      <c r="AJ17" s="127" t="s">
        <v>220</v>
      </c>
      <c r="AK17" s="127" t="s">
        <v>221</v>
      </c>
      <c r="AL17" s="127" t="s">
        <v>178</v>
      </c>
      <c r="AM17" s="127" t="s">
        <v>178</v>
      </c>
      <c r="AN17" s="127" t="s">
        <v>222</v>
      </c>
      <c r="AO17" s="127" t="s">
        <v>178</v>
      </c>
      <c r="AP17" s="127" t="s">
        <v>223</v>
      </c>
      <c r="AQ17" s="127" t="s">
        <v>224</v>
      </c>
      <c r="AR17" s="127" t="s">
        <v>224</v>
      </c>
    </row>
    <row r="18" spans="1:44">
      <c r="B18" s="37" t="s">
        <v>31</v>
      </c>
      <c r="C18" s="37" t="s">
        <v>32</v>
      </c>
      <c r="D18" s="131">
        <f>SUM(E18:AI18)</f>
        <v>354.5</v>
      </c>
      <c r="E18" s="162"/>
      <c r="F18" s="162">
        <v>12</v>
      </c>
      <c r="G18" s="162" t="s">
        <v>186</v>
      </c>
      <c r="H18" s="162">
        <v>21</v>
      </c>
      <c r="I18" s="162">
        <v>15</v>
      </c>
      <c r="J18" s="162">
        <v>7</v>
      </c>
      <c r="K18" s="162">
        <v>19</v>
      </c>
      <c r="L18" s="162">
        <v>19</v>
      </c>
      <c r="M18" s="162">
        <v>19</v>
      </c>
      <c r="N18" s="162">
        <v>16</v>
      </c>
      <c r="O18" s="162">
        <v>18</v>
      </c>
      <c r="P18" s="162">
        <v>19</v>
      </c>
      <c r="Q18" s="162">
        <v>16</v>
      </c>
      <c r="R18" s="162">
        <v>19</v>
      </c>
      <c r="S18" s="162">
        <v>18</v>
      </c>
      <c r="T18" s="162" t="s">
        <v>188</v>
      </c>
      <c r="U18" s="162">
        <v>7</v>
      </c>
      <c r="V18" s="162">
        <v>13</v>
      </c>
      <c r="W18" s="162">
        <v>22</v>
      </c>
      <c r="X18" s="162" t="s">
        <v>225</v>
      </c>
      <c r="Y18" s="162">
        <v>16</v>
      </c>
      <c r="Z18" s="162">
        <v>16</v>
      </c>
      <c r="AA18" s="162" t="s">
        <v>188</v>
      </c>
      <c r="AB18" s="162" t="s">
        <v>128</v>
      </c>
      <c r="AC18" s="162" t="s">
        <v>128</v>
      </c>
      <c r="AD18" s="162" t="s">
        <v>128</v>
      </c>
      <c r="AE18" s="162">
        <v>11</v>
      </c>
      <c r="AF18" s="162" t="s">
        <v>128</v>
      </c>
      <c r="AG18" s="162">
        <v>13</v>
      </c>
      <c r="AH18" s="162">
        <v>18.5</v>
      </c>
      <c r="AI18" s="162">
        <v>20</v>
      </c>
      <c r="AJ18" s="162">
        <v>20</v>
      </c>
      <c r="AK18" s="162">
        <v>13</v>
      </c>
      <c r="AL18" s="162">
        <v>9.5</v>
      </c>
      <c r="AM18" s="162">
        <v>18</v>
      </c>
      <c r="AN18" s="162">
        <v>13</v>
      </c>
      <c r="AO18" s="162">
        <v>17</v>
      </c>
      <c r="AP18" s="162">
        <v>15</v>
      </c>
      <c r="AQ18" s="162">
        <v>17.5</v>
      </c>
      <c r="AR18" s="162">
        <v>12</v>
      </c>
    </row>
    <row r="19" spans="1:44">
      <c r="B19" s="37" t="s">
        <v>35</v>
      </c>
      <c r="C19" s="37" t="s">
        <v>36</v>
      </c>
      <c r="D19" s="131">
        <f>SUM(E19:AI19)</f>
        <v>90</v>
      </c>
      <c r="E19" s="162"/>
      <c r="F19" s="162">
        <v>4</v>
      </c>
      <c r="G19" s="162">
        <v>3</v>
      </c>
      <c r="H19" s="162">
        <v>4</v>
      </c>
      <c r="I19" s="162">
        <v>3</v>
      </c>
      <c r="J19" s="162">
        <v>2</v>
      </c>
      <c r="K19" s="162">
        <v>4</v>
      </c>
      <c r="L19" s="162">
        <v>4</v>
      </c>
      <c r="M19" s="162">
        <v>3</v>
      </c>
      <c r="N19" s="162">
        <v>4</v>
      </c>
      <c r="O19" s="162">
        <v>5</v>
      </c>
      <c r="P19" s="162">
        <v>3</v>
      </c>
      <c r="Q19" s="162">
        <v>3</v>
      </c>
      <c r="R19" s="162">
        <v>4</v>
      </c>
      <c r="S19" s="162">
        <v>4</v>
      </c>
      <c r="T19" s="162">
        <v>3</v>
      </c>
      <c r="U19" s="162">
        <v>2</v>
      </c>
      <c r="V19" s="162">
        <v>3</v>
      </c>
      <c r="W19" s="162">
        <v>4</v>
      </c>
      <c r="X19" s="162">
        <v>1</v>
      </c>
      <c r="Y19" s="162">
        <v>5</v>
      </c>
      <c r="Z19" s="162">
        <v>5</v>
      </c>
      <c r="AA19" s="162">
        <v>3</v>
      </c>
      <c r="AB19" s="162" t="s">
        <v>128</v>
      </c>
      <c r="AC19" s="162" t="s">
        <v>128</v>
      </c>
      <c r="AD19" s="162" t="s">
        <v>128</v>
      </c>
      <c r="AE19" s="162">
        <v>3</v>
      </c>
      <c r="AF19" s="162" t="s">
        <v>128</v>
      </c>
      <c r="AG19" s="162">
        <v>3</v>
      </c>
      <c r="AH19" s="162">
        <v>4</v>
      </c>
      <c r="AI19" s="162">
        <v>4</v>
      </c>
      <c r="AJ19" s="162">
        <v>4</v>
      </c>
      <c r="AK19" s="162">
        <v>3</v>
      </c>
      <c r="AL19" s="162">
        <v>2</v>
      </c>
      <c r="AM19" s="162">
        <v>4</v>
      </c>
      <c r="AN19" s="162">
        <v>3</v>
      </c>
      <c r="AO19" s="162">
        <v>3</v>
      </c>
      <c r="AP19" s="162">
        <v>3</v>
      </c>
      <c r="AQ19" s="162">
        <v>3</v>
      </c>
      <c r="AR19" s="162">
        <v>2</v>
      </c>
    </row>
    <row r="20" spans="1:44">
      <c r="B20" s="39" t="s">
        <v>37</v>
      </c>
      <c r="C20" s="39" t="s">
        <v>38</v>
      </c>
      <c r="D20" s="67">
        <f>SUM(E20:AI20)</f>
        <v>0</v>
      </c>
      <c r="E20" s="129"/>
      <c r="F20" s="129" t="s">
        <v>40</v>
      </c>
      <c r="G20" s="129" t="s">
        <v>40</v>
      </c>
      <c r="H20" s="129" t="s">
        <v>40</v>
      </c>
      <c r="I20" s="129" t="s">
        <v>40</v>
      </c>
      <c r="J20" s="129" t="s">
        <v>40</v>
      </c>
      <c r="K20" s="129" t="s">
        <v>40</v>
      </c>
      <c r="L20" s="129" t="s">
        <v>226</v>
      </c>
      <c r="M20" s="129" t="s">
        <v>227</v>
      </c>
      <c r="N20" s="129" t="s">
        <v>227</v>
      </c>
      <c r="O20" s="129" t="s">
        <v>40</v>
      </c>
      <c r="P20" s="129" t="s">
        <v>227</v>
      </c>
      <c r="Q20" s="129" t="s">
        <v>227</v>
      </c>
      <c r="R20" s="129" t="s">
        <v>227</v>
      </c>
      <c r="S20" s="129" t="s">
        <v>227</v>
      </c>
      <c r="T20" s="129" t="s">
        <v>227</v>
      </c>
      <c r="U20" s="129" t="s">
        <v>40</v>
      </c>
      <c r="V20" s="129" t="s">
        <v>227</v>
      </c>
      <c r="W20" s="129" t="s">
        <v>227</v>
      </c>
      <c r="X20" s="129" t="s">
        <v>40</v>
      </c>
      <c r="Y20" s="129" t="s">
        <v>40</v>
      </c>
      <c r="Z20" s="129" t="s">
        <v>40</v>
      </c>
      <c r="AA20" s="129" t="s">
        <v>40</v>
      </c>
      <c r="AB20" s="129"/>
      <c r="AC20" s="129"/>
      <c r="AD20" s="129"/>
      <c r="AE20" s="129" t="s">
        <v>40</v>
      </c>
      <c r="AF20" s="129"/>
      <c r="AG20" s="129" t="s">
        <v>40</v>
      </c>
      <c r="AH20" s="129" t="s">
        <v>40</v>
      </c>
      <c r="AI20" s="129" t="s">
        <v>40</v>
      </c>
      <c r="AJ20" s="129" t="s">
        <v>40</v>
      </c>
      <c r="AK20" s="129" t="s">
        <v>40</v>
      </c>
      <c r="AL20" s="129" t="s">
        <v>228</v>
      </c>
      <c r="AM20" s="129" t="s">
        <v>40</v>
      </c>
      <c r="AN20" s="129" t="s">
        <v>227</v>
      </c>
      <c r="AO20" s="129" t="s">
        <v>227</v>
      </c>
      <c r="AP20" s="129" t="s">
        <v>227</v>
      </c>
      <c r="AQ20" s="129" t="s">
        <v>227</v>
      </c>
      <c r="AR20" s="129" t="s">
        <v>227</v>
      </c>
    </row>
    <row r="21" spans="1:44">
      <c r="B21" s="39" t="s">
        <v>41</v>
      </c>
      <c r="C21" s="39" t="s">
        <v>42</v>
      </c>
      <c r="D21" s="130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</row>
    <row r="23" spans="1:44">
      <c r="B23" s="167" t="s">
        <v>43</v>
      </c>
      <c r="C23" s="168">
        <f>D25/D18</f>
        <v>2250.2284908321581</v>
      </c>
    </row>
    <row r="24" spans="1:44">
      <c r="D24" s="10"/>
    </row>
    <row r="25" spans="1:44">
      <c r="A25" s="312" t="s">
        <v>44</v>
      </c>
      <c r="B25" s="35" t="s">
        <v>45</v>
      </c>
      <c r="C25" s="36" t="s">
        <v>46</v>
      </c>
      <c r="D25" s="70">
        <f>SUM(E25:AP25)</f>
        <v>797706</v>
      </c>
      <c r="E25" s="75">
        <f t="shared" ref="E25:AL25" si="3">SUM(E26:E37)</f>
        <v>0</v>
      </c>
      <c r="F25" s="75">
        <f t="shared" si="3"/>
        <v>46654</v>
      </c>
      <c r="G25" s="75">
        <f t="shared" si="3"/>
        <v>10117</v>
      </c>
      <c r="H25" s="75">
        <f t="shared" si="3"/>
        <v>7598</v>
      </c>
      <c r="I25" s="75">
        <f t="shared" si="3"/>
        <v>12928</v>
      </c>
      <c r="J25" s="75">
        <f t="shared" si="3"/>
        <v>1965</v>
      </c>
      <c r="K25" s="75">
        <f t="shared" si="3"/>
        <v>28132</v>
      </c>
      <c r="L25" s="75">
        <f t="shared" si="3"/>
        <v>33780</v>
      </c>
      <c r="M25" s="75">
        <f t="shared" si="3"/>
        <v>40295</v>
      </c>
      <c r="N25" s="75">
        <f t="shared" si="3"/>
        <v>19223</v>
      </c>
      <c r="O25" s="75">
        <f t="shared" si="3"/>
        <v>40483</v>
      </c>
      <c r="P25" s="75">
        <f t="shared" si="3"/>
        <v>21835</v>
      </c>
      <c r="Q25" s="75">
        <f t="shared" si="3"/>
        <v>18471</v>
      </c>
      <c r="R25" s="75">
        <f t="shared" si="3"/>
        <v>28956</v>
      </c>
      <c r="S25" s="75">
        <f t="shared" si="3"/>
        <v>24930</v>
      </c>
      <c r="T25" s="75">
        <f t="shared" si="3"/>
        <v>15978</v>
      </c>
      <c r="U25" s="75">
        <f t="shared" si="3"/>
        <v>14148</v>
      </c>
      <c r="V25" s="75">
        <f t="shared" si="3"/>
        <v>23620</v>
      </c>
      <c r="W25" s="75">
        <f t="shared" si="3"/>
        <v>20746</v>
      </c>
      <c r="X25" s="75">
        <f t="shared" si="3"/>
        <v>1700</v>
      </c>
      <c r="Y25" s="75">
        <f t="shared" si="3"/>
        <v>36275</v>
      </c>
      <c r="Z25" s="75">
        <f t="shared" si="3"/>
        <v>49197</v>
      </c>
      <c r="AA25" s="75">
        <f t="shared" si="3"/>
        <v>26880</v>
      </c>
      <c r="AB25" s="75">
        <f t="shared" si="3"/>
        <v>0</v>
      </c>
      <c r="AC25" s="75">
        <f t="shared" si="3"/>
        <v>0</v>
      </c>
      <c r="AD25" s="75">
        <f t="shared" si="3"/>
        <v>0</v>
      </c>
      <c r="AE25" s="75">
        <f t="shared" si="3"/>
        <v>53631</v>
      </c>
      <c r="AF25" s="75">
        <f t="shared" si="3"/>
        <v>0</v>
      </c>
      <c r="AG25" s="75">
        <f t="shared" si="3"/>
        <v>9909</v>
      </c>
      <c r="AH25" s="75">
        <f t="shared" si="3"/>
        <v>50075</v>
      </c>
      <c r="AI25" s="75">
        <f t="shared" si="3"/>
        <v>30852</v>
      </c>
      <c r="AJ25" s="75">
        <f t="shared" si="3"/>
        <v>30104</v>
      </c>
      <c r="AK25" s="75">
        <f t="shared" si="3"/>
        <v>10092</v>
      </c>
      <c r="AL25" s="75">
        <f t="shared" si="3"/>
        <v>8705</v>
      </c>
      <c r="AM25" s="75">
        <f t="shared" ref="AM25" si="4">SUM(AM26:AM37)</f>
        <v>25950</v>
      </c>
      <c r="AN25" s="75">
        <f>SUM(AN26:AN37)</f>
        <v>15646</v>
      </c>
      <c r="AO25" s="75">
        <f>SUM(AO26:AO37)</f>
        <v>25589</v>
      </c>
      <c r="AP25" s="75">
        <f>SUM(AP26:AP37)</f>
        <v>13242</v>
      </c>
      <c r="AQ25" s="75">
        <f>SUM(AQ26:AQ37)</f>
        <v>20281</v>
      </c>
      <c r="AR25" s="75">
        <f>SUM(AR26:AR37)</f>
        <v>10106</v>
      </c>
    </row>
    <row r="26" spans="1:44">
      <c r="A26" s="313"/>
      <c r="B26" s="37" t="s">
        <v>47</v>
      </c>
      <c r="C26" s="38" t="s">
        <v>48</v>
      </c>
      <c r="D26" s="73">
        <f t="shared" ref="D26:D30" si="5">SUM(E26:AP26)</f>
        <v>342761</v>
      </c>
      <c r="E26" s="55"/>
      <c r="F26" s="55">
        <v>147</v>
      </c>
      <c r="G26" s="55">
        <v>8685</v>
      </c>
      <c r="H26" s="55">
        <v>6490</v>
      </c>
      <c r="I26" s="55">
        <v>9890</v>
      </c>
      <c r="J26" s="55">
        <v>1599</v>
      </c>
      <c r="K26" s="55">
        <v>26101</v>
      </c>
      <c r="L26" s="55">
        <v>32458</v>
      </c>
      <c r="M26" s="55">
        <v>20743</v>
      </c>
      <c r="N26" s="55">
        <v>17677</v>
      </c>
      <c r="O26" s="55">
        <v>23100</v>
      </c>
      <c r="P26" s="55">
        <v>16820</v>
      </c>
      <c r="Q26" s="55">
        <v>14442</v>
      </c>
      <c r="R26" s="55">
        <v>19825</v>
      </c>
      <c r="S26" s="55">
        <v>21278</v>
      </c>
      <c r="T26" s="55">
        <v>13538</v>
      </c>
      <c r="U26" s="55">
        <v>3428</v>
      </c>
      <c r="V26" s="55">
        <v>9300</v>
      </c>
      <c r="W26" s="55">
        <v>19235</v>
      </c>
      <c r="X26" s="55">
        <v>147</v>
      </c>
      <c r="Y26" s="55">
        <v>2599</v>
      </c>
      <c r="Z26" s="55">
        <v>3130</v>
      </c>
      <c r="AA26" s="55">
        <v>2011</v>
      </c>
      <c r="AB26" s="55">
        <v>0</v>
      </c>
      <c r="AC26" s="55">
        <v>0</v>
      </c>
      <c r="AD26" s="55">
        <v>0</v>
      </c>
      <c r="AE26" s="55">
        <v>3202</v>
      </c>
      <c r="AF26" s="55">
        <v>0</v>
      </c>
      <c r="AG26" s="55">
        <v>1731</v>
      </c>
      <c r="AH26" s="55">
        <v>2149</v>
      </c>
      <c r="AI26" s="55">
        <v>3508</v>
      </c>
      <c r="AJ26" s="55">
        <v>2096</v>
      </c>
      <c r="AK26" s="55">
        <v>625</v>
      </c>
      <c r="AL26" s="55">
        <v>8391</v>
      </c>
      <c r="AM26" s="55">
        <v>14684</v>
      </c>
      <c r="AN26" s="55">
        <v>13429</v>
      </c>
      <c r="AO26" s="55">
        <v>12123</v>
      </c>
      <c r="AP26" s="55">
        <v>8180</v>
      </c>
      <c r="AQ26" s="55">
        <v>12749</v>
      </c>
      <c r="AR26" s="55">
        <v>7948</v>
      </c>
    </row>
    <row r="27" spans="1:44">
      <c r="A27" s="313"/>
      <c r="B27" s="37" t="s">
        <v>49</v>
      </c>
      <c r="C27" s="38" t="s">
        <v>48</v>
      </c>
      <c r="D27" s="73">
        <f t="shared" si="5"/>
        <v>10818</v>
      </c>
      <c r="E27" s="55"/>
      <c r="F27" s="55">
        <v>48</v>
      </c>
      <c r="G27" s="55"/>
      <c r="H27" s="55">
        <v>288</v>
      </c>
      <c r="I27" s="55">
        <v>1248</v>
      </c>
      <c r="J27" s="55">
        <v>144</v>
      </c>
      <c r="K27" s="55">
        <v>1680</v>
      </c>
      <c r="L27" s="55">
        <v>816</v>
      </c>
      <c r="M27" s="55">
        <v>48</v>
      </c>
      <c r="N27" s="55">
        <v>528</v>
      </c>
      <c r="O27" s="55">
        <v>432</v>
      </c>
      <c r="P27" s="55">
        <v>144</v>
      </c>
      <c r="Q27" s="55">
        <v>288</v>
      </c>
      <c r="R27" s="55">
        <v>816</v>
      </c>
      <c r="S27" s="55">
        <v>1152</v>
      </c>
      <c r="T27" s="55">
        <v>816</v>
      </c>
      <c r="U27" s="55">
        <v>96</v>
      </c>
      <c r="V27" s="55">
        <v>192</v>
      </c>
      <c r="W27" s="55">
        <v>288</v>
      </c>
      <c r="X27" s="55"/>
      <c r="Y27" s="55">
        <v>48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288</v>
      </c>
      <c r="AF27" s="55">
        <v>0</v>
      </c>
      <c r="AG27" s="55">
        <v>96</v>
      </c>
      <c r="AH27" s="55">
        <v>96</v>
      </c>
      <c r="AI27" s="55">
        <v>672</v>
      </c>
      <c r="AJ27" s="55">
        <v>240</v>
      </c>
      <c r="AK27" s="55">
        <v>96</v>
      </c>
      <c r="AL27" s="55">
        <v>0</v>
      </c>
      <c r="AM27" s="55">
        <v>18</v>
      </c>
      <c r="AN27" s="55">
        <v>144</v>
      </c>
      <c r="AO27" s="55">
        <v>0</v>
      </c>
      <c r="AP27" s="55">
        <v>96</v>
      </c>
      <c r="AQ27" s="55">
        <v>384</v>
      </c>
      <c r="AR27" s="55">
        <v>0</v>
      </c>
    </row>
    <row r="28" spans="1:44">
      <c r="A28" s="313"/>
      <c r="B28" s="37" t="s">
        <v>50</v>
      </c>
      <c r="C28" s="38" t="s">
        <v>48</v>
      </c>
      <c r="D28" s="73">
        <f t="shared" si="5"/>
        <v>323356</v>
      </c>
      <c r="E28" s="55"/>
      <c r="F28" s="55">
        <v>43057</v>
      </c>
      <c r="G28" s="55"/>
      <c r="H28" s="55"/>
      <c r="I28" s="55"/>
      <c r="J28" s="55"/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8300</v>
      </c>
      <c r="V28" s="55">
        <v>7974</v>
      </c>
      <c r="W28" s="55">
        <v>92</v>
      </c>
      <c r="X28" s="55">
        <v>1145</v>
      </c>
      <c r="Y28" s="55">
        <v>32952</v>
      </c>
      <c r="Z28" s="55">
        <v>44147</v>
      </c>
      <c r="AA28" s="55">
        <v>24481</v>
      </c>
      <c r="AB28" s="55">
        <v>0</v>
      </c>
      <c r="AC28" s="55">
        <v>0</v>
      </c>
      <c r="AD28" s="55">
        <v>0</v>
      </c>
      <c r="AE28" s="55">
        <v>49403</v>
      </c>
      <c r="AF28" s="55">
        <v>0</v>
      </c>
      <c r="AG28" s="55">
        <v>7540</v>
      </c>
      <c r="AH28" s="55">
        <v>47118</v>
      </c>
      <c r="AI28" s="55">
        <v>24466</v>
      </c>
      <c r="AJ28" s="55">
        <v>24504</v>
      </c>
      <c r="AK28" s="55">
        <v>7625</v>
      </c>
      <c r="AL28" s="55">
        <v>0</v>
      </c>
      <c r="AM28" s="55">
        <v>0</v>
      </c>
      <c r="AN28" s="55">
        <v>0</v>
      </c>
      <c r="AO28" s="55">
        <v>0</v>
      </c>
      <c r="AP28" s="55">
        <v>552</v>
      </c>
      <c r="AQ28" s="55">
        <v>0</v>
      </c>
      <c r="AR28" s="55">
        <v>0</v>
      </c>
    </row>
    <row r="29" spans="1:44">
      <c r="A29" s="313"/>
      <c r="B29" s="37" t="s">
        <v>51</v>
      </c>
      <c r="C29" s="38" t="s">
        <v>48</v>
      </c>
      <c r="D29" s="73">
        <f t="shared" si="5"/>
        <v>1096</v>
      </c>
      <c r="E29" s="55"/>
      <c r="F29" s="55"/>
      <c r="G29" s="55"/>
      <c r="H29" s="55"/>
      <c r="I29" s="55"/>
      <c r="J29" s="55"/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1096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52</v>
      </c>
      <c r="C30" s="38" t="s">
        <v>48</v>
      </c>
      <c r="D30" s="73">
        <f t="shared" si="5"/>
        <v>83108</v>
      </c>
      <c r="E30" s="55"/>
      <c r="F30" s="55"/>
      <c r="G30" s="55">
        <v>926</v>
      </c>
      <c r="H30" s="55">
        <v>360</v>
      </c>
      <c r="I30" s="55"/>
      <c r="J30" s="55"/>
      <c r="K30" s="55">
        <v>18</v>
      </c>
      <c r="L30" s="55">
        <v>36</v>
      </c>
      <c r="M30" s="55">
        <v>17622</v>
      </c>
      <c r="N30" s="55">
        <v>576</v>
      </c>
      <c r="O30" s="55">
        <v>16436</v>
      </c>
      <c r="P30" s="55">
        <v>3080</v>
      </c>
      <c r="Q30" s="55">
        <v>2780</v>
      </c>
      <c r="R30" s="55">
        <v>2600</v>
      </c>
      <c r="S30" s="55">
        <v>440</v>
      </c>
      <c r="T30" s="55">
        <v>580</v>
      </c>
      <c r="U30" s="55">
        <v>1060</v>
      </c>
      <c r="V30" s="55">
        <v>2320</v>
      </c>
      <c r="W30" s="55">
        <v>760</v>
      </c>
      <c r="X30" s="55">
        <v>120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738</v>
      </c>
      <c r="AF30" s="55">
        <v>0</v>
      </c>
      <c r="AG30" s="55">
        <v>486</v>
      </c>
      <c r="AH30" s="55">
        <v>108</v>
      </c>
      <c r="AI30" s="55">
        <v>1728</v>
      </c>
      <c r="AJ30" s="55">
        <v>2970</v>
      </c>
      <c r="AK30" s="55">
        <v>1404</v>
      </c>
      <c r="AL30" s="55">
        <v>248</v>
      </c>
      <c r="AM30" s="55">
        <v>8838</v>
      </c>
      <c r="AN30" s="55">
        <v>694</v>
      </c>
      <c r="AO30" s="55">
        <v>12708</v>
      </c>
      <c r="AP30" s="55">
        <v>3472</v>
      </c>
      <c r="AQ30" s="55">
        <v>5160</v>
      </c>
      <c r="AR30" s="55">
        <v>600</v>
      </c>
    </row>
    <row r="31" spans="1:44">
      <c r="A31" s="313"/>
      <c r="B31" s="37" t="s">
        <v>53</v>
      </c>
      <c r="C31" s="38" t="s">
        <v>48</v>
      </c>
      <c r="D31" s="73">
        <f>SUM(E31:AP31)</f>
        <v>0</v>
      </c>
      <c r="E31" s="55"/>
      <c r="F31" s="55"/>
      <c r="G31" s="55"/>
      <c r="H31" s="55"/>
      <c r="I31" s="55"/>
      <c r="J31" s="55"/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/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54</v>
      </c>
      <c r="C32" s="38" t="s">
        <v>48</v>
      </c>
      <c r="D32" s="73">
        <f t="shared" ref="D32:D37" si="6">SUM(E32:AP32)</f>
        <v>0</v>
      </c>
      <c r="E32" s="55"/>
      <c r="F32" s="55"/>
      <c r="G32" s="55"/>
      <c r="H32" s="55"/>
      <c r="I32" s="55"/>
      <c r="J32" s="55"/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/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55</v>
      </c>
      <c r="C33" s="38" t="s">
        <v>48</v>
      </c>
      <c r="D33" s="73">
        <f t="shared" si="6"/>
        <v>13840</v>
      </c>
      <c r="E33" s="55"/>
      <c r="F33" s="55"/>
      <c r="G33" s="55">
        <v>42</v>
      </c>
      <c r="H33" s="55">
        <v>231</v>
      </c>
      <c r="I33" s="55">
        <v>0</v>
      </c>
      <c r="J33" s="55">
        <v>0</v>
      </c>
      <c r="K33" s="55">
        <v>21</v>
      </c>
      <c r="L33" s="55">
        <v>84</v>
      </c>
      <c r="M33" s="55">
        <v>1790</v>
      </c>
      <c r="N33" s="55">
        <v>84</v>
      </c>
      <c r="O33" s="55">
        <v>189</v>
      </c>
      <c r="P33" s="55">
        <v>41</v>
      </c>
      <c r="Q33" s="55">
        <v>63</v>
      </c>
      <c r="R33" s="55">
        <v>4887</v>
      </c>
      <c r="S33" s="55">
        <v>1720</v>
      </c>
      <c r="T33" s="55">
        <v>582</v>
      </c>
      <c r="U33" s="55">
        <v>168</v>
      </c>
      <c r="V33" s="55">
        <v>166</v>
      </c>
      <c r="W33" s="55">
        <v>149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1929</v>
      </c>
      <c r="AN33" s="55">
        <v>1050</v>
      </c>
      <c r="AO33" s="55">
        <v>560</v>
      </c>
      <c r="AP33" s="55">
        <v>84</v>
      </c>
      <c r="AQ33" s="55">
        <v>1013</v>
      </c>
      <c r="AR33" s="55">
        <v>166</v>
      </c>
    </row>
    <row r="34" spans="1:44">
      <c r="A34" s="313"/>
      <c r="B34" s="37" t="s">
        <v>56</v>
      </c>
      <c r="C34" s="38" t="s">
        <v>48</v>
      </c>
      <c r="D34" s="73">
        <f t="shared" si="6"/>
        <v>908</v>
      </c>
      <c r="E34" s="55"/>
      <c r="F34" s="55"/>
      <c r="G34" s="55"/>
      <c r="H34" s="55"/>
      <c r="I34" s="55"/>
      <c r="J34" s="55"/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481</v>
      </c>
      <c r="AN34" s="55">
        <v>279</v>
      </c>
      <c r="AO34" s="55">
        <v>148</v>
      </c>
      <c r="AP34" s="55">
        <v>0</v>
      </c>
      <c r="AQ34" s="55">
        <v>300</v>
      </c>
      <c r="AR34" s="55">
        <v>0</v>
      </c>
    </row>
    <row r="35" spans="1:44">
      <c r="A35" s="313"/>
      <c r="B35" s="37" t="s">
        <v>57</v>
      </c>
      <c r="C35" s="38" t="s">
        <v>48</v>
      </c>
      <c r="D35" s="73">
        <f t="shared" si="6"/>
        <v>0</v>
      </c>
      <c r="E35" s="55"/>
      <c r="F35" s="55"/>
      <c r="G35" s="55"/>
      <c r="H35" s="55"/>
      <c r="I35" s="55"/>
      <c r="J35" s="55"/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58</v>
      </c>
      <c r="C36" s="38" t="s">
        <v>48</v>
      </c>
      <c r="D36" s="73">
        <f t="shared" si="6"/>
        <v>0</v>
      </c>
      <c r="E36" s="55"/>
      <c r="F36" s="55"/>
      <c r="G36" s="55"/>
      <c r="H36" s="55"/>
      <c r="I36" s="55"/>
      <c r="J36" s="55"/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4"/>
      <c r="B37" s="39" t="s">
        <v>59</v>
      </c>
      <c r="C37" s="40" t="s">
        <v>48</v>
      </c>
      <c r="D37" s="73">
        <f t="shared" si="6"/>
        <v>21819</v>
      </c>
      <c r="E37" s="55"/>
      <c r="F37" s="55">
        <v>3402</v>
      </c>
      <c r="G37" s="55">
        <v>464</v>
      </c>
      <c r="H37" s="55">
        <v>229</v>
      </c>
      <c r="I37" s="55">
        <v>1790</v>
      </c>
      <c r="J37" s="55">
        <v>222</v>
      </c>
      <c r="K37" s="55">
        <v>312</v>
      </c>
      <c r="L37" s="55">
        <v>386</v>
      </c>
      <c r="M37" s="55">
        <v>92</v>
      </c>
      <c r="N37" s="55">
        <v>358</v>
      </c>
      <c r="O37" s="55">
        <v>326</v>
      </c>
      <c r="P37" s="55">
        <v>1750</v>
      </c>
      <c r="Q37" s="55">
        <v>898</v>
      </c>
      <c r="R37" s="55">
        <v>828</v>
      </c>
      <c r="S37" s="55">
        <v>340</v>
      </c>
      <c r="T37" s="55">
        <v>462</v>
      </c>
      <c r="U37" s="55"/>
      <c r="V37" s="55">
        <v>3668</v>
      </c>
      <c r="W37" s="55">
        <v>222</v>
      </c>
      <c r="X37" s="55">
        <v>288</v>
      </c>
      <c r="Y37" s="55">
        <v>676</v>
      </c>
      <c r="Z37" s="55">
        <v>1920</v>
      </c>
      <c r="AA37" s="55">
        <v>388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56</v>
      </c>
      <c r="AH37" s="55">
        <v>604</v>
      </c>
      <c r="AI37" s="55">
        <v>478</v>
      </c>
      <c r="AJ37" s="55">
        <v>294</v>
      </c>
      <c r="AK37" s="55">
        <v>342</v>
      </c>
      <c r="AL37" s="55">
        <v>66</v>
      </c>
      <c r="AM37" s="55">
        <v>0</v>
      </c>
      <c r="AN37" s="55">
        <v>50</v>
      </c>
      <c r="AO37" s="55">
        <v>50</v>
      </c>
      <c r="AP37" s="55">
        <v>858</v>
      </c>
      <c r="AQ37" s="55">
        <v>675</v>
      </c>
      <c r="AR37" s="55">
        <v>1392</v>
      </c>
    </row>
    <row r="38" spans="1:44">
      <c r="A38" s="164"/>
      <c r="B38" s="94" t="s">
        <v>149</v>
      </c>
      <c r="C38" s="166"/>
      <c r="D38" s="169">
        <f t="shared" ref="D38:AL38" si="7">D36/D25</f>
        <v>0</v>
      </c>
      <c r="E38" s="170" t="e">
        <f t="shared" si="7"/>
        <v>#DIV/0!</v>
      </c>
      <c r="F38" s="170">
        <f t="shared" si="7"/>
        <v>0</v>
      </c>
      <c r="G38" s="170">
        <f t="shared" si="7"/>
        <v>0</v>
      </c>
      <c r="H38" s="170">
        <f t="shared" si="7"/>
        <v>0</v>
      </c>
      <c r="I38" s="170">
        <f t="shared" si="7"/>
        <v>0</v>
      </c>
      <c r="J38" s="170">
        <f t="shared" si="7"/>
        <v>0</v>
      </c>
      <c r="K38" s="170">
        <v>0</v>
      </c>
      <c r="L38" s="170">
        <f t="shared" si="7"/>
        <v>0</v>
      </c>
      <c r="M38" s="170">
        <f t="shared" si="7"/>
        <v>0</v>
      </c>
      <c r="N38" s="170">
        <f t="shared" si="7"/>
        <v>0</v>
      </c>
      <c r="O38" s="170">
        <f t="shared" si="7"/>
        <v>0</v>
      </c>
      <c r="P38" s="170">
        <f t="shared" si="7"/>
        <v>0</v>
      </c>
      <c r="Q38" s="170">
        <f t="shared" si="7"/>
        <v>0</v>
      </c>
      <c r="R38" s="170">
        <f t="shared" si="7"/>
        <v>0</v>
      </c>
      <c r="S38" s="170">
        <f t="shared" si="7"/>
        <v>0</v>
      </c>
      <c r="T38" s="170">
        <f t="shared" si="7"/>
        <v>0</v>
      </c>
      <c r="U38" s="170">
        <f t="shared" si="7"/>
        <v>0</v>
      </c>
      <c r="V38" s="170">
        <f t="shared" si="7"/>
        <v>0</v>
      </c>
      <c r="W38" s="170">
        <f t="shared" si="7"/>
        <v>0</v>
      </c>
      <c r="X38" s="170">
        <f t="shared" si="7"/>
        <v>0</v>
      </c>
      <c r="Y38" s="170">
        <f t="shared" si="7"/>
        <v>0</v>
      </c>
      <c r="Z38" s="170">
        <f t="shared" si="7"/>
        <v>0</v>
      </c>
      <c r="AA38" s="170">
        <f t="shared" si="7"/>
        <v>0</v>
      </c>
      <c r="AB38" s="170" t="e">
        <f t="shared" si="7"/>
        <v>#DIV/0!</v>
      </c>
      <c r="AC38" s="170" t="e">
        <f t="shared" si="7"/>
        <v>#DIV/0!</v>
      </c>
      <c r="AD38" s="170" t="e">
        <f t="shared" si="7"/>
        <v>#DIV/0!</v>
      </c>
      <c r="AE38" s="170">
        <f t="shared" si="7"/>
        <v>0</v>
      </c>
      <c r="AF38" s="170" t="e">
        <f t="shared" si="7"/>
        <v>#DIV/0!</v>
      </c>
      <c r="AG38" s="170">
        <f t="shared" si="7"/>
        <v>0</v>
      </c>
      <c r="AH38" s="170">
        <f t="shared" si="7"/>
        <v>0</v>
      </c>
      <c r="AI38" s="170">
        <f t="shared" si="7"/>
        <v>0</v>
      </c>
      <c r="AJ38" s="170">
        <f t="shared" si="7"/>
        <v>0</v>
      </c>
      <c r="AK38" s="170">
        <f t="shared" si="7"/>
        <v>0</v>
      </c>
      <c r="AL38" s="170">
        <f t="shared" si="7"/>
        <v>0</v>
      </c>
      <c r="AM38" s="170">
        <f t="shared" ref="AM38" si="8">AM36/AM25</f>
        <v>0</v>
      </c>
      <c r="AN38" s="170">
        <f>AN36/AN25</f>
        <v>0</v>
      </c>
      <c r="AO38" s="170">
        <f>AO36/AO25</f>
        <v>0</v>
      </c>
      <c r="AP38" s="170">
        <f>AP36/AP25</f>
        <v>0</v>
      </c>
      <c r="AQ38" s="170">
        <f>AQ36/AQ25</f>
        <v>0</v>
      </c>
      <c r="AR38" s="170">
        <f>AR36/AR25</f>
        <v>0</v>
      </c>
    </row>
    <row r="39" spans="1:44">
      <c r="A39" s="33"/>
      <c r="C39" s="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</row>
    <row r="40" spans="1:44">
      <c r="A40" s="324" t="s">
        <v>60</v>
      </c>
      <c r="B40" s="50" t="s">
        <v>61</v>
      </c>
      <c r="C40" s="91" t="s">
        <v>62</v>
      </c>
      <c r="D40" s="81">
        <f>SUM(E40:AI40)</f>
        <v>432000</v>
      </c>
      <c r="E40" s="86">
        <v>5000</v>
      </c>
      <c r="F40" s="86">
        <v>15000</v>
      </c>
      <c r="G40" s="86">
        <v>14000</v>
      </c>
      <c r="H40" s="86">
        <v>15000</v>
      </c>
      <c r="I40" s="86">
        <v>15000</v>
      </c>
      <c r="J40" s="86">
        <v>17000</v>
      </c>
      <c r="K40" s="86">
        <v>13000</v>
      </c>
      <c r="L40" s="86">
        <v>15000</v>
      </c>
      <c r="M40" s="86">
        <v>19000</v>
      </c>
      <c r="N40" s="86">
        <v>17000</v>
      </c>
      <c r="O40" s="86">
        <v>15000</v>
      </c>
      <c r="P40" s="86">
        <v>17000</v>
      </c>
      <c r="Q40" s="86">
        <v>18000</v>
      </c>
      <c r="R40" s="86">
        <v>18000</v>
      </c>
      <c r="S40" s="86">
        <v>18000</v>
      </c>
      <c r="T40" s="86">
        <v>18000</v>
      </c>
      <c r="U40" s="86">
        <v>16000</v>
      </c>
      <c r="V40" s="86">
        <v>16000</v>
      </c>
      <c r="W40" s="86">
        <v>19000</v>
      </c>
      <c r="X40" s="86">
        <v>18000</v>
      </c>
      <c r="Y40" s="86">
        <v>15000</v>
      </c>
      <c r="Z40" s="86">
        <v>15000</v>
      </c>
      <c r="AA40" s="86">
        <v>14000</v>
      </c>
      <c r="AB40" s="86">
        <v>3000</v>
      </c>
      <c r="AC40" s="86">
        <v>3000</v>
      </c>
      <c r="AD40" s="86">
        <v>3000</v>
      </c>
      <c r="AE40" s="86">
        <v>13000</v>
      </c>
      <c r="AF40" s="86">
        <v>7000</v>
      </c>
      <c r="AG40" s="86">
        <v>13000</v>
      </c>
      <c r="AH40" s="86">
        <v>14000</v>
      </c>
      <c r="AI40" s="86">
        <v>14000</v>
      </c>
      <c r="AJ40" s="86">
        <v>13000</v>
      </c>
      <c r="AK40" s="86">
        <v>14000</v>
      </c>
      <c r="AL40" s="86">
        <v>14000</v>
      </c>
      <c r="AM40" s="86">
        <v>15000</v>
      </c>
      <c r="AN40" s="86">
        <v>17000</v>
      </c>
      <c r="AO40" s="86">
        <v>17000</v>
      </c>
      <c r="AP40" s="86">
        <v>17000</v>
      </c>
      <c r="AQ40" s="86">
        <v>18000</v>
      </c>
      <c r="AR40" s="86">
        <v>16000</v>
      </c>
    </row>
    <row r="41" spans="1:44">
      <c r="A41" s="325"/>
      <c r="B41" s="39" t="s">
        <v>63</v>
      </c>
      <c r="C41" s="92" t="s">
        <v>62</v>
      </c>
      <c r="D41" s="82">
        <f>SUM(E41:AI41)</f>
        <v>1800</v>
      </c>
      <c r="E41" s="87">
        <v>0</v>
      </c>
      <c r="F41" s="87">
        <v>0</v>
      </c>
      <c r="G41" s="87">
        <v>300</v>
      </c>
      <c r="H41" s="87">
        <v>0</v>
      </c>
      <c r="I41" s="87"/>
      <c r="J41" s="87">
        <v>0</v>
      </c>
      <c r="K41" s="87">
        <v>0</v>
      </c>
      <c r="L41" s="87">
        <v>0</v>
      </c>
      <c r="M41" s="87">
        <v>0</v>
      </c>
      <c r="N41" s="87">
        <v>200</v>
      </c>
      <c r="O41" s="87">
        <v>0</v>
      </c>
      <c r="P41" s="87">
        <v>0</v>
      </c>
      <c r="Q41" s="87">
        <v>300</v>
      </c>
      <c r="R41" s="87"/>
      <c r="S41" s="87">
        <v>0</v>
      </c>
      <c r="T41" s="87">
        <v>0</v>
      </c>
      <c r="U41" s="87">
        <v>0</v>
      </c>
      <c r="V41" s="87">
        <v>300</v>
      </c>
      <c r="W41" s="87"/>
      <c r="X41" s="87">
        <v>0</v>
      </c>
      <c r="Y41" s="87">
        <v>200</v>
      </c>
      <c r="Z41" s="87">
        <v>0</v>
      </c>
      <c r="AA41" s="87">
        <v>0</v>
      </c>
      <c r="AB41" s="87">
        <v>0</v>
      </c>
      <c r="AC41" s="87">
        <v>0</v>
      </c>
      <c r="AD41" s="87">
        <v>0</v>
      </c>
      <c r="AE41" s="87">
        <v>300</v>
      </c>
      <c r="AF41" s="87">
        <v>0</v>
      </c>
      <c r="AG41" s="87"/>
      <c r="AH41" s="87">
        <v>200</v>
      </c>
      <c r="AI41" s="87">
        <v>0</v>
      </c>
      <c r="AJ41" s="87">
        <v>0</v>
      </c>
      <c r="AK41" s="87">
        <v>0</v>
      </c>
      <c r="AL41" s="87">
        <v>0</v>
      </c>
      <c r="AM41" s="87">
        <v>200</v>
      </c>
      <c r="AN41" s="87">
        <v>0</v>
      </c>
      <c r="AO41" s="87">
        <v>0</v>
      </c>
      <c r="AP41" s="87">
        <v>200</v>
      </c>
      <c r="AQ41" s="87">
        <v>0</v>
      </c>
      <c r="AR41" s="87">
        <v>0</v>
      </c>
    </row>
    <row r="43" spans="1:44">
      <c r="A43" s="312" t="s">
        <v>64</v>
      </c>
      <c r="B43" s="93" t="s">
        <v>65</v>
      </c>
      <c r="C43" s="47" t="s">
        <v>8</v>
      </c>
      <c r="D43" s="83">
        <f>SUM(E43:AI43)</f>
        <v>0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88">
        <v>0</v>
      </c>
      <c r="AK43" s="88">
        <v>0</v>
      </c>
      <c r="AL43" s="88">
        <v>0</v>
      </c>
      <c r="AM43" s="88">
        <v>0</v>
      </c>
      <c r="AN43" s="88">
        <v>0</v>
      </c>
      <c r="AO43" s="88">
        <v>0</v>
      </c>
      <c r="AP43" s="88">
        <v>0</v>
      </c>
      <c r="AQ43" s="88">
        <v>0</v>
      </c>
      <c r="AR43" s="88">
        <v>0</v>
      </c>
    </row>
    <row r="44" spans="1:44">
      <c r="A44" s="313"/>
      <c r="B44" s="94" t="s">
        <v>66</v>
      </c>
      <c r="C44" s="38" t="s">
        <v>8</v>
      </c>
      <c r="D44" s="84">
        <f>SUM(E44:AI44)</f>
        <v>0</v>
      </c>
      <c r="E44" s="89"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0</v>
      </c>
      <c r="AF44" s="89">
        <v>0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9">
        <v>0</v>
      </c>
      <c r="AP44" s="89">
        <v>0</v>
      </c>
      <c r="AQ44" s="89">
        <v>0</v>
      </c>
      <c r="AR44" s="89">
        <v>0</v>
      </c>
    </row>
    <row r="45" spans="1:44">
      <c r="A45" s="313"/>
      <c r="B45" s="94" t="s">
        <v>67</v>
      </c>
      <c r="C45" s="38" t="s">
        <v>8</v>
      </c>
      <c r="D45" s="84">
        <f>SUM(E45:AI45)</f>
        <v>0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0</v>
      </c>
      <c r="Z45" s="89">
        <v>0</v>
      </c>
      <c r="AA45" s="89">
        <v>0</v>
      </c>
      <c r="AB45" s="89">
        <v>0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  <c r="AM45" s="89">
        <v>0</v>
      </c>
      <c r="AN45" s="89">
        <v>0</v>
      </c>
      <c r="AO45" s="89">
        <v>0</v>
      </c>
      <c r="AP45" s="89">
        <v>0</v>
      </c>
      <c r="AQ45" s="89">
        <v>0</v>
      </c>
      <c r="AR45" s="89">
        <v>0</v>
      </c>
    </row>
    <row r="46" spans="1:44">
      <c r="A46" s="313"/>
      <c r="B46" s="95" t="s">
        <v>68</v>
      </c>
      <c r="C46" s="40" t="s">
        <v>8</v>
      </c>
      <c r="D46" s="84">
        <f>SUM(E46:AI46)</f>
        <v>0</v>
      </c>
      <c r="E46" s="90">
        <v>0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0</v>
      </c>
      <c r="AC46" s="90">
        <v>0</v>
      </c>
      <c r="AD46" s="90">
        <v>0</v>
      </c>
      <c r="AE46" s="90">
        <v>0</v>
      </c>
      <c r="AF46" s="90">
        <v>0</v>
      </c>
      <c r="AG46" s="90">
        <v>0</v>
      </c>
      <c r="AH46" s="90">
        <v>0</v>
      </c>
      <c r="AI46" s="90">
        <v>0</v>
      </c>
      <c r="AJ46" s="90">
        <v>0</v>
      </c>
      <c r="AK46" s="90">
        <v>0</v>
      </c>
      <c r="AL46" s="90">
        <v>0</v>
      </c>
      <c r="AM46" s="90">
        <v>0</v>
      </c>
      <c r="AN46" s="90">
        <v>0</v>
      </c>
      <c r="AO46" s="90">
        <v>0</v>
      </c>
      <c r="AP46" s="90">
        <v>0</v>
      </c>
      <c r="AQ46" s="90">
        <v>0</v>
      </c>
      <c r="AR46" s="90">
        <v>0</v>
      </c>
    </row>
    <row r="47" spans="1:44">
      <c r="A47" s="313"/>
      <c r="B47" s="93" t="s">
        <v>69</v>
      </c>
      <c r="C47" s="91" t="s">
        <v>48</v>
      </c>
      <c r="D47" s="85">
        <f>SUM(E47:Y47)</f>
        <v>235000</v>
      </c>
      <c r="E47" s="86">
        <v>0</v>
      </c>
      <c r="F47" s="86">
        <v>15000</v>
      </c>
      <c r="G47" s="86">
        <v>4000</v>
      </c>
      <c r="H47" s="86">
        <v>4000</v>
      </c>
      <c r="I47" s="86">
        <v>5000</v>
      </c>
      <c r="J47" s="86">
        <v>1000</v>
      </c>
      <c r="K47" s="86">
        <v>15000</v>
      </c>
      <c r="L47" s="86">
        <v>20000</v>
      </c>
      <c r="M47" s="86">
        <v>25000</v>
      </c>
      <c r="N47" s="86">
        <v>10000</v>
      </c>
      <c r="O47" s="86">
        <v>20000</v>
      </c>
      <c r="P47" s="86">
        <v>18000</v>
      </c>
      <c r="Q47" s="86">
        <v>10000</v>
      </c>
      <c r="R47" s="86">
        <v>20000</v>
      </c>
      <c r="S47" s="86">
        <v>15000</v>
      </c>
      <c r="T47" s="86">
        <v>10000</v>
      </c>
      <c r="U47" s="86">
        <v>5000</v>
      </c>
      <c r="V47" s="86">
        <v>12000</v>
      </c>
      <c r="W47" s="86">
        <v>10000</v>
      </c>
      <c r="X47" s="86">
        <v>1000</v>
      </c>
      <c r="Y47" s="86">
        <v>15000</v>
      </c>
      <c r="Z47" s="86">
        <v>15000</v>
      </c>
      <c r="AA47" s="86">
        <v>10000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6">
        <v>0</v>
      </c>
      <c r="AK47" s="86">
        <v>0</v>
      </c>
      <c r="AL47" s="86">
        <v>0</v>
      </c>
      <c r="AM47" s="86">
        <v>0</v>
      </c>
      <c r="AN47" s="86">
        <v>0</v>
      </c>
      <c r="AO47" s="86">
        <v>0</v>
      </c>
      <c r="AP47" s="86">
        <v>0</v>
      </c>
      <c r="AQ47" s="86">
        <v>0</v>
      </c>
      <c r="AR47" s="86">
        <v>0</v>
      </c>
    </row>
    <row r="48" spans="1:44">
      <c r="A48" s="314"/>
      <c r="B48" s="95" t="s">
        <v>70</v>
      </c>
      <c r="C48" s="92" t="s">
        <v>48</v>
      </c>
      <c r="D48" s="82">
        <f>SUM(E48:Y48)</f>
        <v>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0</v>
      </c>
      <c r="T48" s="87">
        <v>0</v>
      </c>
      <c r="U48" s="87">
        <v>0</v>
      </c>
      <c r="V48" s="87">
        <v>0</v>
      </c>
      <c r="W48" s="87">
        <v>0</v>
      </c>
      <c r="X48" s="87">
        <v>0</v>
      </c>
      <c r="Y48" s="87">
        <v>0</v>
      </c>
      <c r="Z48" s="87">
        <v>0</v>
      </c>
      <c r="AA48" s="87">
        <v>0</v>
      </c>
      <c r="AB48" s="87">
        <v>0</v>
      </c>
      <c r="AC48" s="87">
        <v>0</v>
      </c>
      <c r="AD48" s="87">
        <v>0</v>
      </c>
      <c r="AE48" s="87">
        <v>0</v>
      </c>
      <c r="AF48" s="87">
        <v>0</v>
      </c>
      <c r="AG48" s="87">
        <v>0</v>
      </c>
      <c r="AH48" s="87">
        <v>0</v>
      </c>
      <c r="AI48" s="87">
        <v>0</v>
      </c>
      <c r="AJ48" s="87">
        <v>0</v>
      </c>
      <c r="AK48" s="87">
        <v>0</v>
      </c>
      <c r="AL48" s="87">
        <v>0</v>
      </c>
      <c r="AM48" s="87">
        <v>0</v>
      </c>
      <c r="AN48" s="87">
        <v>0</v>
      </c>
      <c r="AO48" s="87">
        <v>0</v>
      </c>
      <c r="AP48" s="87">
        <v>0</v>
      </c>
      <c r="AQ48" s="87">
        <v>0</v>
      </c>
      <c r="AR48" s="87">
        <v>0</v>
      </c>
    </row>
    <row r="49" spans="1:44"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>
      <c r="A50" s="315" t="s">
        <v>71</v>
      </c>
      <c r="B50" s="50" t="s">
        <v>72</v>
      </c>
      <c r="C50" s="45" t="s">
        <v>73</v>
      </c>
      <c r="D50" s="7" t="s">
        <v>73</v>
      </c>
      <c r="E50" s="7" t="s">
        <v>73</v>
      </c>
      <c r="F50" s="7" t="s">
        <v>73</v>
      </c>
      <c r="G50" s="7" t="s">
        <v>73</v>
      </c>
      <c r="H50" s="7" t="s">
        <v>73</v>
      </c>
      <c r="I50" s="7" t="s">
        <v>73</v>
      </c>
      <c r="J50" s="7" t="s">
        <v>73</v>
      </c>
      <c r="K50" s="7" t="s">
        <v>73</v>
      </c>
      <c r="L50" s="7" t="s">
        <v>73</v>
      </c>
      <c r="M50" s="7" t="s">
        <v>73</v>
      </c>
      <c r="N50" s="7" t="s">
        <v>73</v>
      </c>
      <c r="O50" s="7" t="s">
        <v>73</v>
      </c>
      <c r="P50" s="7" t="s">
        <v>73</v>
      </c>
      <c r="Q50" s="7" t="s">
        <v>73</v>
      </c>
      <c r="R50" s="7" t="s">
        <v>73</v>
      </c>
      <c r="S50" s="7" t="s">
        <v>73</v>
      </c>
      <c r="T50" s="7" t="s">
        <v>73</v>
      </c>
      <c r="U50" s="7" t="s">
        <v>73</v>
      </c>
      <c r="V50" s="7" t="s">
        <v>73</v>
      </c>
      <c r="W50" s="7" t="s">
        <v>73</v>
      </c>
      <c r="X50" s="7" t="s">
        <v>73</v>
      </c>
      <c r="Y50" s="7" t="s">
        <v>73</v>
      </c>
      <c r="Z50" s="7" t="s">
        <v>73</v>
      </c>
      <c r="AA50" s="7" t="s">
        <v>73</v>
      </c>
      <c r="AB50" s="7" t="s">
        <v>73</v>
      </c>
      <c r="AC50" s="7" t="s">
        <v>73</v>
      </c>
      <c r="AD50" s="7" t="s">
        <v>73</v>
      </c>
      <c r="AE50" s="7" t="s">
        <v>73</v>
      </c>
      <c r="AF50" s="7" t="s">
        <v>73</v>
      </c>
      <c r="AG50" s="7" t="s">
        <v>73</v>
      </c>
      <c r="AH50" s="7" t="s">
        <v>73</v>
      </c>
      <c r="AI50" s="7" t="s">
        <v>73</v>
      </c>
      <c r="AJ50" s="7" t="s">
        <v>73</v>
      </c>
      <c r="AK50" s="7" t="s">
        <v>73</v>
      </c>
      <c r="AL50" s="7" t="s">
        <v>73</v>
      </c>
      <c r="AM50" s="7" t="s">
        <v>73</v>
      </c>
      <c r="AN50" s="7" t="s">
        <v>73</v>
      </c>
      <c r="AO50" s="7" t="s">
        <v>73</v>
      </c>
      <c r="AP50" s="7" t="s">
        <v>73</v>
      </c>
      <c r="AQ50" s="7" t="s">
        <v>73</v>
      </c>
      <c r="AR50" s="7" t="s">
        <v>73</v>
      </c>
    </row>
    <row r="51" spans="1:44">
      <c r="A51" s="316"/>
      <c r="B51" s="37" t="s">
        <v>74</v>
      </c>
      <c r="C51" s="51" t="s">
        <v>75</v>
      </c>
      <c r="D51" s="8" t="s">
        <v>75</v>
      </c>
      <c r="E51" s="8" t="s">
        <v>75</v>
      </c>
      <c r="F51" s="8" t="s">
        <v>75</v>
      </c>
      <c r="G51" s="8" t="s">
        <v>75</v>
      </c>
      <c r="H51" s="8" t="s">
        <v>75</v>
      </c>
      <c r="I51" s="8" t="s">
        <v>75</v>
      </c>
      <c r="J51" s="8" t="s">
        <v>75</v>
      </c>
      <c r="K51" s="8" t="s">
        <v>75</v>
      </c>
      <c r="L51" s="8" t="s">
        <v>75</v>
      </c>
      <c r="M51" s="8" t="s">
        <v>75</v>
      </c>
      <c r="N51" s="8" t="s">
        <v>75</v>
      </c>
      <c r="O51" s="8" t="s">
        <v>75</v>
      </c>
      <c r="P51" s="8" t="s">
        <v>75</v>
      </c>
      <c r="Q51" s="8" t="s">
        <v>75</v>
      </c>
      <c r="R51" s="8" t="s">
        <v>75</v>
      </c>
      <c r="S51" s="8" t="s">
        <v>75</v>
      </c>
      <c r="T51" s="8" t="s">
        <v>75</v>
      </c>
      <c r="U51" s="8" t="s">
        <v>75</v>
      </c>
      <c r="V51" s="8" t="s">
        <v>75</v>
      </c>
      <c r="W51" s="8" t="s">
        <v>75</v>
      </c>
      <c r="X51" s="8" t="s">
        <v>75</v>
      </c>
      <c r="Y51" s="8" t="s">
        <v>75</v>
      </c>
      <c r="Z51" s="8" t="s">
        <v>75</v>
      </c>
      <c r="AA51" s="8" t="s">
        <v>75</v>
      </c>
      <c r="AB51" s="8" t="s">
        <v>75</v>
      </c>
      <c r="AC51" s="8" t="s">
        <v>75</v>
      </c>
      <c r="AD51" s="8" t="s">
        <v>75</v>
      </c>
      <c r="AE51" s="8" t="s">
        <v>75</v>
      </c>
      <c r="AF51" s="8" t="s">
        <v>75</v>
      </c>
      <c r="AG51" s="8" t="s">
        <v>75</v>
      </c>
      <c r="AH51" s="8" t="s">
        <v>75</v>
      </c>
      <c r="AI51" s="8" t="s">
        <v>75</v>
      </c>
      <c r="AJ51" s="8" t="s">
        <v>75</v>
      </c>
      <c r="AK51" s="8" t="s">
        <v>75</v>
      </c>
      <c r="AL51" s="8" t="s">
        <v>75</v>
      </c>
      <c r="AM51" s="8" t="s">
        <v>75</v>
      </c>
      <c r="AN51" s="8" t="s">
        <v>75</v>
      </c>
      <c r="AO51" s="8" t="s">
        <v>75</v>
      </c>
      <c r="AP51" s="8" t="s">
        <v>75</v>
      </c>
      <c r="AQ51" s="8" t="s">
        <v>75</v>
      </c>
      <c r="AR51" s="8" t="s">
        <v>75</v>
      </c>
    </row>
    <row r="52" spans="1:44">
      <c r="A52" s="316"/>
      <c r="B52" s="37" t="s">
        <v>7</v>
      </c>
      <c r="C52" s="51" t="s">
        <v>75</v>
      </c>
      <c r="D52" s="8" t="s">
        <v>75</v>
      </c>
      <c r="E52" s="8" t="s">
        <v>75</v>
      </c>
      <c r="F52" s="8" t="s">
        <v>75</v>
      </c>
      <c r="G52" s="8" t="s">
        <v>75</v>
      </c>
      <c r="H52" s="8" t="s">
        <v>75</v>
      </c>
      <c r="I52" s="8" t="s">
        <v>75</v>
      </c>
      <c r="J52" s="8" t="s">
        <v>75</v>
      </c>
      <c r="K52" s="8" t="s">
        <v>75</v>
      </c>
      <c r="L52" s="8" t="s">
        <v>75</v>
      </c>
      <c r="M52" s="8" t="s">
        <v>75</v>
      </c>
      <c r="N52" s="8" t="s">
        <v>75</v>
      </c>
      <c r="O52" s="8" t="s">
        <v>75</v>
      </c>
      <c r="P52" s="8" t="s">
        <v>205</v>
      </c>
      <c r="Q52" s="8" t="s">
        <v>206</v>
      </c>
      <c r="R52" s="8" t="s">
        <v>75</v>
      </c>
      <c r="S52" s="8" t="s">
        <v>75</v>
      </c>
      <c r="T52" s="8" t="s">
        <v>75</v>
      </c>
      <c r="U52" s="8" t="s">
        <v>75</v>
      </c>
      <c r="V52" s="8" t="s">
        <v>75</v>
      </c>
      <c r="W52" s="8" t="s">
        <v>75</v>
      </c>
      <c r="X52" s="8" t="s">
        <v>207</v>
      </c>
      <c r="Y52" s="8" t="s">
        <v>75</v>
      </c>
      <c r="Z52" s="8" t="s">
        <v>75</v>
      </c>
      <c r="AA52" s="8" t="s">
        <v>75</v>
      </c>
      <c r="AB52" s="8" t="s">
        <v>75</v>
      </c>
      <c r="AC52" s="8" t="s">
        <v>75</v>
      </c>
      <c r="AD52" s="8" t="s">
        <v>75</v>
      </c>
      <c r="AE52" s="8" t="s">
        <v>75</v>
      </c>
      <c r="AF52" s="8" t="s">
        <v>75</v>
      </c>
      <c r="AG52" s="8" t="s">
        <v>75</v>
      </c>
      <c r="AH52" s="8" t="s">
        <v>75</v>
      </c>
      <c r="AI52" s="8" t="s">
        <v>75</v>
      </c>
      <c r="AJ52" s="8" t="s">
        <v>75</v>
      </c>
      <c r="AK52" s="8" t="s">
        <v>75</v>
      </c>
      <c r="AL52" s="8" t="s">
        <v>75</v>
      </c>
      <c r="AM52" s="8" t="s">
        <v>75</v>
      </c>
      <c r="AN52" s="8" t="s">
        <v>75</v>
      </c>
      <c r="AO52" s="8" t="s">
        <v>75</v>
      </c>
      <c r="AP52" s="8" t="s">
        <v>75</v>
      </c>
      <c r="AQ52" s="8" t="s">
        <v>75</v>
      </c>
      <c r="AR52" s="8" t="s">
        <v>229</v>
      </c>
    </row>
    <row r="53" spans="1:44">
      <c r="A53" s="316"/>
      <c r="B53" s="37" t="s">
        <v>76</v>
      </c>
      <c r="C53" s="51" t="s">
        <v>75</v>
      </c>
      <c r="D53" s="8" t="s">
        <v>75</v>
      </c>
      <c r="E53" s="8" t="s">
        <v>75</v>
      </c>
      <c r="F53" s="8" t="s">
        <v>75</v>
      </c>
      <c r="G53" s="8" t="s">
        <v>75</v>
      </c>
      <c r="H53" s="8" t="s">
        <v>75</v>
      </c>
      <c r="I53" s="8" t="s">
        <v>75</v>
      </c>
      <c r="J53" s="8" t="s">
        <v>75</v>
      </c>
      <c r="K53" s="8" t="s">
        <v>75</v>
      </c>
      <c r="L53" s="8" t="s">
        <v>75</v>
      </c>
      <c r="M53" s="8" t="s">
        <v>141</v>
      </c>
      <c r="N53" s="8" t="s">
        <v>141</v>
      </c>
      <c r="O53" s="8" t="s">
        <v>75</v>
      </c>
      <c r="P53" s="8" t="s">
        <v>75</v>
      </c>
      <c r="Q53" s="8" t="s">
        <v>75</v>
      </c>
      <c r="R53" s="8" t="s">
        <v>75</v>
      </c>
      <c r="S53" s="8" t="s">
        <v>75</v>
      </c>
      <c r="T53" s="8" t="s">
        <v>75</v>
      </c>
      <c r="U53" s="8" t="s">
        <v>75</v>
      </c>
      <c r="V53" s="8" t="s">
        <v>75</v>
      </c>
      <c r="W53" s="8" t="s">
        <v>75</v>
      </c>
      <c r="X53" s="8" t="s">
        <v>75</v>
      </c>
      <c r="Y53" s="8" t="s">
        <v>75</v>
      </c>
      <c r="Z53" s="8" t="s">
        <v>75</v>
      </c>
      <c r="AA53" s="8" t="s">
        <v>75</v>
      </c>
      <c r="AB53" s="8" t="s">
        <v>75</v>
      </c>
      <c r="AC53" s="8" t="s">
        <v>75</v>
      </c>
      <c r="AD53" s="8" t="s">
        <v>75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  <c r="AL53" s="8" t="s">
        <v>75</v>
      </c>
      <c r="AM53" s="8" t="s">
        <v>75</v>
      </c>
      <c r="AN53" s="8" t="s">
        <v>75</v>
      </c>
      <c r="AO53" s="8" t="s">
        <v>75</v>
      </c>
      <c r="AP53" s="8" t="s">
        <v>75</v>
      </c>
      <c r="AQ53" s="8" t="s">
        <v>75</v>
      </c>
      <c r="AR53" s="8" t="s">
        <v>75</v>
      </c>
    </row>
    <row r="54" spans="1:44">
      <c r="A54" s="317"/>
      <c r="B54" s="39" t="s">
        <v>82</v>
      </c>
      <c r="C54" s="52" t="s">
        <v>75</v>
      </c>
      <c r="D54" s="9" t="s">
        <v>75</v>
      </c>
      <c r="E54" s="9" t="s">
        <v>75</v>
      </c>
      <c r="F54" s="9" t="s">
        <v>75</v>
      </c>
      <c r="G54" s="9" t="s">
        <v>75</v>
      </c>
      <c r="H54" s="9" t="s">
        <v>75</v>
      </c>
      <c r="I54" s="9" t="s">
        <v>75</v>
      </c>
      <c r="J54" s="9" t="s">
        <v>75</v>
      </c>
      <c r="K54" s="9" t="s">
        <v>75</v>
      </c>
      <c r="L54" s="9" t="s">
        <v>75</v>
      </c>
      <c r="M54" s="9" t="s">
        <v>75</v>
      </c>
      <c r="N54" s="9" t="s">
        <v>75</v>
      </c>
      <c r="O54" s="9" t="s">
        <v>75</v>
      </c>
      <c r="P54" s="9" t="s">
        <v>75</v>
      </c>
      <c r="Q54" s="9" t="s">
        <v>75</v>
      </c>
      <c r="R54" s="9" t="s">
        <v>75</v>
      </c>
      <c r="S54" s="9" t="s">
        <v>75</v>
      </c>
      <c r="T54" s="9" t="s">
        <v>75</v>
      </c>
      <c r="U54" s="9" t="s">
        <v>75</v>
      </c>
      <c r="V54" s="9" t="s">
        <v>75</v>
      </c>
      <c r="W54" s="9" t="s">
        <v>75</v>
      </c>
      <c r="X54" s="9" t="s">
        <v>75</v>
      </c>
      <c r="Y54" s="9" t="s">
        <v>75</v>
      </c>
      <c r="Z54" s="9" t="s">
        <v>75</v>
      </c>
      <c r="AA54" s="9" t="s">
        <v>75</v>
      </c>
      <c r="AB54" s="9" t="s">
        <v>75</v>
      </c>
      <c r="AC54" s="9" t="s">
        <v>75</v>
      </c>
      <c r="AD54" s="9" t="s">
        <v>75</v>
      </c>
      <c r="AE54" s="9" t="s">
        <v>75</v>
      </c>
      <c r="AF54" s="9" t="s">
        <v>75</v>
      </c>
      <c r="AG54" s="9" t="s">
        <v>75</v>
      </c>
      <c r="AH54" s="9" t="s">
        <v>75</v>
      </c>
      <c r="AI54" s="9" t="s">
        <v>75</v>
      </c>
      <c r="AJ54" s="9" t="s">
        <v>75</v>
      </c>
      <c r="AK54" s="9" t="s">
        <v>75</v>
      </c>
      <c r="AL54" s="9" t="s">
        <v>75</v>
      </c>
      <c r="AM54" s="9" t="s">
        <v>75</v>
      </c>
      <c r="AN54" s="9" t="s">
        <v>75</v>
      </c>
      <c r="AO54" s="9" t="s">
        <v>75</v>
      </c>
      <c r="AP54" s="9" t="s">
        <v>75</v>
      </c>
      <c r="AQ54" s="9" t="s">
        <v>75</v>
      </c>
      <c r="AR54" s="9" t="s">
        <v>75</v>
      </c>
    </row>
    <row r="56" spans="1:44" ht="15.75">
      <c r="B56" s="53" t="s">
        <v>83</v>
      </c>
      <c r="C56" s="99" t="s">
        <v>84</v>
      </c>
      <c r="D56" s="100">
        <f t="shared" ref="D56:AL56" si="9">SUM(D57:D69)</f>
        <v>28205639.120000001</v>
      </c>
      <c r="E56" s="101">
        <f t="shared" si="9"/>
        <v>0</v>
      </c>
      <c r="F56" s="101">
        <f t="shared" si="9"/>
        <v>1026854</v>
      </c>
      <c r="G56" s="101">
        <f t="shared" si="9"/>
        <v>475377</v>
      </c>
      <c r="H56" s="101">
        <f t="shared" si="9"/>
        <v>370168</v>
      </c>
      <c r="I56" s="101">
        <f t="shared" si="9"/>
        <v>578426</v>
      </c>
      <c r="J56" s="101">
        <f t="shared" si="9"/>
        <v>91131</v>
      </c>
      <c r="K56" s="101">
        <f t="shared" si="9"/>
        <v>1440839</v>
      </c>
      <c r="L56" s="101">
        <f t="shared" si="9"/>
        <v>1754034</v>
      </c>
      <c r="M56" s="101">
        <f t="shared" si="9"/>
        <v>1367371</v>
      </c>
      <c r="N56" s="101">
        <f t="shared" si="9"/>
        <v>966601</v>
      </c>
      <c r="O56" s="101">
        <f t="shared" si="9"/>
        <v>1414542</v>
      </c>
      <c r="P56" s="101">
        <f t="shared" si="9"/>
        <v>942918</v>
      </c>
      <c r="Q56" s="101">
        <f t="shared" si="9"/>
        <v>812776</v>
      </c>
      <c r="R56" s="101">
        <f t="shared" si="9"/>
        <v>1353811</v>
      </c>
      <c r="S56" s="101">
        <f t="shared" si="9"/>
        <v>1257718</v>
      </c>
      <c r="T56" s="101">
        <f t="shared" si="9"/>
        <v>782222</v>
      </c>
      <c r="U56" s="101">
        <f t="shared" si="9"/>
        <v>411096</v>
      </c>
      <c r="V56" s="101">
        <f t="shared" si="9"/>
        <v>743290</v>
      </c>
      <c r="W56" s="101">
        <f t="shared" si="9"/>
        <v>1047613</v>
      </c>
      <c r="X56" s="101">
        <f t="shared" si="9"/>
        <v>37630</v>
      </c>
      <c r="Y56" s="101">
        <f t="shared" si="9"/>
        <v>902587</v>
      </c>
      <c r="Z56" s="101">
        <f t="shared" si="9"/>
        <v>1196631</v>
      </c>
      <c r="AA56" s="101">
        <f t="shared" si="9"/>
        <v>672750</v>
      </c>
      <c r="AB56" s="101">
        <f t="shared" si="9"/>
        <v>0</v>
      </c>
      <c r="AC56" s="101">
        <f t="shared" si="9"/>
        <v>0</v>
      </c>
      <c r="AD56" s="101">
        <f t="shared" si="9"/>
        <v>0</v>
      </c>
      <c r="AE56" s="101">
        <f t="shared" si="9"/>
        <v>1322571</v>
      </c>
      <c r="AF56" s="101">
        <f t="shared" si="9"/>
        <v>0</v>
      </c>
      <c r="AG56" s="101">
        <f t="shared" si="9"/>
        <v>273543</v>
      </c>
      <c r="AH56" s="101">
        <f t="shared" si="9"/>
        <v>1206595</v>
      </c>
      <c r="AI56" s="101">
        <f t="shared" si="9"/>
        <v>791250</v>
      </c>
      <c r="AJ56" s="101">
        <f t="shared" si="9"/>
        <v>714412</v>
      </c>
      <c r="AK56" s="101">
        <f t="shared" si="9"/>
        <v>228348</v>
      </c>
      <c r="AL56" s="101">
        <f t="shared" si="9"/>
        <v>447731</v>
      </c>
      <c r="AM56" s="101">
        <f t="shared" ref="AM56" si="10">SUM(AM57:AM69)</f>
        <v>976832.59</v>
      </c>
      <c r="AN56" s="101">
        <f>SUM(AN57:AN69)</f>
        <v>783826.81</v>
      </c>
      <c r="AO56" s="101">
        <f>SUM(AO57:AO69)</f>
        <v>802052.72</v>
      </c>
      <c r="AP56" s="101">
        <f>SUM(AP57:AP69)</f>
        <v>495092</v>
      </c>
      <c r="AQ56" s="101">
        <f>SUM(AQ57:AQ69)</f>
        <v>803852</v>
      </c>
      <c r="AR56" s="101">
        <f>SUM(AR57:AR69)</f>
        <v>446680</v>
      </c>
    </row>
    <row r="57" spans="1:44">
      <c r="B57" s="96" t="s">
        <v>47</v>
      </c>
      <c r="C57" s="111">
        <v>53</v>
      </c>
      <c r="D57" s="97">
        <f t="shared" ref="D57:AL57" si="11">D26*$C57</f>
        <v>18166333</v>
      </c>
      <c r="E57" s="104">
        <f t="shared" si="11"/>
        <v>0</v>
      </c>
      <c r="F57" s="104">
        <f t="shared" si="11"/>
        <v>7791</v>
      </c>
      <c r="G57" s="104">
        <f t="shared" si="11"/>
        <v>460305</v>
      </c>
      <c r="H57" s="104">
        <f t="shared" si="11"/>
        <v>343970</v>
      </c>
      <c r="I57" s="104">
        <f t="shared" si="11"/>
        <v>524170</v>
      </c>
      <c r="J57" s="104">
        <f t="shared" si="11"/>
        <v>84747</v>
      </c>
      <c r="K57" s="104">
        <f t="shared" si="11"/>
        <v>1383353</v>
      </c>
      <c r="L57" s="104">
        <f t="shared" si="11"/>
        <v>1720274</v>
      </c>
      <c r="M57" s="104">
        <f t="shared" si="11"/>
        <v>1099379</v>
      </c>
      <c r="N57" s="104">
        <f t="shared" si="11"/>
        <v>936881</v>
      </c>
      <c r="O57" s="104">
        <f t="shared" si="11"/>
        <v>1224300</v>
      </c>
      <c r="P57" s="104">
        <f t="shared" si="11"/>
        <v>891460</v>
      </c>
      <c r="Q57" s="104">
        <f t="shared" si="11"/>
        <v>765426</v>
      </c>
      <c r="R57" s="104">
        <f t="shared" si="11"/>
        <v>1050725</v>
      </c>
      <c r="S57" s="104">
        <f t="shared" si="11"/>
        <v>1127734</v>
      </c>
      <c r="T57" s="104">
        <f t="shared" si="11"/>
        <v>717514</v>
      </c>
      <c r="U57" s="104">
        <f t="shared" si="11"/>
        <v>181684</v>
      </c>
      <c r="V57" s="104">
        <f t="shared" si="11"/>
        <v>492900</v>
      </c>
      <c r="W57" s="104">
        <f t="shared" si="11"/>
        <v>1019455</v>
      </c>
      <c r="X57" s="104">
        <f t="shared" si="11"/>
        <v>7791</v>
      </c>
      <c r="Y57" s="104">
        <f t="shared" si="11"/>
        <v>137747</v>
      </c>
      <c r="Z57" s="104">
        <f t="shared" si="11"/>
        <v>165890</v>
      </c>
      <c r="AA57" s="104">
        <f t="shared" si="11"/>
        <v>106583</v>
      </c>
      <c r="AB57" s="104">
        <f t="shared" si="11"/>
        <v>0</v>
      </c>
      <c r="AC57" s="104">
        <f t="shared" si="11"/>
        <v>0</v>
      </c>
      <c r="AD57" s="104">
        <f t="shared" si="11"/>
        <v>0</v>
      </c>
      <c r="AE57" s="104">
        <f t="shared" si="11"/>
        <v>169706</v>
      </c>
      <c r="AF57" s="104">
        <f t="shared" si="11"/>
        <v>0</v>
      </c>
      <c r="AG57" s="104">
        <f t="shared" si="11"/>
        <v>91743</v>
      </c>
      <c r="AH57" s="104">
        <f t="shared" si="11"/>
        <v>113897</v>
      </c>
      <c r="AI57" s="104">
        <f t="shared" si="11"/>
        <v>185924</v>
      </c>
      <c r="AJ57" s="104">
        <f t="shared" si="11"/>
        <v>111088</v>
      </c>
      <c r="AK57" s="104">
        <f t="shared" si="11"/>
        <v>33125</v>
      </c>
      <c r="AL57" s="104">
        <f t="shared" si="11"/>
        <v>444723</v>
      </c>
      <c r="AM57" s="104">
        <f t="shared" ref="AM57:AM68" si="12">AM26*$C57</f>
        <v>778252</v>
      </c>
      <c r="AN57" s="104">
        <f t="shared" ref="AN57:AO68" si="13">AN26*$C57</f>
        <v>711737</v>
      </c>
      <c r="AO57" s="104">
        <f t="shared" si="13"/>
        <v>642519</v>
      </c>
      <c r="AP57" s="104">
        <f t="shared" ref="AP57:AQ57" si="14">AP26*$C57</f>
        <v>433540</v>
      </c>
      <c r="AQ57" s="104">
        <f t="shared" si="14"/>
        <v>675697</v>
      </c>
      <c r="AR57" s="104">
        <f t="shared" ref="AR57" si="15">AR26*$C57</f>
        <v>421244</v>
      </c>
    </row>
    <row r="58" spans="1:44">
      <c r="B58" s="96" t="s">
        <v>49</v>
      </c>
      <c r="C58" s="111">
        <v>32</v>
      </c>
      <c r="D58" s="97">
        <f t="shared" ref="D58:AL58" si="16">D27*$C58</f>
        <v>346176</v>
      </c>
      <c r="E58" s="104">
        <f t="shared" si="16"/>
        <v>0</v>
      </c>
      <c r="F58" s="104">
        <f t="shared" si="16"/>
        <v>1536</v>
      </c>
      <c r="G58" s="104">
        <f t="shared" si="16"/>
        <v>0</v>
      </c>
      <c r="H58" s="104">
        <f t="shared" si="16"/>
        <v>9216</v>
      </c>
      <c r="I58" s="104">
        <f t="shared" si="16"/>
        <v>39936</v>
      </c>
      <c r="J58" s="104">
        <f t="shared" si="16"/>
        <v>4608</v>
      </c>
      <c r="K58" s="104">
        <f t="shared" si="16"/>
        <v>53760</v>
      </c>
      <c r="L58" s="104">
        <f t="shared" si="16"/>
        <v>26112</v>
      </c>
      <c r="M58" s="104">
        <f t="shared" si="16"/>
        <v>1536</v>
      </c>
      <c r="N58" s="104">
        <f t="shared" si="16"/>
        <v>16896</v>
      </c>
      <c r="O58" s="104">
        <f t="shared" si="16"/>
        <v>13824</v>
      </c>
      <c r="P58" s="104">
        <f t="shared" si="16"/>
        <v>4608</v>
      </c>
      <c r="Q58" s="104">
        <f t="shared" si="16"/>
        <v>9216</v>
      </c>
      <c r="R58" s="104">
        <f t="shared" si="16"/>
        <v>26112</v>
      </c>
      <c r="S58" s="104">
        <f t="shared" si="16"/>
        <v>36864</v>
      </c>
      <c r="T58" s="104">
        <f t="shared" si="16"/>
        <v>26112</v>
      </c>
      <c r="U58" s="104">
        <f t="shared" si="16"/>
        <v>3072</v>
      </c>
      <c r="V58" s="104">
        <f t="shared" si="16"/>
        <v>6144</v>
      </c>
      <c r="W58" s="104">
        <f t="shared" si="16"/>
        <v>9216</v>
      </c>
      <c r="X58" s="104">
        <f t="shared" si="16"/>
        <v>0</v>
      </c>
      <c r="Y58" s="104">
        <f t="shared" si="16"/>
        <v>1536</v>
      </c>
      <c r="Z58" s="104">
        <f t="shared" si="16"/>
        <v>0</v>
      </c>
      <c r="AA58" s="104">
        <f t="shared" si="16"/>
        <v>0</v>
      </c>
      <c r="AB58" s="104">
        <f t="shared" si="16"/>
        <v>0</v>
      </c>
      <c r="AC58" s="104">
        <f t="shared" si="16"/>
        <v>0</v>
      </c>
      <c r="AD58" s="104">
        <f t="shared" si="16"/>
        <v>0</v>
      </c>
      <c r="AE58" s="104">
        <f t="shared" si="16"/>
        <v>9216</v>
      </c>
      <c r="AF58" s="104">
        <f t="shared" si="16"/>
        <v>0</v>
      </c>
      <c r="AG58" s="104">
        <f t="shared" si="16"/>
        <v>3072</v>
      </c>
      <c r="AH58" s="104">
        <f t="shared" si="16"/>
        <v>3072</v>
      </c>
      <c r="AI58" s="104">
        <f t="shared" si="16"/>
        <v>21504</v>
      </c>
      <c r="AJ58" s="104">
        <f t="shared" si="16"/>
        <v>7680</v>
      </c>
      <c r="AK58" s="104">
        <f t="shared" si="16"/>
        <v>3072</v>
      </c>
      <c r="AL58" s="104">
        <f t="shared" si="16"/>
        <v>0</v>
      </c>
      <c r="AM58" s="104">
        <f t="shared" si="12"/>
        <v>576</v>
      </c>
      <c r="AN58" s="104">
        <f t="shared" si="13"/>
        <v>4608</v>
      </c>
      <c r="AO58" s="104">
        <f t="shared" si="13"/>
        <v>0</v>
      </c>
      <c r="AP58" s="104">
        <f t="shared" ref="AP58:AQ58" si="17">AP27*$C58</f>
        <v>3072</v>
      </c>
      <c r="AQ58" s="104">
        <f t="shared" si="17"/>
        <v>12288</v>
      </c>
      <c r="AR58" s="104">
        <f t="shared" ref="AR58" si="18">AR27*$C58</f>
        <v>0</v>
      </c>
    </row>
    <row r="59" spans="1:44">
      <c r="B59" s="96" t="s">
        <v>50</v>
      </c>
      <c r="C59" s="111">
        <v>23</v>
      </c>
      <c r="D59" s="97">
        <f t="shared" ref="D59:AL59" si="19">D28*$C59</f>
        <v>7437188</v>
      </c>
      <c r="E59" s="104">
        <f t="shared" si="19"/>
        <v>0</v>
      </c>
      <c r="F59" s="104">
        <f t="shared" si="19"/>
        <v>990311</v>
      </c>
      <c r="G59" s="104">
        <f t="shared" si="19"/>
        <v>0</v>
      </c>
      <c r="H59" s="104">
        <f t="shared" si="19"/>
        <v>0</v>
      </c>
      <c r="I59" s="104">
        <f t="shared" si="19"/>
        <v>0</v>
      </c>
      <c r="J59" s="104">
        <f t="shared" si="19"/>
        <v>0</v>
      </c>
      <c r="K59" s="104">
        <f t="shared" si="19"/>
        <v>0</v>
      </c>
      <c r="L59" s="104">
        <f t="shared" si="19"/>
        <v>0</v>
      </c>
      <c r="M59" s="104">
        <f t="shared" si="19"/>
        <v>0</v>
      </c>
      <c r="N59" s="104">
        <f t="shared" si="19"/>
        <v>0</v>
      </c>
      <c r="O59" s="104">
        <f t="shared" si="19"/>
        <v>0</v>
      </c>
      <c r="P59" s="104">
        <f t="shared" si="19"/>
        <v>0</v>
      </c>
      <c r="Q59" s="104">
        <f t="shared" si="19"/>
        <v>0</v>
      </c>
      <c r="R59" s="104">
        <f t="shared" si="19"/>
        <v>0</v>
      </c>
      <c r="S59" s="104">
        <f t="shared" si="19"/>
        <v>0</v>
      </c>
      <c r="T59" s="104">
        <f t="shared" si="19"/>
        <v>0</v>
      </c>
      <c r="U59" s="104">
        <f t="shared" si="19"/>
        <v>190900</v>
      </c>
      <c r="V59" s="104">
        <f t="shared" si="19"/>
        <v>183402</v>
      </c>
      <c r="W59" s="104">
        <f t="shared" si="19"/>
        <v>2116</v>
      </c>
      <c r="X59" s="104">
        <f t="shared" si="19"/>
        <v>26335</v>
      </c>
      <c r="Y59" s="104">
        <f t="shared" si="19"/>
        <v>757896</v>
      </c>
      <c r="Z59" s="104">
        <f t="shared" si="19"/>
        <v>1015381</v>
      </c>
      <c r="AA59" s="104">
        <f t="shared" si="19"/>
        <v>563063</v>
      </c>
      <c r="AB59" s="104">
        <f t="shared" si="19"/>
        <v>0</v>
      </c>
      <c r="AC59" s="104">
        <f t="shared" si="19"/>
        <v>0</v>
      </c>
      <c r="AD59" s="104">
        <f t="shared" si="19"/>
        <v>0</v>
      </c>
      <c r="AE59" s="104">
        <f t="shared" si="19"/>
        <v>1136269</v>
      </c>
      <c r="AF59" s="104">
        <f t="shared" si="19"/>
        <v>0</v>
      </c>
      <c r="AG59" s="104">
        <f t="shared" si="19"/>
        <v>173420</v>
      </c>
      <c r="AH59" s="104">
        <f t="shared" si="19"/>
        <v>1083714</v>
      </c>
      <c r="AI59" s="104">
        <f t="shared" si="19"/>
        <v>562718</v>
      </c>
      <c r="AJ59" s="104">
        <f t="shared" si="19"/>
        <v>563592</v>
      </c>
      <c r="AK59" s="104">
        <f t="shared" si="19"/>
        <v>175375</v>
      </c>
      <c r="AL59" s="104">
        <f t="shared" si="19"/>
        <v>0</v>
      </c>
      <c r="AM59" s="104">
        <f t="shared" si="12"/>
        <v>0</v>
      </c>
      <c r="AN59" s="104">
        <f t="shared" si="13"/>
        <v>0</v>
      </c>
      <c r="AO59" s="104">
        <f t="shared" si="13"/>
        <v>0</v>
      </c>
      <c r="AP59" s="104">
        <f t="shared" ref="AP59:AQ59" si="20">AP28*$C59</f>
        <v>12696</v>
      </c>
      <c r="AQ59" s="104">
        <f t="shared" si="20"/>
        <v>0</v>
      </c>
      <c r="AR59" s="104">
        <f t="shared" ref="AR59" si="21">AR28*$C59</f>
        <v>0</v>
      </c>
    </row>
    <row r="60" spans="1:44">
      <c r="B60" s="96" t="s">
        <v>51</v>
      </c>
      <c r="C60" s="111">
        <v>15</v>
      </c>
      <c r="D60" s="97">
        <f t="shared" ref="D60:AL60" si="22">D29*$C60</f>
        <v>16440</v>
      </c>
      <c r="E60" s="104">
        <f t="shared" si="22"/>
        <v>0</v>
      </c>
      <c r="F60" s="104">
        <f t="shared" si="22"/>
        <v>0</v>
      </c>
      <c r="G60" s="104">
        <f t="shared" si="22"/>
        <v>0</v>
      </c>
      <c r="H60" s="104">
        <f t="shared" si="22"/>
        <v>0</v>
      </c>
      <c r="I60" s="104">
        <f t="shared" si="22"/>
        <v>0</v>
      </c>
      <c r="J60" s="104">
        <f t="shared" si="22"/>
        <v>0</v>
      </c>
      <c r="K60" s="104">
        <f t="shared" si="22"/>
        <v>0</v>
      </c>
      <c r="L60" s="104">
        <f t="shared" si="22"/>
        <v>0</v>
      </c>
      <c r="M60" s="104">
        <f t="shared" si="22"/>
        <v>0</v>
      </c>
      <c r="N60" s="104">
        <f t="shared" si="22"/>
        <v>0</v>
      </c>
      <c r="O60" s="104">
        <f t="shared" si="22"/>
        <v>0</v>
      </c>
      <c r="P60" s="104">
        <f t="shared" si="22"/>
        <v>0</v>
      </c>
      <c r="Q60" s="104">
        <f t="shared" si="22"/>
        <v>0</v>
      </c>
      <c r="R60" s="104">
        <f t="shared" si="22"/>
        <v>0</v>
      </c>
      <c r="S60" s="104">
        <f t="shared" si="22"/>
        <v>0</v>
      </c>
      <c r="T60" s="104">
        <f t="shared" si="22"/>
        <v>0</v>
      </c>
      <c r="U60" s="104">
        <f t="shared" si="22"/>
        <v>16440</v>
      </c>
      <c r="V60" s="104">
        <f t="shared" si="22"/>
        <v>0</v>
      </c>
      <c r="W60" s="104">
        <f t="shared" si="22"/>
        <v>0</v>
      </c>
      <c r="X60" s="104">
        <f t="shared" si="22"/>
        <v>0</v>
      </c>
      <c r="Y60" s="104">
        <f t="shared" si="22"/>
        <v>0</v>
      </c>
      <c r="Z60" s="104">
        <f t="shared" si="22"/>
        <v>0</v>
      </c>
      <c r="AA60" s="104">
        <f t="shared" si="22"/>
        <v>0</v>
      </c>
      <c r="AB60" s="104">
        <f t="shared" si="22"/>
        <v>0</v>
      </c>
      <c r="AC60" s="104">
        <f t="shared" si="22"/>
        <v>0</v>
      </c>
      <c r="AD60" s="104">
        <f t="shared" si="22"/>
        <v>0</v>
      </c>
      <c r="AE60" s="104">
        <f t="shared" si="22"/>
        <v>0</v>
      </c>
      <c r="AF60" s="104">
        <f t="shared" si="22"/>
        <v>0</v>
      </c>
      <c r="AG60" s="104">
        <f t="shared" si="22"/>
        <v>0</v>
      </c>
      <c r="AH60" s="104">
        <f t="shared" si="22"/>
        <v>0</v>
      </c>
      <c r="AI60" s="104">
        <f t="shared" si="22"/>
        <v>0</v>
      </c>
      <c r="AJ60" s="104">
        <f t="shared" si="22"/>
        <v>0</v>
      </c>
      <c r="AK60" s="104">
        <f t="shared" si="22"/>
        <v>0</v>
      </c>
      <c r="AL60" s="104">
        <f t="shared" si="22"/>
        <v>0</v>
      </c>
      <c r="AM60" s="104">
        <f t="shared" si="12"/>
        <v>0</v>
      </c>
      <c r="AN60" s="104">
        <f t="shared" si="13"/>
        <v>0</v>
      </c>
      <c r="AO60" s="104">
        <f t="shared" si="13"/>
        <v>0</v>
      </c>
      <c r="AP60" s="104">
        <f t="shared" ref="AP60:AQ60" si="23">AP29*$C60</f>
        <v>0</v>
      </c>
      <c r="AQ60" s="104">
        <f t="shared" si="23"/>
        <v>0</v>
      </c>
      <c r="AR60" s="104">
        <f t="shared" ref="AR60" si="24">AR29*$C60</f>
        <v>0</v>
      </c>
    </row>
    <row r="61" spans="1:44">
      <c r="B61" s="96" t="s">
        <v>52</v>
      </c>
      <c r="C61" s="111">
        <v>10</v>
      </c>
      <c r="D61" s="97">
        <f t="shared" ref="D61:AL61" si="25">D30*$C61</f>
        <v>831080</v>
      </c>
      <c r="E61" s="104">
        <f t="shared" si="25"/>
        <v>0</v>
      </c>
      <c r="F61" s="104">
        <f t="shared" si="25"/>
        <v>0</v>
      </c>
      <c r="G61" s="104">
        <f t="shared" si="25"/>
        <v>9260</v>
      </c>
      <c r="H61" s="104">
        <f t="shared" si="25"/>
        <v>3600</v>
      </c>
      <c r="I61" s="104">
        <f t="shared" si="25"/>
        <v>0</v>
      </c>
      <c r="J61" s="104">
        <f t="shared" si="25"/>
        <v>0</v>
      </c>
      <c r="K61" s="104">
        <f t="shared" si="25"/>
        <v>180</v>
      </c>
      <c r="L61" s="104">
        <f t="shared" si="25"/>
        <v>360</v>
      </c>
      <c r="M61" s="104">
        <f t="shared" si="25"/>
        <v>176220</v>
      </c>
      <c r="N61" s="104">
        <f t="shared" si="25"/>
        <v>5760</v>
      </c>
      <c r="O61" s="104">
        <f t="shared" si="25"/>
        <v>164360</v>
      </c>
      <c r="P61" s="104">
        <f t="shared" si="25"/>
        <v>30800</v>
      </c>
      <c r="Q61" s="104">
        <f t="shared" si="25"/>
        <v>27800</v>
      </c>
      <c r="R61" s="104">
        <f t="shared" si="25"/>
        <v>26000</v>
      </c>
      <c r="S61" s="104">
        <f t="shared" si="25"/>
        <v>4400</v>
      </c>
      <c r="T61" s="104">
        <f t="shared" si="25"/>
        <v>5800</v>
      </c>
      <c r="U61" s="104">
        <f t="shared" si="25"/>
        <v>10600</v>
      </c>
      <c r="V61" s="104">
        <f t="shared" si="25"/>
        <v>23200</v>
      </c>
      <c r="W61" s="104">
        <f t="shared" si="25"/>
        <v>7600</v>
      </c>
      <c r="X61" s="104">
        <f t="shared" si="25"/>
        <v>1200</v>
      </c>
      <c r="Y61" s="104">
        <f t="shared" si="25"/>
        <v>0</v>
      </c>
      <c r="Z61" s="104">
        <f t="shared" si="25"/>
        <v>0</v>
      </c>
      <c r="AA61" s="104">
        <f t="shared" si="25"/>
        <v>0</v>
      </c>
      <c r="AB61" s="104">
        <f t="shared" si="25"/>
        <v>0</v>
      </c>
      <c r="AC61" s="104">
        <f t="shared" si="25"/>
        <v>0</v>
      </c>
      <c r="AD61" s="104">
        <f t="shared" si="25"/>
        <v>0</v>
      </c>
      <c r="AE61" s="104">
        <f t="shared" si="25"/>
        <v>7380</v>
      </c>
      <c r="AF61" s="104">
        <f t="shared" si="25"/>
        <v>0</v>
      </c>
      <c r="AG61" s="104">
        <f t="shared" si="25"/>
        <v>4860</v>
      </c>
      <c r="AH61" s="104">
        <f t="shared" si="25"/>
        <v>1080</v>
      </c>
      <c r="AI61" s="104">
        <f t="shared" si="25"/>
        <v>17280</v>
      </c>
      <c r="AJ61" s="104">
        <f t="shared" si="25"/>
        <v>29700</v>
      </c>
      <c r="AK61" s="104">
        <f t="shared" si="25"/>
        <v>14040</v>
      </c>
      <c r="AL61" s="104">
        <f t="shared" si="25"/>
        <v>2480</v>
      </c>
      <c r="AM61" s="104">
        <f t="shared" si="12"/>
        <v>88380</v>
      </c>
      <c r="AN61" s="104">
        <f t="shared" si="13"/>
        <v>6940</v>
      </c>
      <c r="AO61" s="104">
        <f t="shared" si="13"/>
        <v>127080</v>
      </c>
      <c r="AP61" s="104">
        <f t="shared" ref="AP61:AQ61" si="26">AP30*$C61</f>
        <v>34720</v>
      </c>
      <c r="AQ61" s="104">
        <f t="shared" si="26"/>
        <v>51600</v>
      </c>
      <c r="AR61" s="104">
        <f t="shared" ref="AR61" si="27">AR30*$C61</f>
        <v>6000</v>
      </c>
    </row>
    <row r="62" spans="1:44">
      <c r="B62" s="96" t="s">
        <v>53</v>
      </c>
      <c r="C62" s="111">
        <v>19</v>
      </c>
      <c r="D62" s="97">
        <f t="shared" ref="D62:AL62" si="28">D31*$C62</f>
        <v>0</v>
      </c>
      <c r="E62" s="104">
        <f t="shared" si="28"/>
        <v>0</v>
      </c>
      <c r="F62" s="104">
        <f t="shared" si="28"/>
        <v>0</v>
      </c>
      <c r="G62" s="104">
        <f t="shared" si="28"/>
        <v>0</v>
      </c>
      <c r="H62" s="104">
        <f t="shared" si="28"/>
        <v>0</v>
      </c>
      <c r="I62" s="104">
        <f t="shared" si="28"/>
        <v>0</v>
      </c>
      <c r="J62" s="104">
        <f t="shared" si="28"/>
        <v>0</v>
      </c>
      <c r="K62" s="104">
        <f t="shared" si="28"/>
        <v>0</v>
      </c>
      <c r="L62" s="104">
        <f t="shared" si="28"/>
        <v>0</v>
      </c>
      <c r="M62" s="104">
        <f t="shared" si="28"/>
        <v>0</v>
      </c>
      <c r="N62" s="104">
        <f t="shared" si="28"/>
        <v>0</v>
      </c>
      <c r="O62" s="104">
        <f t="shared" si="28"/>
        <v>0</v>
      </c>
      <c r="P62" s="104">
        <f t="shared" si="28"/>
        <v>0</v>
      </c>
      <c r="Q62" s="104">
        <f t="shared" si="28"/>
        <v>0</v>
      </c>
      <c r="R62" s="104">
        <f t="shared" si="28"/>
        <v>0</v>
      </c>
      <c r="S62" s="104">
        <f t="shared" si="28"/>
        <v>0</v>
      </c>
      <c r="T62" s="104">
        <f t="shared" si="28"/>
        <v>0</v>
      </c>
      <c r="U62" s="104">
        <f t="shared" si="28"/>
        <v>0</v>
      </c>
      <c r="V62" s="104">
        <f t="shared" si="28"/>
        <v>0</v>
      </c>
      <c r="W62" s="104">
        <f t="shared" si="28"/>
        <v>0</v>
      </c>
      <c r="X62" s="104">
        <f t="shared" si="28"/>
        <v>0</v>
      </c>
      <c r="Y62" s="104">
        <f t="shared" si="28"/>
        <v>0</v>
      </c>
      <c r="Z62" s="104">
        <f t="shared" si="28"/>
        <v>0</v>
      </c>
      <c r="AA62" s="104">
        <f t="shared" si="28"/>
        <v>0</v>
      </c>
      <c r="AB62" s="104">
        <f t="shared" si="28"/>
        <v>0</v>
      </c>
      <c r="AC62" s="104">
        <f t="shared" si="28"/>
        <v>0</v>
      </c>
      <c r="AD62" s="104">
        <f t="shared" si="28"/>
        <v>0</v>
      </c>
      <c r="AE62" s="104">
        <f t="shared" si="28"/>
        <v>0</v>
      </c>
      <c r="AF62" s="104">
        <f t="shared" si="28"/>
        <v>0</v>
      </c>
      <c r="AG62" s="104">
        <f t="shared" si="28"/>
        <v>0</v>
      </c>
      <c r="AH62" s="104">
        <f t="shared" si="28"/>
        <v>0</v>
      </c>
      <c r="AI62" s="104">
        <f t="shared" si="28"/>
        <v>0</v>
      </c>
      <c r="AJ62" s="104">
        <f t="shared" si="28"/>
        <v>0</v>
      </c>
      <c r="AK62" s="104">
        <f t="shared" si="28"/>
        <v>0</v>
      </c>
      <c r="AL62" s="104">
        <f t="shared" si="28"/>
        <v>0</v>
      </c>
      <c r="AM62" s="104">
        <f t="shared" si="12"/>
        <v>0</v>
      </c>
      <c r="AN62" s="104">
        <f t="shared" si="13"/>
        <v>0</v>
      </c>
      <c r="AO62" s="104">
        <f t="shared" si="13"/>
        <v>0</v>
      </c>
      <c r="AP62" s="104">
        <f t="shared" ref="AP62:AQ62" si="29">AP31*$C62</f>
        <v>0</v>
      </c>
      <c r="AQ62" s="104">
        <f t="shared" si="29"/>
        <v>0</v>
      </c>
      <c r="AR62" s="104">
        <f t="shared" ref="AR62" si="30">AR31*$C62</f>
        <v>0</v>
      </c>
    </row>
    <row r="63" spans="1:44">
      <c r="B63" s="96" t="s">
        <v>54</v>
      </c>
      <c r="C63" s="111">
        <v>10</v>
      </c>
      <c r="D63" s="97">
        <f t="shared" ref="D63:AL63" si="31">D32*$C63</f>
        <v>0</v>
      </c>
      <c r="E63" s="104">
        <f t="shared" si="31"/>
        <v>0</v>
      </c>
      <c r="F63" s="104">
        <f t="shared" si="31"/>
        <v>0</v>
      </c>
      <c r="G63" s="104">
        <f t="shared" si="31"/>
        <v>0</v>
      </c>
      <c r="H63" s="104">
        <f t="shared" si="31"/>
        <v>0</v>
      </c>
      <c r="I63" s="104">
        <f t="shared" si="31"/>
        <v>0</v>
      </c>
      <c r="J63" s="104">
        <f t="shared" si="31"/>
        <v>0</v>
      </c>
      <c r="K63" s="104">
        <f t="shared" si="31"/>
        <v>0</v>
      </c>
      <c r="L63" s="104">
        <f t="shared" si="31"/>
        <v>0</v>
      </c>
      <c r="M63" s="104">
        <f t="shared" si="31"/>
        <v>0</v>
      </c>
      <c r="N63" s="104">
        <f t="shared" si="31"/>
        <v>0</v>
      </c>
      <c r="O63" s="104">
        <f t="shared" si="31"/>
        <v>0</v>
      </c>
      <c r="P63" s="104">
        <f t="shared" si="31"/>
        <v>0</v>
      </c>
      <c r="Q63" s="104">
        <f t="shared" si="31"/>
        <v>0</v>
      </c>
      <c r="R63" s="104">
        <f t="shared" si="31"/>
        <v>0</v>
      </c>
      <c r="S63" s="104">
        <f t="shared" si="31"/>
        <v>0</v>
      </c>
      <c r="T63" s="104">
        <f t="shared" si="31"/>
        <v>0</v>
      </c>
      <c r="U63" s="104">
        <f t="shared" si="31"/>
        <v>0</v>
      </c>
      <c r="V63" s="104">
        <f t="shared" si="31"/>
        <v>0</v>
      </c>
      <c r="W63" s="104">
        <f t="shared" si="31"/>
        <v>0</v>
      </c>
      <c r="X63" s="104">
        <f t="shared" si="31"/>
        <v>0</v>
      </c>
      <c r="Y63" s="104">
        <f t="shared" si="31"/>
        <v>0</v>
      </c>
      <c r="Z63" s="104">
        <f t="shared" si="31"/>
        <v>0</v>
      </c>
      <c r="AA63" s="104">
        <f t="shared" si="31"/>
        <v>0</v>
      </c>
      <c r="AB63" s="104">
        <f t="shared" si="31"/>
        <v>0</v>
      </c>
      <c r="AC63" s="104">
        <f t="shared" si="31"/>
        <v>0</v>
      </c>
      <c r="AD63" s="104">
        <f t="shared" si="31"/>
        <v>0</v>
      </c>
      <c r="AE63" s="104">
        <f t="shared" si="31"/>
        <v>0</v>
      </c>
      <c r="AF63" s="104">
        <f t="shared" si="31"/>
        <v>0</v>
      </c>
      <c r="AG63" s="104">
        <f t="shared" si="31"/>
        <v>0</v>
      </c>
      <c r="AH63" s="104">
        <f t="shared" si="31"/>
        <v>0</v>
      </c>
      <c r="AI63" s="104">
        <f t="shared" si="31"/>
        <v>0</v>
      </c>
      <c r="AJ63" s="104">
        <f t="shared" si="31"/>
        <v>0</v>
      </c>
      <c r="AK63" s="104">
        <f t="shared" si="31"/>
        <v>0</v>
      </c>
      <c r="AL63" s="104">
        <f t="shared" si="31"/>
        <v>0</v>
      </c>
      <c r="AM63" s="104">
        <f t="shared" si="12"/>
        <v>0</v>
      </c>
      <c r="AN63" s="104">
        <f t="shared" si="13"/>
        <v>0</v>
      </c>
      <c r="AO63" s="104">
        <f t="shared" si="13"/>
        <v>0</v>
      </c>
      <c r="AP63" s="104">
        <f t="shared" ref="AP63:AQ63" si="32">AP32*$C63</f>
        <v>0</v>
      </c>
      <c r="AQ63" s="104">
        <f t="shared" si="32"/>
        <v>0</v>
      </c>
      <c r="AR63" s="104">
        <f t="shared" ref="AR63" si="33">AR32*$C63</f>
        <v>0</v>
      </c>
    </row>
    <row r="64" spans="1:44">
      <c r="B64" s="96" t="s">
        <v>55</v>
      </c>
      <c r="C64" s="111">
        <v>50</v>
      </c>
      <c r="D64" s="97">
        <f t="shared" ref="D64:AL64" si="34">D33*$C64</f>
        <v>692000</v>
      </c>
      <c r="E64" s="104">
        <f t="shared" si="34"/>
        <v>0</v>
      </c>
      <c r="F64" s="104">
        <f t="shared" si="34"/>
        <v>0</v>
      </c>
      <c r="G64" s="104">
        <f t="shared" si="34"/>
        <v>2100</v>
      </c>
      <c r="H64" s="104">
        <f t="shared" si="34"/>
        <v>11550</v>
      </c>
      <c r="I64" s="104">
        <f t="shared" si="34"/>
        <v>0</v>
      </c>
      <c r="J64" s="104">
        <f t="shared" si="34"/>
        <v>0</v>
      </c>
      <c r="K64" s="104">
        <f t="shared" si="34"/>
        <v>1050</v>
      </c>
      <c r="L64" s="104">
        <f t="shared" si="34"/>
        <v>4200</v>
      </c>
      <c r="M64" s="104">
        <f t="shared" si="34"/>
        <v>89500</v>
      </c>
      <c r="N64" s="104">
        <f t="shared" si="34"/>
        <v>4200</v>
      </c>
      <c r="O64" s="104">
        <f t="shared" si="34"/>
        <v>9450</v>
      </c>
      <c r="P64" s="104">
        <f t="shared" si="34"/>
        <v>2050</v>
      </c>
      <c r="Q64" s="104">
        <f t="shared" si="34"/>
        <v>3150</v>
      </c>
      <c r="R64" s="104">
        <f t="shared" si="34"/>
        <v>244350</v>
      </c>
      <c r="S64" s="104">
        <f t="shared" si="34"/>
        <v>86000</v>
      </c>
      <c r="T64" s="104">
        <f t="shared" si="34"/>
        <v>29100</v>
      </c>
      <c r="U64" s="104">
        <f t="shared" si="34"/>
        <v>8400</v>
      </c>
      <c r="V64" s="104">
        <f t="shared" si="34"/>
        <v>8300</v>
      </c>
      <c r="W64" s="104">
        <f t="shared" si="34"/>
        <v>7450</v>
      </c>
      <c r="X64" s="104">
        <f t="shared" si="34"/>
        <v>0</v>
      </c>
      <c r="Y64" s="104">
        <f t="shared" si="34"/>
        <v>0</v>
      </c>
      <c r="Z64" s="104">
        <f t="shared" si="34"/>
        <v>0</v>
      </c>
      <c r="AA64" s="104">
        <f t="shared" si="34"/>
        <v>0</v>
      </c>
      <c r="AB64" s="104">
        <f t="shared" si="34"/>
        <v>0</v>
      </c>
      <c r="AC64" s="104">
        <f t="shared" si="34"/>
        <v>0</v>
      </c>
      <c r="AD64" s="104">
        <f t="shared" si="34"/>
        <v>0</v>
      </c>
      <c r="AE64" s="104">
        <f t="shared" si="34"/>
        <v>0</v>
      </c>
      <c r="AF64" s="104">
        <f t="shared" si="34"/>
        <v>0</v>
      </c>
      <c r="AG64" s="104">
        <f t="shared" si="34"/>
        <v>0</v>
      </c>
      <c r="AH64" s="104">
        <f t="shared" si="34"/>
        <v>0</v>
      </c>
      <c r="AI64" s="104">
        <f t="shared" si="34"/>
        <v>0</v>
      </c>
      <c r="AJ64" s="104">
        <f t="shared" si="34"/>
        <v>0</v>
      </c>
      <c r="AK64" s="104">
        <f t="shared" si="34"/>
        <v>0</v>
      </c>
      <c r="AL64" s="104">
        <f t="shared" si="34"/>
        <v>0</v>
      </c>
      <c r="AM64" s="104">
        <f t="shared" si="12"/>
        <v>96450</v>
      </c>
      <c r="AN64" s="104">
        <f t="shared" si="13"/>
        <v>52500</v>
      </c>
      <c r="AO64" s="104">
        <f t="shared" si="13"/>
        <v>28000</v>
      </c>
      <c r="AP64" s="104">
        <f t="shared" ref="AP64:AQ64" si="35">AP33*$C64</f>
        <v>4200</v>
      </c>
      <c r="AQ64" s="104">
        <f t="shared" si="35"/>
        <v>50650</v>
      </c>
      <c r="AR64" s="104">
        <f t="shared" ref="AR64" si="36">AR33*$C64</f>
        <v>8300</v>
      </c>
    </row>
    <row r="65" spans="2:44">
      <c r="B65" s="96" t="s">
        <v>56</v>
      </c>
      <c r="C65" s="111">
        <v>27.39</v>
      </c>
      <c r="D65" s="97">
        <f t="shared" ref="D65:AL65" si="37">D34*$C65</f>
        <v>24870.12</v>
      </c>
      <c r="E65" s="104">
        <f t="shared" si="37"/>
        <v>0</v>
      </c>
      <c r="F65" s="104">
        <f t="shared" si="37"/>
        <v>0</v>
      </c>
      <c r="G65" s="104">
        <f t="shared" si="37"/>
        <v>0</v>
      </c>
      <c r="H65" s="104">
        <f t="shared" si="37"/>
        <v>0</v>
      </c>
      <c r="I65" s="104">
        <f t="shared" si="37"/>
        <v>0</v>
      </c>
      <c r="J65" s="104">
        <f t="shared" si="37"/>
        <v>0</v>
      </c>
      <c r="K65" s="104">
        <f t="shared" si="37"/>
        <v>0</v>
      </c>
      <c r="L65" s="104">
        <f t="shared" si="37"/>
        <v>0</v>
      </c>
      <c r="M65" s="104">
        <f t="shared" si="37"/>
        <v>0</v>
      </c>
      <c r="N65" s="104">
        <f t="shared" si="37"/>
        <v>0</v>
      </c>
      <c r="O65" s="104">
        <f t="shared" si="37"/>
        <v>0</v>
      </c>
      <c r="P65" s="104">
        <f t="shared" si="37"/>
        <v>0</v>
      </c>
      <c r="Q65" s="104">
        <f t="shared" si="37"/>
        <v>0</v>
      </c>
      <c r="R65" s="104">
        <f t="shared" si="37"/>
        <v>0</v>
      </c>
      <c r="S65" s="104">
        <f t="shared" si="37"/>
        <v>0</v>
      </c>
      <c r="T65" s="104">
        <f t="shared" si="37"/>
        <v>0</v>
      </c>
      <c r="U65" s="104">
        <f t="shared" si="37"/>
        <v>0</v>
      </c>
      <c r="V65" s="104">
        <f t="shared" si="37"/>
        <v>0</v>
      </c>
      <c r="W65" s="104">
        <f t="shared" si="37"/>
        <v>0</v>
      </c>
      <c r="X65" s="104">
        <f t="shared" si="37"/>
        <v>0</v>
      </c>
      <c r="Y65" s="104">
        <f t="shared" si="37"/>
        <v>0</v>
      </c>
      <c r="Z65" s="104">
        <f t="shared" si="37"/>
        <v>0</v>
      </c>
      <c r="AA65" s="104">
        <f t="shared" si="37"/>
        <v>0</v>
      </c>
      <c r="AB65" s="104">
        <f t="shared" si="37"/>
        <v>0</v>
      </c>
      <c r="AC65" s="104">
        <f t="shared" si="37"/>
        <v>0</v>
      </c>
      <c r="AD65" s="104">
        <f t="shared" si="37"/>
        <v>0</v>
      </c>
      <c r="AE65" s="104">
        <f t="shared" si="37"/>
        <v>0</v>
      </c>
      <c r="AF65" s="104">
        <f t="shared" si="37"/>
        <v>0</v>
      </c>
      <c r="AG65" s="104">
        <f t="shared" si="37"/>
        <v>0</v>
      </c>
      <c r="AH65" s="104">
        <f t="shared" si="37"/>
        <v>0</v>
      </c>
      <c r="AI65" s="104">
        <f t="shared" si="37"/>
        <v>0</v>
      </c>
      <c r="AJ65" s="104">
        <f t="shared" si="37"/>
        <v>0</v>
      </c>
      <c r="AK65" s="104">
        <f t="shared" si="37"/>
        <v>0</v>
      </c>
      <c r="AL65" s="104">
        <f t="shared" si="37"/>
        <v>0</v>
      </c>
      <c r="AM65" s="104">
        <f t="shared" si="12"/>
        <v>13174.59</v>
      </c>
      <c r="AN65" s="104">
        <f t="shared" si="13"/>
        <v>7641.81</v>
      </c>
      <c r="AO65" s="104">
        <f t="shared" si="13"/>
        <v>4053.7200000000003</v>
      </c>
      <c r="AP65" s="104">
        <f t="shared" ref="AP65:AQ65" si="38">AP34*$C65</f>
        <v>0</v>
      </c>
      <c r="AQ65" s="104">
        <f t="shared" si="38"/>
        <v>8217</v>
      </c>
      <c r="AR65" s="104">
        <f t="shared" ref="AR65" si="39">AR34*$C65</f>
        <v>0</v>
      </c>
    </row>
    <row r="66" spans="2:44">
      <c r="B66" s="96" t="s">
        <v>57</v>
      </c>
      <c r="C66" s="111">
        <v>26</v>
      </c>
      <c r="D66" s="97">
        <f t="shared" ref="D66:AL66" si="40">D35*$C66</f>
        <v>0</v>
      </c>
      <c r="E66" s="104">
        <f t="shared" si="40"/>
        <v>0</v>
      </c>
      <c r="F66" s="104">
        <f t="shared" si="40"/>
        <v>0</v>
      </c>
      <c r="G66" s="104">
        <f t="shared" si="40"/>
        <v>0</v>
      </c>
      <c r="H66" s="104">
        <f t="shared" si="40"/>
        <v>0</v>
      </c>
      <c r="I66" s="104">
        <f t="shared" si="40"/>
        <v>0</v>
      </c>
      <c r="J66" s="104">
        <f t="shared" si="40"/>
        <v>0</v>
      </c>
      <c r="K66" s="104">
        <f t="shared" si="40"/>
        <v>0</v>
      </c>
      <c r="L66" s="104">
        <f t="shared" si="40"/>
        <v>0</v>
      </c>
      <c r="M66" s="104">
        <f t="shared" si="40"/>
        <v>0</v>
      </c>
      <c r="N66" s="104">
        <f t="shared" si="40"/>
        <v>0</v>
      </c>
      <c r="O66" s="104">
        <f t="shared" si="40"/>
        <v>0</v>
      </c>
      <c r="P66" s="104">
        <f t="shared" si="40"/>
        <v>0</v>
      </c>
      <c r="Q66" s="104">
        <f t="shared" si="40"/>
        <v>0</v>
      </c>
      <c r="R66" s="104">
        <f t="shared" si="40"/>
        <v>0</v>
      </c>
      <c r="S66" s="104">
        <f t="shared" si="40"/>
        <v>0</v>
      </c>
      <c r="T66" s="104">
        <f t="shared" si="40"/>
        <v>0</v>
      </c>
      <c r="U66" s="104">
        <f t="shared" si="40"/>
        <v>0</v>
      </c>
      <c r="V66" s="104">
        <f t="shared" si="40"/>
        <v>0</v>
      </c>
      <c r="W66" s="104">
        <f t="shared" si="40"/>
        <v>0</v>
      </c>
      <c r="X66" s="104">
        <f t="shared" si="40"/>
        <v>0</v>
      </c>
      <c r="Y66" s="104">
        <f t="shared" si="40"/>
        <v>0</v>
      </c>
      <c r="Z66" s="104">
        <f t="shared" si="40"/>
        <v>0</v>
      </c>
      <c r="AA66" s="104">
        <f t="shared" si="40"/>
        <v>0</v>
      </c>
      <c r="AB66" s="104">
        <f t="shared" si="40"/>
        <v>0</v>
      </c>
      <c r="AC66" s="104">
        <f t="shared" si="40"/>
        <v>0</v>
      </c>
      <c r="AD66" s="104">
        <f t="shared" si="40"/>
        <v>0</v>
      </c>
      <c r="AE66" s="104">
        <f t="shared" si="40"/>
        <v>0</v>
      </c>
      <c r="AF66" s="104">
        <f t="shared" si="40"/>
        <v>0</v>
      </c>
      <c r="AG66" s="104">
        <f t="shared" si="40"/>
        <v>0</v>
      </c>
      <c r="AH66" s="104">
        <f t="shared" si="40"/>
        <v>0</v>
      </c>
      <c r="AI66" s="104">
        <f t="shared" si="40"/>
        <v>0</v>
      </c>
      <c r="AJ66" s="104">
        <f t="shared" si="40"/>
        <v>0</v>
      </c>
      <c r="AK66" s="104">
        <f t="shared" si="40"/>
        <v>0</v>
      </c>
      <c r="AL66" s="104">
        <f t="shared" si="40"/>
        <v>0</v>
      </c>
      <c r="AM66" s="104">
        <f t="shared" si="12"/>
        <v>0</v>
      </c>
      <c r="AN66" s="104">
        <f t="shared" si="13"/>
        <v>0</v>
      </c>
      <c r="AO66" s="104">
        <f t="shared" si="13"/>
        <v>0</v>
      </c>
      <c r="AP66" s="104">
        <f t="shared" ref="AP66:AQ66" si="41">AP35*$C66</f>
        <v>0</v>
      </c>
      <c r="AQ66" s="104">
        <f t="shared" si="41"/>
        <v>0</v>
      </c>
      <c r="AR66" s="104">
        <f t="shared" ref="AR66" si="42">AR35*$C66</f>
        <v>0</v>
      </c>
    </row>
    <row r="67" spans="2:44">
      <c r="B67" s="96" t="s">
        <v>58</v>
      </c>
      <c r="C67" s="111">
        <v>48</v>
      </c>
      <c r="D67" s="97">
        <f t="shared" ref="D67:AL67" si="43">D36*$C67</f>
        <v>0</v>
      </c>
      <c r="E67" s="104">
        <f t="shared" si="43"/>
        <v>0</v>
      </c>
      <c r="F67" s="104">
        <f t="shared" si="43"/>
        <v>0</v>
      </c>
      <c r="G67" s="104">
        <f t="shared" si="43"/>
        <v>0</v>
      </c>
      <c r="H67" s="104">
        <f t="shared" si="43"/>
        <v>0</v>
      </c>
      <c r="I67" s="104">
        <f t="shared" si="43"/>
        <v>0</v>
      </c>
      <c r="J67" s="104">
        <f t="shared" si="43"/>
        <v>0</v>
      </c>
      <c r="K67" s="104">
        <f t="shared" si="43"/>
        <v>0</v>
      </c>
      <c r="L67" s="104">
        <f t="shared" si="43"/>
        <v>0</v>
      </c>
      <c r="M67" s="104">
        <f t="shared" si="43"/>
        <v>0</v>
      </c>
      <c r="N67" s="104">
        <f t="shared" si="43"/>
        <v>0</v>
      </c>
      <c r="O67" s="104">
        <f t="shared" si="43"/>
        <v>0</v>
      </c>
      <c r="P67" s="104">
        <f t="shared" si="43"/>
        <v>0</v>
      </c>
      <c r="Q67" s="104">
        <f t="shared" si="43"/>
        <v>0</v>
      </c>
      <c r="R67" s="104">
        <f t="shared" si="43"/>
        <v>0</v>
      </c>
      <c r="S67" s="104">
        <f t="shared" si="43"/>
        <v>0</v>
      </c>
      <c r="T67" s="104">
        <f t="shared" si="43"/>
        <v>0</v>
      </c>
      <c r="U67" s="104">
        <f t="shared" si="43"/>
        <v>0</v>
      </c>
      <c r="V67" s="104">
        <f t="shared" si="43"/>
        <v>0</v>
      </c>
      <c r="W67" s="104">
        <f t="shared" si="43"/>
        <v>0</v>
      </c>
      <c r="X67" s="104">
        <f t="shared" si="43"/>
        <v>0</v>
      </c>
      <c r="Y67" s="104">
        <f t="shared" si="43"/>
        <v>0</v>
      </c>
      <c r="Z67" s="104">
        <f t="shared" si="43"/>
        <v>0</v>
      </c>
      <c r="AA67" s="104">
        <f t="shared" si="43"/>
        <v>0</v>
      </c>
      <c r="AB67" s="104">
        <f t="shared" si="43"/>
        <v>0</v>
      </c>
      <c r="AC67" s="104">
        <f t="shared" si="43"/>
        <v>0</v>
      </c>
      <c r="AD67" s="104">
        <f t="shared" si="43"/>
        <v>0</v>
      </c>
      <c r="AE67" s="104">
        <f t="shared" si="43"/>
        <v>0</v>
      </c>
      <c r="AF67" s="104">
        <f t="shared" si="43"/>
        <v>0</v>
      </c>
      <c r="AG67" s="104">
        <f t="shared" si="43"/>
        <v>0</v>
      </c>
      <c r="AH67" s="104">
        <f t="shared" si="43"/>
        <v>0</v>
      </c>
      <c r="AI67" s="104">
        <f t="shared" si="43"/>
        <v>0</v>
      </c>
      <c r="AJ67" s="104">
        <f t="shared" si="43"/>
        <v>0</v>
      </c>
      <c r="AK67" s="104">
        <f t="shared" si="43"/>
        <v>0</v>
      </c>
      <c r="AL67" s="104">
        <f t="shared" si="43"/>
        <v>0</v>
      </c>
      <c r="AM67" s="104">
        <f t="shared" si="12"/>
        <v>0</v>
      </c>
      <c r="AN67" s="104">
        <f t="shared" si="13"/>
        <v>0</v>
      </c>
      <c r="AO67" s="104">
        <f t="shared" si="13"/>
        <v>0</v>
      </c>
      <c r="AP67" s="104">
        <f t="shared" ref="AP67:AQ67" si="44">AP36*$C67</f>
        <v>0</v>
      </c>
      <c r="AQ67" s="104">
        <f t="shared" si="44"/>
        <v>0</v>
      </c>
      <c r="AR67" s="104">
        <f t="shared" ref="AR67" si="45">AR36*$C67</f>
        <v>0</v>
      </c>
    </row>
    <row r="68" spans="2:44">
      <c r="B68" s="96" t="s">
        <v>59</v>
      </c>
      <c r="C68" s="112">
        <v>8</v>
      </c>
      <c r="D68" s="97">
        <f t="shared" ref="D68:AL68" si="46">D37*$C68</f>
        <v>174552</v>
      </c>
      <c r="E68" s="104">
        <f t="shared" si="46"/>
        <v>0</v>
      </c>
      <c r="F68" s="104">
        <f t="shared" si="46"/>
        <v>27216</v>
      </c>
      <c r="G68" s="104">
        <f t="shared" si="46"/>
        <v>3712</v>
      </c>
      <c r="H68" s="104">
        <f t="shared" si="46"/>
        <v>1832</v>
      </c>
      <c r="I68" s="104">
        <f t="shared" si="46"/>
        <v>14320</v>
      </c>
      <c r="J68" s="104">
        <f t="shared" si="46"/>
        <v>1776</v>
      </c>
      <c r="K68" s="104">
        <f t="shared" si="46"/>
        <v>2496</v>
      </c>
      <c r="L68" s="104">
        <f t="shared" si="46"/>
        <v>3088</v>
      </c>
      <c r="M68" s="104">
        <f t="shared" si="46"/>
        <v>736</v>
      </c>
      <c r="N68" s="104">
        <f t="shared" si="46"/>
        <v>2864</v>
      </c>
      <c r="O68" s="104">
        <f t="shared" si="46"/>
        <v>2608</v>
      </c>
      <c r="P68" s="104">
        <f t="shared" si="46"/>
        <v>14000</v>
      </c>
      <c r="Q68" s="104">
        <f t="shared" si="46"/>
        <v>7184</v>
      </c>
      <c r="R68" s="104">
        <f t="shared" si="46"/>
        <v>6624</v>
      </c>
      <c r="S68" s="104">
        <f t="shared" si="46"/>
        <v>2720</v>
      </c>
      <c r="T68" s="104">
        <f t="shared" si="46"/>
        <v>3696</v>
      </c>
      <c r="U68" s="104">
        <f t="shared" si="46"/>
        <v>0</v>
      </c>
      <c r="V68" s="104">
        <f t="shared" si="46"/>
        <v>29344</v>
      </c>
      <c r="W68" s="104">
        <f t="shared" si="46"/>
        <v>1776</v>
      </c>
      <c r="X68" s="104">
        <f t="shared" si="46"/>
        <v>2304</v>
      </c>
      <c r="Y68" s="104">
        <f t="shared" si="46"/>
        <v>5408</v>
      </c>
      <c r="Z68" s="104">
        <f t="shared" si="46"/>
        <v>15360</v>
      </c>
      <c r="AA68" s="104">
        <f t="shared" si="46"/>
        <v>3104</v>
      </c>
      <c r="AB68" s="104">
        <f t="shared" si="46"/>
        <v>0</v>
      </c>
      <c r="AC68" s="104">
        <f t="shared" si="46"/>
        <v>0</v>
      </c>
      <c r="AD68" s="104">
        <f t="shared" si="46"/>
        <v>0</v>
      </c>
      <c r="AE68" s="104">
        <f t="shared" si="46"/>
        <v>0</v>
      </c>
      <c r="AF68" s="104">
        <f t="shared" si="46"/>
        <v>0</v>
      </c>
      <c r="AG68" s="104">
        <f t="shared" si="46"/>
        <v>448</v>
      </c>
      <c r="AH68" s="104">
        <f t="shared" si="46"/>
        <v>4832</v>
      </c>
      <c r="AI68" s="104">
        <f t="shared" si="46"/>
        <v>3824</v>
      </c>
      <c r="AJ68" s="104">
        <f t="shared" si="46"/>
        <v>2352</v>
      </c>
      <c r="AK68" s="104">
        <f t="shared" si="46"/>
        <v>2736</v>
      </c>
      <c r="AL68" s="104">
        <f t="shared" si="46"/>
        <v>528</v>
      </c>
      <c r="AM68" s="104">
        <f t="shared" si="12"/>
        <v>0</v>
      </c>
      <c r="AN68" s="104">
        <f t="shared" si="13"/>
        <v>400</v>
      </c>
      <c r="AO68" s="104">
        <f t="shared" si="13"/>
        <v>400</v>
      </c>
      <c r="AP68" s="104">
        <f t="shared" ref="AP68:AQ68" si="47">AP37*$C68</f>
        <v>6864</v>
      </c>
      <c r="AQ68" s="104">
        <f t="shared" si="47"/>
        <v>5400</v>
      </c>
      <c r="AR68" s="104">
        <f t="shared" ref="AR68" si="48">AR37*$C68</f>
        <v>11136</v>
      </c>
    </row>
    <row r="69" spans="2:44">
      <c r="B69" s="35" t="s">
        <v>85</v>
      </c>
      <c r="C69" s="113">
        <v>2.2000000000000002</v>
      </c>
      <c r="D69" s="98">
        <f t="shared" ref="D69:AL69" si="49">D47*C69</f>
        <v>517000.00000000006</v>
      </c>
      <c r="E69" s="107">
        <f t="shared" si="49"/>
        <v>0</v>
      </c>
      <c r="F69" s="107">
        <f t="shared" si="49"/>
        <v>0</v>
      </c>
      <c r="G69" s="107">
        <f t="shared" si="49"/>
        <v>0</v>
      </c>
      <c r="H69" s="107">
        <f t="shared" si="49"/>
        <v>0</v>
      </c>
      <c r="I69" s="107">
        <f t="shared" si="49"/>
        <v>0</v>
      </c>
      <c r="J69" s="107">
        <f t="shared" si="49"/>
        <v>0</v>
      </c>
      <c r="K69" s="107">
        <f t="shared" si="49"/>
        <v>0</v>
      </c>
      <c r="L69" s="107">
        <f t="shared" si="49"/>
        <v>0</v>
      </c>
      <c r="M69" s="107">
        <f t="shared" si="49"/>
        <v>0</v>
      </c>
      <c r="N69" s="107">
        <f t="shared" si="49"/>
        <v>0</v>
      </c>
      <c r="O69" s="107">
        <f t="shared" si="49"/>
        <v>0</v>
      </c>
      <c r="P69" s="107">
        <f t="shared" si="49"/>
        <v>0</v>
      </c>
      <c r="Q69" s="107">
        <f t="shared" si="49"/>
        <v>0</v>
      </c>
      <c r="R69" s="107">
        <f t="shared" si="49"/>
        <v>0</v>
      </c>
      <c r="S69" s="107">
        <f t="shared" si="49"/>
        <v>0</v>
      </c>
      <c r="T69" s="107">
        <f t="shared" si="49"/>
        <v>0</v>
      </c>
      <c r="U69" s="107">
        <f t="shared" si="49"/>
        <v>0</v>
      </c>
      <c r="V69" s="107">
        <f t="shared" si="49"/>
        <v>0</v>
      </c>
      <c r="W69" s="107">
        <f t="shared" si="49"/>
        <v>0</v>
      </c>
      <c r="X69" s="107">
        <f t="shared" si="49"/>
        <v>0</v>
      </c>
      <c r="Y69" s="107">
        <f t="shared" si="49"/>
        <v>0</v>
      </c>
      <c r="Z69" s="107">
        <f t="shared" si="49"/>
        <v>0</v>
      </c>
      <c r="AA69" s="107">
        <f t="shared" si="49"/>
        <v>0</v>
      </c>
      <c r="AB69" s="107">
        <f t="shared" si="49"/>
        <v>0</v>
      </c>
      <c r="AC69" s="107">
        <f t="shared" si="49"/>
        <v>0</v>
      </c>
      <c r="AD69" s="107">
        <f t="shared" si="49"/>
        <v>0</v>
      </c>
      <c r="AE69" s="107">
        <f t="shared" si="49"/>
        <v>0</v>
      </c>
      <c r="AF69" s="107">
        <f t="shared" si="49"/>
        <v>0</v>
      </c>
      <c r="AG69" s="107">
        <f t="shared" si="49"/>
        <v>0</v>
      </c>
      <c r="AH69" s="107">
        <f t="shared" si="49"/>
        <v>0</v>
      </c>
      <c r="AI69" s="107">
        <f t="shared" si="49"/>
        <v>0</v>
      </c>
      <c r="AJ69" s="107">
        <f t="shared" si="49"/>
        <v>0</v>
      </c>
      <c r="AK69" s="107">
        <f t="shared" si="49"/>
        <v>0</v>
      </c>
      <c r="AL69" s="107">
        <f t="shared" si="49"/>
        <v>0</v>
      </c>
      <c r="AM69" s="107">
        <f t="shared" ref="AM69:AR69" si="50">AM47*AL69</f>
        <v>0</v>
      </c>
      <c r="AN69" s="107">
        <f t="shared" si="50"/>
        <v>0</v>
      </c>
      <c r="AO69" s="107">
        <f t="shared" si="50"/>
        <v>0</v>
      </c>
      <c r="AP69" s="107">
        <f t="shared" si="50"/>
        <v>0</v>
      </c>
      <c r="AQ69" s="107">
        <f t="shared" si="50"/>
        <v>0</v>
      </c>
      <c r="AR69" s="107">
        <f t="shared" si="50"/>
        <v>0</v>
      </c>
    </row>
    <row r="71" spans="2:44">
      <c r="B71" s="318" t="s">
        <v>86</v>
      </c>
      <c r="C71" s="319"/>
      <c r="D71" s="108">
        <f>AVERAGEIF(E56:AL56, "&gt;0")</f>
        <v>849339.13793103443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3" spans="2:44">
      <c r="B73" s="12" t="s">
        <v>87</v>
      </c>
      <c r="C73" s="13">
        <v>0.28999999999999998</v>
      </c>
      <c r="D73" s="14">
        <f>SUM(E73:AL73)</f>
        <v>7142942.1500000004</v>
      </c>
      <c r="E73" s="171">
        <f t="shared" ref="E73:AL73" si="51">E56*$C$73</f>
        <v>0</v>
      </c>
      <c r="F73" s="15">
        <f t="shared" si="51"/>
        <v>297787.65999999997</v>
      </c>
      <c r="G73" s="14">
        <f t="shared" si="51"/>
        <v>137859.32999999999</v>
      </c>
      <c r="H73" s="15">
        <f t="shared" si="51"/>
        <v>107348.71999999999</v>
      </c>
      <c r="I73" s="14">
        <f t="shared" si="51"/>
        <v>167743.53999999998</v>
      </c>
      <c r="J73" s="171">
        <f t="shared" si="51"/>
        <v>26427.989999999998</v>
      </c>
      <c r="K73" s="14">
        <f t="shared" si="51"/>
        <v>417843.31</v>
      </c>
      <c r="L73" s="14">
        <f t="shared" si="51"/>
        <v>508669.86</v>
      </c>
      <c r="M73" s="14">
        <f t="shared" si="51"/>
        <v>396537.58999999997</v>
      </c>
      <c r="N73" s="14">
        <f t="shared" si="51"/>
        <v>280314.28999999998</v>
      </c>
      <c r="O73" s="14">
        <f t="shared" si="51"/>
        <v>410217.18</v>
      </c>
      <c r="P73" s="14">
        <f t="shared" si="51"/>
        <v>273446.21999999997</v>
      </c>
      <c r="Q73" s="14">
        <f t="shared" si="51"/>
        <v>235705.03999999998</v>
      </c>
      <c r="R73" s="14">
        <f t="shared" si="51"/>
        <v>392605.18999999994</v>
      </c>
      <c r="S73" s="14">
        <f t="shared" si="51"/>
        <v>364738.22</v>
      </c>
      <c r="T73" s="14">
        <f t="shared" si="51"/>
        <v>226844.37999999998</v>
      </c>
      <c r="U73" s="14">
        <f t="shared" si="51"/>
        <v>119217.84</v>
      </c>
      <c r="V73" s="14">
        <f t="shared" si="51"/>
        <v>215554.09999999998</v>
      </c>
      <c r="W73" s="14">
        <f t="shared" si="51"/>
        <v>303807.76999999996</v>
      </c>
      <c r="X73" s="14">
        <f t="shared" si="51"/>
        <v>10912.699999999999</v>
      </c>
      <c r="Y73" s="14">
        <f t="shared" si="51"/>
        <v>261750.22999999998</v>
      </c>
      <c r="Z73" s="14">
        <f t="shared" si="51"/>
        <v>347022.99</v>
      </c>
      <c r="AA73" s="14">
        <f t="shared" si="51"/>
        <v>195097.5</v>
      </c>
      <c r="AB73" s="14">
        <f t="shared" si="51"/>
        <v>0</v>
      </c>
      <c r="AC73" s="14">
        <f t="shared" si="51"/>
        <v>0</v>
      </c>
      <c r="AD73" s="14">
        <f t="shared" si="51"/>
        <v>0</v>
      </c>
      <c r="AE73" s="14">
        <f t="shared" si="51"/>
        <v>383545.58999999997</v>
      </c>
      <c r="AF73" s="14">
        <f t="shared" si="51"/>
        <v>0</v>
      </c>
      <c r="AG73" s="14">
        <f t="shared" si="51"/>
        <v>79327.47</v>
      </c>
      <c r="AH73" s="14">
        <f t="shared" si="51"/>
        <v>349912.55</v>
      </c>
      <c r="AI73" s="15">
        <f t="shared" si="51"/>
        <v>229462.49999999997</v>
      </c>
      <c r="AJ73" s="14">
        <f t="shared" si="51"/>
        <v>207179.47999999998</v>
      </c>
      <c r="AK73" s="15">
        <f t="shared" si="51"/>
        <v>66220.92</v>
      </c>
      <c r="AL73" s="14">
        <f t="shared" si="51"/>
        <v>129841.98999999999</v>
      </c>
      <c r="AM73" s="14">
        <f t="shared" ref="AM73" si="52">AM56*$C$73</f>
        <v>283281.45109999995</v>
      </c>
      <c r="AN73" s="14">
        <f>AN56*$C$73</f>
        <v>227309.77489999999</v>
      </c>
      <c r="AO73" s="14">
        <f>AO56*$C$73</f>
        <v>232595.28879999998</v>
      </c>
      <c r="AP73" s="14">
        <f>AP56*$C$73</f>
        <v>143576.68</v>
      </c>
      <c r="AQ73" s="14">
        <f>AQ56*$C$73</f>
        <v>233117.08</v>
      </c>
      <c r="AR73" s="14">
        <f>AR56*$C$73</f>
        <v>129537.2</v>
      </c>
    </row>
    <row r="74" spans="2:44">
      <c r="B74" s="16" t="s">
        <v>88</v>
      </c>
      <c r="C74" s="17">
        <f>11800000/322</f>
        <v>36645.962732919252</v>
      </c>
      <c r="D74" s="18">
        <f>SUM(E74:AL74)</f>
        <v>1245962.7329192546</v>
      </c>
      <c r="E74" s="172">
        <f t="shared" ref="E74:AR74" si="53">$C$74</f>
        <v>36645.962732919252</v>
      </c>
      <c r="F74" s="19">
        <f t="shared" si="53"/>
        <v>36645.962732919252</v>
      </c>
      <c r="G74" s="18">
        <f t="shared" si="53"/>
        <v>36645.962732919252</v>
      </c>
      <c r="H74" s="19">
        <f t="shared" si="53"/>
        <v>36645.962732919252</v>
      </c>
      <c r="I74" s="18">
        <f t="shared" si="53"/>
        <v>36645.962732919252</v>
      </c>
      <c r="J74" s="172">
        <f t="shared" si="53"/>
        <v>36645.962732919252</v>
      </c>
      <c r="K74" s="18">
        <f t="shared" si="53"/>
        <v>36645.962732919252</v>
      </c>
      <c r="L74" s="18">
        <f t="shared" si="53"/>
        <v>36645.962732919252</v>
      </c>
      <c r="M74" s="18">
        <f t="shared" si="53"/>
        <v>36645.962732919252</v>
      </c>
      <c r="N74" s="18">
        <f t="shared" si="53"/>
        <v>36645.962732919252</v>
      </c>
      <c r="O74" s="18">
        <f t="shared" si="53"/>
        <v>36645.962732919252</v>
      </c>
      <c r="P74" s="18">
        <f t="shared" si="53"/>
        <v>36645.962732919252</v>
      </c>
      <c r="Q74" s="18">
        <f t="shared" si="53"/>
        <v>36645.962732919252</v>
      </c>
      <c r="R74" s="18">
        <f t="shared" si="53"/>
        <v>36645.962732919252</v>
      </c>
      <c r="S74" s="18">
        <f t="shared" si="53"/>
        <v>36645.962732919252</v>
      </c>
      <c r="T74" s="18">
        <f t="shared" si="53"/>
        <v>36645.962732919252</v>
      </c>
      <c r="U74" s="18">
        <f t="shared" si="53"/>
        <v>36645.962732919252</v>
      </c>
      <c r="V74" s="18">
        <f t="shared" si="53"/>
        <v>36645.962732919252</v>
      </c>
      <c r="W74" s="18">
        <f t="shared" si="53"/>
        <v>36645.962732919252</v>
      </c>
      <c r="X74" s="18">
        <f t="shared" si="53"/>
        <v>36645.962732919252</v>
      </c>
      <c r="Y74" s="18">
        <f t="shared" si="53"/>
        <v>36645.962732919252</v>
      </c>
      <c r="Z74" s="18">
        <f t="shared" si="53"/>
        <v>36645.962732919252</v>
      </c>
      <c r="AA74" s="18">
        <f t="shared" si="53"/>
        <v>36645.962732919252</v>
      </c>
      <c r="AB74" s="18">
        <f t="shared" si="53"/>
        <v>36645.962732919252</v>
      </c>
      <c r="AC74" s="18">
        <f t="shared" si="53"/>
        <v>36645.962732919252</v>
      </c>
      <c r="AD74" s="18">
        <f t="shared" si="53"/>
        <v>36645.962732919252</v>
      </c>
      <c r="AE74" s="18">
        <f t="shared" si="53"/>
        <v>36645.962732919252</v>
      </c>
      <c r="AF74" s="18">
        <f t="shared" si="53"/>
        <v>36645.962732919252</v>
      </c>
      <c r="AG74" s="18">
        <f t="shared" si="53"/>
        <v>36645.962732919252</v>
      </c>
      <c r="AH74" s="18">
        <f t="shared" si="53"/>
        <v>36645.962732919252</v>
      </c>
      <c r="AI74" s="19">
        <f t="shared" si="53"/>
        <v>36645.962732919252</v>
      </c>
      <c r="AJ74" s="18">
        <f t="shared" si="53"/>
        <v>36645.962732919252</v>
      </c>
      <c r="AK74" s="19">
        <f t="shared" si="53"/>
        <v>36645.962732919252</v>
      </c>
      <c r="AL74" s="18">
        <f t="shared" si="53"/>
        <v>36645.962732919252</v>
      </c>
      <c r="AM74" s="18">
        <f t="shared" si="53"/>
        <v>36645.962732919252</v>
      </c>
      <c r="AN74" s="18">
        <f t="shared" si="53"/>
        <v>36645.962732919252</v>
      </c>
      <c r="AO74" s="18">
        <f t="shared" si="53"/>
        <v>36645.962732919252</v>
      </c>
      <c r="AP74" s="18">
        <f t="shared" si="53"/>
        <v>36645.962732919252</v>
      </c>
      <c r="AQ74" s="18">
        <f t="shared" si="53"/>
        <v>36645.962732919252</v>
      </c>
      <c r="AR74" s="18">
        <f t="shared" si="53"/>
        <v>36645.962732919252</v>
      </c>
    </row>
    <row r="75" spans="2:44">
      <c r="B75" s="16" t="s">
        <v>89</v>
      </c>
      <c r="C75" s="17">
        <f>11400000/322</f>
        <v>35403.726708074537</v>
      </c>
      <c r="D75" s="18">
        <f t="shared" ref="D75:D76" si="54">SUM(E75:AL75)</f>
        <v>1203726.708074535</v>
      </c>
      <c r="E75" s="172">
        <f t="shared" ref="E75:AR75" si="55">$C$75</f>
        <v>35403.726708074537</v>
      </c>
      <c r="F75" s="19">
        <f t="shared" si="55"/>
        <v>35403.726708074537</v>
      </c>
      <c r="G75" s="18">
        <f t="shared" si="55"/>
        <v>35403.726708074537</v>
      </c>
      <c r="H75" s="19">
        <f t="shared" si="55"/>
        <v>35403.726708074537</v>
      </c>
      <c r="I75" s="18">
        <f t="shared" si="55"/>
        <v>35403.726708074537</v>
      </c>
      <c r="J75" s="172">
        <f t="shared" si="55"/>
        <v>35403.726708074537</v>
      </c>
      <c r="K75" s="18">
        <f t="shared" si="55"/>
        <v>35403.726708074537</v>
      </c>
      <c r="L75" s="18">
        <f t="shared" si="55"/>
        <v>35403.726708074537</v>
      </c>
      <c r="M75" s="18">
        <f t="shared" si="55"/>
        <v>35403.726708074537</v>
      </c>
      <c r="N75" s="18">
        <f t="shared" si="55"/>
        <v>35403.726708074537</v>
      </c>
      <c r="O75" s="18">
        <f t="shared" si="55"/>
        <v>35403.726708074537</v>
      </c>
      <c r="P75" s="18">
        <f t="shared" si="55"/>
        <v>35403.726708074537</v>
      </c>
      <c r="Q75" s="18">
        <f t="shared" si="55"/>
        <v>35403.726708074537</v>
      </c>
      <c r="R75" s="18">
        <f t="shared" si="55"/>
        <v>35403.726708074537</v>
      </c>
      <c r="S75" s="18">
        <f t="shared" si="55"/>
        <v>35403.726708074537</v>
      </c>
      <c r="T75" s="18">
        <f t="shared" si="55"/>
        <v>35403.726708074537</v>
      </c>
      <c r="U75" s="18">
        <f t="shared" si="55"/>
        <v>35403.726708074537</v>
      </c>
      <c r="V75" s="18">
        <f t="shared" si="55"/>
        <v>35403.726708074537</v>
      </c>
      <c r="W75" s="18">
        <f t="shared" si="55"/>
        <v>35403.726708074537</v>
      </c>
      <c r="X75" s="18">
        <f t="shared" si="55"/>
        <v>35403.726708074537</v>
      </c>
      <c r="Y75" s="18">
        <f t="shared" si="55"/>
        <v>35403.726708074537</v>
      </c>
      <c r="Z75" s="18">
        <f t="shared" si="55"/>
        <v>35403.726708074537</v>
      </c>
      <c r="AA75" s="18">
        <f t="shared" si="55"/>
        <v>35403.726708074537</v>
      </c>
      <c r="AB75" s="18">
        <f t="shared" si="55"/>
        <v>35403.726708074537</v>
      </c>
      <c r="AC75" s="18">
        <f t="shared" si="55"/>
        <v>35403.726708074537</v>
      </c>
      <c r="AD75" s="18">
        <f t="shared" si="55"/>
        <v>35403.726708074537</v>
      </c>
      <c r="AE75" s="18">
        <f t="shared" si="55"/>
        <v>35403.726708074537</v>
      </c>
      <c r="AF75" s="18">
        <f t="shared" si="55"/>
        <v>35403.726708074537</v>
      </c>
      <c r="AG75" s="18">
        <f t="shared" si="55"/>
        <v>35403.726708074537</v>
      </c>
      <c r="AH75" s="18">
        <f t="shared" si="55"/>
        <v>35403.726708074537</v>
      </c>
      <c r="AI75" s="19">
        <f t="shared" si="55"/>
        <v>35403.726708074537</v>
      </c>
      <c r="AJ75" s="18">
        <f t="shared" si="55"/>
        <v>35403.726708074537</v>
      </c>
      <c r="AK75" s="19">
        <f t="shared" si="55"/>
        <v>35403.726708074537</v>
      </c>
      <c r="AL75" s="18">
        <f t="shared" si="55"/>
        <v>35403.726708074537</v>
      </c>
      <c r="AM75" s="18">
        <f t="shared" si="55"/>
        <v>35403.726708074537</v>
      </c>
      <c r="AN75" s="18">
        <f t="shared" si="55"/>
        <v>35403.726708074537</v>
      </c>
      <c r="AO75" s="18">
        <f t="shared" si="55"/>
        <v>35403.726708074537</v>
      </c>
      <c r="AP75" s="18">
        <f t="shared" si="55"/>
        <v>35403.726708074537</v>
      </c>
      <c r="AQ75" s="18">
        <f t="shared" si="55"/>
        <v>35403.726708074537</v>
      </c>
      <c r="AR75" s="18">
        <f t="shared" si="55"/>
        <v>35403.726708074537</v>
      </c>
    </row>
    <row r="76" spans="2:44">
      <c r="B76" s="20" t="s">
        <v>90</v>
      </c>
      <c r="C76" s="21">
        <v>9.67</v>
      </c>
      <c r="D76" s="23">
        <f t="shared" si="54"/>
        <v>4573910</v>
      </c>
      <c r="E76" s="173">
        <f t="shared" ref="E76:AL76" si="56">$C$76*E40</f>
        <v>48350</v>
      </c>
      <c r="F76" s="22">
        <f t="shared" si="56"/>
        <v>145050</v>
      </c>
      <c r="G76" s="23">
        <f t="shared" si="56"/>
        <v>135380</v>
      </c>
      <c r="H76" s="22">
        <f t="shared" si="56"/>
        <v>145050</v>
      </c>
      <c r="I76" s="23">
        <f t="shared" si="56"/>
        <v>145050</v>
      </c>
      <c r="J76" s="173">
        <f t="shared" si="56"/>
        <v>164390</v>
      </c>
      <c r="K76" s="23">
        <f t="shared" si="56"/>
        <v>125710</v>
      </c>
      <c r="L76" s="23">
        <f t="shared" si="56"/>
        <v>145050</v>
      </c>
      <c r="M76" s="23">
        <f t="shared" si="56"/>
        <v>183730</v>
      </c>
      <c r="N76" s="23">
        <f t="shared" si="56"/>
        <v>164390</v>
      </c>
      <c r="O76" s="23">
        <f t="shared" si="56"/>
        <v>145050</v>
      </c>
      <c r="P76" s="23">
        <f t="shared" si="56"/>
        <v>164390</v>
      </c>
      <c r="Q76" s="23">
        <f t="shared" si="56"/>
        <v>174060</v>
      </c>
      <c r="R76" s="23">
        <f t="shared" si="56"/>
        <v>174060</v>
      </c>
      <c r="S76" s="23">
        <f t="shared" si="56"/>
        <v>174060</v>
      </c>
      <c r="T76" s="23">
        <f t="shared" si="56"/>
        <v>174060</v>
      </c>
      <c r="U76" s="23">
        <f t="shared" si="56"/>
        <v>154720</v>
      </c>
      <c r="V76" s="23">
        <f t="shared" si="56"/>
        <v>154720</v>
      </c>
      <c r="W76" s="23">
        <f t="shared" si="56"/>
        <v>183730</v>
      </c>
      <c r="X76" s="23">
        <f t="shared" si="56"/>
        <v>174060</v>
      </c>
      <c r="Y76" s="23">
        <f t="shared" si="56"/>
        <v>145050</v>
      </c>
      <c r="Z76" s="23">
        <f t="shared" si="56"/>
        <v>145050</v>
      </c>
      <c r="AA76" s="23">
        <f t="shared" si="56"/>
        <v>135380</v>
      </c>
      <c r="AB76" s="23">
        <f t="shared" si="56"/>
        <v>29010</v>
      </c>
      <c r="AC76" s="23">
        <f t="shared" si="56"/>
        <v>29010</v>
      </c>
      <c r="AD76" s="23">
        <f t="shared" si="56"/>
        <v>29010</v>
      </c>
      <c r="AE76" s="23">
        <f t="shared" si="56"/>
        <v>125710</v>
      </c>
      <c r="AF76" s="23">
        <f t="shared" si="56"/>
        <v>67690</v>
      </c>
      <c r="AG76" s="23">
        <f t="shared" si="56"/>
        <v>125710</v>
      </c>
      <c r="AH76" s="23">
        <f t="shared" si="56"/>
        <v>135380</v>
      </c>
      <c r="AI76" s="22">
        <f t="shared" si="56"/>
        <v>135380</v>
      </c>
      <c r="AJ76" s="23">
        <f t="shared" si="56"/>
        <v>125710</v>
      </c>
      <c r="AK76" s="22">
        <f t="shared" si="56"/>
        <v>135380</v>
      </c>
      <c r="AL76" s="23">
        <f t="shared" si="56"/>
        <v>135380</v>
      </c>
      <c r="AM76" s="23">
        <f t="shared" ref="AM76" si="57">$C$76*AM40</f>
        <v>145050</v>
      </c>
      <c r="AN76" s="23">
        <f>$C$76*AN40</f>
        <v>164390</v>
      </c>
      <c r="AO76" s="23">
        <f>$C$76*AO40</f>
        <v>164390</v>
      </c>
      <c r="AP76" s="23">
        <f>$C$76*AP40</f>
        <v>164390</v>
      </c>
      <c r="AQ76" s="23">
        <f>$C$76*AQ40</f>
        <v>174060</v>
      </c>
      <c r="AR76" s="23">
        <f>$C$76*AR40</f>
        <v>154720</v>
      </c>
    </row>
    <row r="77" spans="2:44">
      <c r="B77" s="24" t="s">
        <v>91</v>
      </c>
      <c r="C77" s="25">
        <f>SUM(E77:AL77)</f>
        <v>10464293.40900621</v>
      </c>
      <c r="D77" s="174">
        <f>D56-D73-D74-D75-D76</f>
        <v>14039097.529006209</v>
      </c>
      <c r="E77" s="161">
        <f t="shared" ref="E77:AL77" si="58">E56-E73-E74-E75-E76</f>
        <v>-120399.6894409938</v>
      </c>
      <c r="F77" s="27">
        <f t="shared" si="58"/>
        <v>511966.65055900626</v>
      </c>
      <c r="G77" s="26">
        <f t="shared" si="58"/>
        <v>130087.98055900622</v>
      </c>
      <c r="H77" s="27">
        <f t="shared" si="58"/>
        <v>45719.590559006232</v>
      </c>
      <c r="I77" s="26">
        <f t="shared" si="58"/>
        <v>193582.77055900625</v>
      </c>
      <c r="J77" s="27">
        <f t="shared" si="58"/>
        <v>-171736.67944099379</v>
      </c>
      <c r="K77" s="26">
        <f t="shared" si="58"/>
        <v>825236.00055900612</v>
      </c>
      <c r="L77" s="26">
        <f t="shared" si="58"/>
        <v>1028264.4505590063</v>
      </c>
      <c r="M77" s="26">
        <f t="shared" si="58"/>
        <v>715053.72055900621</v>
      </c>
      <c r="N77" s="26">
        <f t="shared" si="58"/>
        <v>449847.02055900614</v>
      </c>
      <c r="O77" s="26">
        <f t="shared" si="58"/>
        <v>787225.13055900624</v>
      </c>
      <c r="P77" s="26">
        <f t="shared" si="58"/>
        <v>433032.0905590062</v>
      </c>
      <c r="Q77" s="26">
        <f t="shared" si="58"/>
        <v>330961.27055900614</v>
      </c>
      <c r="R77" s="26">
        <f t="shared" si="58"/>
        <v>715096.12055900623</v>
      </c>
      <c r="S77" s="26">
        <f t="shared" si="58"/>
        <v>646870.0905590062</v>
      </c>
      <c r="T77" s="26">
        <f t="shared" si="58"/>
        <v>309267.93055900617</v>
      </c>
      <c r="U77" s="26">
        <f t="shared" si="58"/>
        <v>65108.470559006237</v>
      </c>
      <c r="V77" s="26">
        <f t="shared" si="58"/>
        <v>300966.2105590062</v>
      </c>
      <c r="W77" s="26">
        <f t="shared" si="58"/>
        <v>488025.54055900616</v>
      </c>
      <c r="X77" s="26">
        <f t="shared" si="58"/>
        <v>-219392.38944099378</v>
      </c>
      <c r="Y77" s="26">
        <f t="shared" si="58"/>
        <v>423737.08055900619</v>
      </c>
      <c r="Z77" s="26">
        <f t="shared" si="58"/>
        <v>632508.32055900618</v>
      </c>
      <c r="AA77" s="26">
        <f t="shared" si="58"/>
        <v>270222.81055900618</v>
      </c>
      <c r="AB77" s="26">
        <f t="shared" si="58"/>
        <v>-101059.6894409938</v>
      </c>
      <c r="AC77" s="26">
        <f t="shared" si="58"/>
        <v>-101059.6894409938</v>
      </c>
      <c r="AD77" s="26">
        <f t="shared" si="58"/>
        <v>-101059.6894409938</v>
      </c>
      <c r="AE77" s="26">
        <f t="shared" si="58"/>
        <v>741265.72055900621</v>
      </c>
      <c r="AF77" s="26">
        <f t="shared" si="58"/>
        <v>-139739.6894409938</v>
      </c>
      <c r="AG77" s="26">
        <f t="shared" si="58"/>
        <v>-3544.159440993797</v>
      </c>
      <c r="AH77" s="26">
        <f t="shared" si="58"/>
        <v>649252.76055900613</v>
      </c>
      <c r="AI77" s="27">
        <f t="shared" si="58"/>
        <v>354357.81055900618</v>
      </c>
      <c r="AJ77" s="26">
        <f t="shared" si="58"/>
        <v>309472.83055900619</v>
      </c>
      <c r="AK77" s="27">
        <f t="shared" si="58"/>
        <v>-45302.60944099378</v>
      </c>
      <c r="AL77" s="26">
        <f t="shared" si="58"/>
        <v>110459.32055900621</v>
      </c>
      <c r="AM77" s="26">
        <f t="shared" ref="AM77" si="59">AM56-AM73-AM74-AM75-AM76</f>
        <v>476451.44945900619</v>
      </c>
      <c r="AN77" s="26">
        <f>AN56-AN73-AN74-AN75-AN76</f>
        <v>320077.34565900627</v>
      </c>
      <c r="AO77" s="26">
        <f>AO56-AO73-AO74-AO75-AO76</f>
        <v>333017.74175900617</v>
      </c>
      <c r="AP77" s="26">
        <f>AP56-AP73-AP74-AP75-AP76</f>
        <v>115075.63055900624</v>
      </c>
      <c r="AQ77" s="26">
        <f>AQ56-AQ73-AQ74-AQ75-AQ76</f>
        <v>324625.23055900622</v>
      </c>
      <c r="AR77" s="26">
        <f>AR56-AR73-AR74-AR75-AR76</f>
        <v>90373.110559006192</v>
      </c>
    </row>
    <row r="78" spans="2:44">
      <c r="B78" s="320" t="s">
        <v>92</v>
      </c>
      <c r="C78" s="321"/>
      <c r="D78" s="326"/>
      <c r="E78" s="29">
        <f>E77</f>
        <v>-120399.6894409938</v>
      </c>
      <c r="F78" s="28">
        <f>F77+E78</f>
        <v>391566.96111801243</v>
      </c>
      <c r="G78" s="29">
        <f t="shared" ref="G78:AL78" si="60">G77+F78</f>
        <v>521654.94167701865</v>
      </c>
      <c r="H78" s="28">
        <f t="shared" si="60"/>
        <v>567374.53223602485</v>
      </c>
      <c r="I78" s="29">
        <f t="shared" si="60"/>
        <v>760957.30279503111</v>
      </c>
      <c r="J78" s="28">
        <f t="shared" si="60"/>
        <v>589220.62335403729</v>
      </c>
      <c r="K78" s="29">
        <f t="shared" si="60"/>
        <v>1414456.6239130434</v>
      </c>
      <c r="L78" s="29">
        <f t="shared" si="60"/>
        <v>2442721.0744720497</v>
      </c>
      <c r="M78" s="29">
        <f t="shared" si="60"/>
        <v>3157774.7950310558</v>
      </c>
      <c r="N78" s="29">
        <f t="shared" si="60"/>
        <v>3607621.8155900622</v>
      </c>
      <c r="O78" s="29">
        <f t="shared" si="60"/>
        <v>4394846.946149068</v>
      </c>
      <c r="P78" s="29">
        <f t="shared" si="60"/>
        <v>4827879.0367080737</v>
      </c>
      <c r="Q78" s="29">
        <f t="shared" si="60"/>
        <v>5158840.3072670801</v>
      </c>
      <c r="R78" s="29">
        <f t="shared" si="60"/>
        <v>5873936.4278260861</v>
      </c>
      <c r="S78" s="29">
        <f t="shared" si="60"/>
        <v>6520806.5183850918</v>
      </c>
      <c r="T78" s="29">
        <f t="shared" si="60"/>
        <v>6830074.4489440983</v>
      </c>
      <c r="U78" s="29">
        <f t="shared" si="60"/>
        <v>6895182.9195031049</v>
      </c>
      <c r="V78" s="29">
        <f t="shared" si="60"/>
        <v>7196149.1300621107</v>
      </c>
      <c r="W78" s="29">
        <f t="shared" si="60"/>
        <v>7684174.6706211166</v>
      </c>
      <c r="X78" s="29">
        <f t="shared" si="60"/>
        <v>7464782.2811801229</v>
      </c>
      <c r="Y78" s="29">
        <f t="shared" si="60"/>
        <v>7888519.3617391288</v>
      </c>
      <c r="Z78" s="29">
        <f t="shared" si="60"/>
        <v>8521027.682298135</v>
      </c>
      <c r="AA78" s="29">
        <f t="shared" si="60"/>
        <v>8791250.4928571414</v>
      </c>
      <c r="AB78" s="29">
        <f t="shared" si="60"/>
        <v>8690190.8034161478</v>
      </c>
      <c r="AC78" s="29">
        <f t="shared" si="60"/>
        <v>8589131.1139751542</v>
      </c>
      <c r="AD78" s="29">
        <f t="shared" si="60"/>
        <v>8488071.4245341606</v>
      </c>
      <c r="AE78" s="29">
        <f t="shared" si="60"/>
        <v>9229337.1450931672</v>
      </c>
      <c r="AF78" s="29">
        <f t="shared" si="60"/>
        <v>9089597.4556521736</v>
      </c>
      <c r="AG78" s="29">
        <f t="shared" si="60"/>
        <v>9086053.2962111793</v>
      </c>
      <c r="AH78" s="29">
        <f t="shared" si="60"/>
        <v>9735306.056770185</v>
      </c>
      <c r="AI78" s="28">
        <f t="shared" si="60"/>
        <v>10089663.867329191</v>
      </c>
      <c r="AJ78" s="29">
        <f t="shared" si="60"/>
        <v>10399136.697888197</v>
      </c>
      <c r="AK78" s="28">
        <f t="shared" si="60"/>
        <v>10353834.088447204</v>
      </c>
      <c r="AL78" s="29">
        <f t="shared" si="60"/>
        <v>10464293.40900621</v>
      </c>
      <c r="AM78" s="29">
        <f t="shared" ref="AM78:AR78" si="61">AM77+AL78</f>
        <v>10940744.858465217</v>
      </c>
      <c r="AN78" s="29">
        <f t="shared" si="61"/>
        <v>11260822.204124223</v>
      </c>
      <c r="AO78" s="29">
        <f t="shared" si="61"/>
        <v>11593839.945883229</v>
      </c>
      <c r="AP78" s="29">
        <f t="shared" si="61"/>
        <v>11708915.576442236</v>
      </c>
      <c r="AQ78" s="29">
        <f t="shared" si="61"/>
        <v>12033540.807001242</v>
      </c>
      <c r="AR78" s="29">
        <f t="shared" si="61"/>
        <v>12123913.917560248</v>
      </c>
    </row>
    <row r="79" spans="2:44">
      <c r="D79">
        <f>D77/D56</f>
        <v>0.49774080527930292</v>
      </c>
    </row>
    <row r="81" spans="2:3">
      <c r="B81" s="30" t="s">
        <v>93</v>
      </c>
      <c r="C81" s="31">
        <f>D40/D25</f>
        <v>0.54155290294920688</v>
      </c>
    </row>
  </sheetData>
  <mergeCells count="6">
    <mergeCell ref="B78:D78"/>
    <mergeCell ref="A25:A37"/>
    <mergeCell ref="A40:A41"/>
    <mergeCell ref="A43:A48"/>
    <mergeCell ref="A50:A54"/>
    <mergeCell ref="B71:C71"/>
  </mergeCells>
  <phoneticPr fontId="19" type="noConversion"/>
  <conditionalFormatting sqref="E78:AR78 B7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DEA6-6AEC-4843-85E6-513C397BA6C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BB96-3E47-49B0-A896-653C78945DE6}">
  <dimension ref="A2:AR84"/>
  <sheetViews>
    <sheetView topLeftCell="L20" workbookViewId="0">
      <selection activeCell="AF50" sqref="AF50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8" max="8" width="11.28515625" bestFit="1" customWidth="1"/>
  </cols>
  <sheetData>
    <row r="2" spans="2:44" ht="15.75">
      <c r="B2" s="54" t="s">
        <v>0</v>
      </c>
      <c r="C2" s="109" t="s">
        <v>1</v>
      </c>
    </row>
    <row r="3" spans="2:44" ht="15.75">
      <c r="B3" s="54" t="s">
        <v>2</v>
      </c>
      <c r="C3" s="109">
        <v>9</v>
      </c>
    </row>
    <row r="4" spans="2:44" ht="15.75">
      <c r="B4" s="54" t="s">
        <v>3</v>
      </c>
      <c r="C4" s="110">
        <v>44825</v>
      </c>
    </row>
    <row r="5" spans="2:44" ht="15.75">
      <c r="B5" s="54" t="s">
        <v>4</v>
      </c>
      <c r="C5" s="110"/>
    </row>
    <row r="6" spans="2:44" ht="15.75">
      <c r="B6" s="179" t="s">
        <v>230</v>
      </c>
      <c r="C6" s="110" t="s">
        <v>231</v>
      </c>
    </row>
    <row r="7" spans="2:44" ht="15.75">
      <c r="B7" s="2"/>
      <c r="C7" s="2"/>
    </row>
    <row r="8" spans="2:44" ht="15.75">
      <c r="B8" s="54" t="s">
        <v>5</v>
      </c>
      <c r="D8" s="41" t="s">
        <v>6</v>
      </c>
      <c r="E8" s="42">
        <v>44821</v>
      </c>
      <c r="F8" s="42">
        <v>44822</v>
      </c>
      <c r="G8" s="42">
        <v>44823</v>
      </c>
      <c r="H8" s="42">
        <v>44824</v>
      </c>
      <c r="I8" s="42">
        <v>44825</v>
      </c>
      <c r="J8" s="42">
        <v>44826</v>
      </c>
      <c r="K8" s="42">
        <v>44827</v>
      </c>
      <c r="L8" s="42">
        <v>44828</v>
      </c>
      <c r="M8" s="42">
        <v>44829</v>
      </c>
      <c r="N8" s="42">
        <v>44830</v>
      </c>
      <c r="O8" s="42">
        <v>44831</v>
      </c>
      <c r="P8" s="42">
        <v>44832</v>
      </c>
      <c r="Q8" s="42">
        <v>44833</v>
      </c>
      <c r="R8" s="42">
        <v>44834</v>
      </c>
      <c r="S8" s="42">
        <v>44835</v>
      </c>
      <c r="T8" s="42">
        <v>44836</v>
      </c>
      <c r="U8" s="42">
        <v>44837</v>
      </c>
      <c r="V8" s="42">
        <v>44838</v>
      </c>
      <c r="W8" s="42">
        <v>44839</v>
      </c>
      <c r="X8" s="42">
        <v>44840</v>
      </c>
      <c r="Y8" s="42">
        <v>44841</v>
      </c>
      <c r="Z8" s="42">
        <v>44842</v>
      </c>
      <c r="AA8" s="42">
        <v>44843</v>
      </c>
      <c r="AB8" s="42">
        <v>44844</v>
      </c>
      <c r="AC8" s="42">
        <v>44845</v>
      </c>
      <c r="AD8" s="42">
        <v>44846</v>
      </c>
      <c r="AE8" s="42">
        <v>44847</v>
      </c>
      <c r="AF8" s="42">
        <v>44848</v>
      </c>
      <c r="AG8" s="42">
        <v>44849</v>
      </c>
      <c r="AH8" s="42">
        <v>44850</v>
      </c>
      <c r="AI8" s="42">
        <v>44851</v>
      </c>
      <c r="AJ8" s="42">
        <v>44852</v>
      </c>
      <c r="AK8" s="42">
        <v>44853</v>
      </c>
      <c r="AL8" s="42">
        <v>44854</v>
      </c>
      <c r="AM8" s="42">
        <v>44855</v>
      </c>
      <c r="AN8" s="42">
        <v>44856</v>
      </c>
      <c r="AO8" s="42">
        <v>44857</v>
      </c>
      <c r="AP8" s="42">
        <v>44858</v>
      </c>
      <c r="AQ8" s="42">
        <v>44859</v>
      </c>
      <c r="AR8" s="42">
        <v>44860</v>
      </c>
    </row>
    <row r="9" spans="2:44">
      <c r="B9" s="46" t="s">
        <v>7</v>
      </c>
      <c r="C9" s="47" t="s">
        <v>8</v>
      </c>
      <c r="D9" s="71">
        <f>SUM(E9:N9)</f>
        <v>116</v>
      </c>
      <c r="E9" s="114">
        <v>0</v>
      </c>
      <c r="F9" s="114">
        <v>0</v>
      </c>
      <c r="G9" s="114">
        <v>0</v>
      </c>
      <c r="H9" s="114">
        <v>0</v>
      </c>
      <c r="I9" s="114">
        <v>16</v>
      </c>
      <c r="J9" s="114">
        <v>24</v>
      </c>
      <c r="K9" s="114">
        <v>24</v>
      </c>
      <c r="L9" s="114">
        <v>24</v>
      </c>
      <c r="M9" s="114">
        <v>16</v>
      </c>
      <c r="N9" s="114">
        <v>12</v>
      </c>
      <c r="O9" s="114">
        <v>24</v>
      </c>
      <c r="P9" s="114">
        <v>18</v>
      </c>
      <c r="Q9" s="114">
        <v>24</v>
      </c>
      <c r="R9" s="114">
        <v>18</v>
      </c>
      <c r="S9" s="114">
        <v>24</v>
      </c>
      <c r="T9" s="114">
        <v>19</v>
      </c>
      <c r="U9" s="114">
        <v>17</v>
      </c>
      <c r="V9" s="114">
        <v>24</v>
      </c>
      <c r="W9" s="114">
        <v>24</v>
      </c>
      <c r="X9" s="114">
        <v>24</v>
      </c>
      <c r="Y9" s="114">
        <v>6</v>
      </c>
      <c r="Z9" s="114">
        <v>24</v>
      </c>
      <c r="AA9" s="114">
        <v>24</v>
      </c>
      <c r="AB9" s="114">
        <v>23</v>
      </c>
      <c r="AC9" s="114">
        <v>24</v>
      </c>
      <c r="AD9" s="114">
        <v>24</v>
      </c>
      <c r="AE9" s="114">
        <v>24</v>
      </c>
      <c r="AF9" s="114">
        <v>24</v>
      </c>
      <c r="AG9" s="114">
        <v>20</v>
      </c>
      <c r="AH9" s="114">
        <v>24</v>
      </c>
      <c r="AI9" s="114">
        <v>24</v>
      </c>
      <c r="AJ9" s="114">
        <v>24</v>
      </c>
      <c r="AK9" s="114">
        <v>24</v>
      </c>
      <c r="AL9" s="114">
        <v>20</v>
      </c>
      <c r="AM9" s="114">
        <v>18</v>
      </c>
      <c r="AN9" s="114">
        <v>6</v>
      </c>
      <c r="AO9" s="114">
        <v>0</v>
      </c>
      <c r="AP9" s="114">
        <v>0</v>
      </c>
      <c r="AQ9" s="114">
        <v>0</v>
      </c>
      <c r="AR9" s="114">
        <v>0</v>
      </c>
    </row>
    <row r="10" spans="2:44">
      <c r="B10" s="48" t="s">
        <v>9</v>
      </c>
      <c r="C10" s="38" t="s">
        <v>8</v>
      </c>
      <c r="D10" s="71">
        <f t="shared" ref="D10:D16" si="0">SUM(E10:K10)</f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8</v>
      </c>
      <c r="N10" s="115">
        <v>12</v>
      </c>
      <c r="O10" s="115">
        <v>0</v>
      </c>
      <c r="P10" s="115">
        <v>6</v>
      </c>
      <c r="Q10" s="115">
        <v>0</v>
      </c>
      <c r="R10" s="115">
        <v>6</v>
      </c>
      <c r="S10" s="115">
        <v>0</v>
      </c>
      <c r="T10" s="115">
        <v>5</v>
      </c>
      <c r="U10" s="115">
        <v>7</v>
      </c>
      <c r="V10" s="115">
        <v>0</v>
      </c>
      <c r="W10" s="115">
        <v>0</v>
      </c>
      <c r="X10" s="115">
        <v>0</v>
      </c>
      <c r="Y10" s="115">
        <v>18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4</v>
      </c>
      <c r="AM10" s="115">
        <v>6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44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4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44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18</v>
      </c>
      <c r="AO12" s="115">
        <v>0</v>
      </c>
      <c r="AP12" s="115">
        <v>0</v>
      </c>
      <c r="AQ12" s="115">
        <v>0</v>
      </c>
      <c r="AR12" s="115">
        <v>0</v>
      </c>
    </row>
    <row r="13" spans="2:44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44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</row>
    <row r="15" spans="2:44">
      <c r="B15" s="49" t="s">
        <v>14</v>
      </c>
      <c r="C15" s="40" t="s">
        <v>8</v>
      </c>
      <c r="D15" s="71">
        <f t="shared" si="0"/>
        <v>8</v>
      </c>
      <c r="E15" s="116">
        <v>0</v>
      </c>
      <c r="F15" s="116">
        <v>0</v>
      </c>
      <c r="G15" s="116">
        <v>0</v>
      </c>
      <c r="H15" s="116">
        <v>0</v>
      </c>
      <c r="I15" s="116">
        <v>8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1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</row>
    <row r="16" spans="2:44">
      <c r="B16" s="68" t="s">
        <v>15</v>
      </c>
      <c r="C16" s="69" t="s">
        <v>8</v>
      </c>
      <c r="D16" s="70">
        <f t="shared" si="0"/>
        <v>72</v>
      </c>
      <c r="E16" s="117">
        <f t="shared" ref="E16:O16" si="1">SUM(E9:E15)</f>
        <v>0</v>
      </c>
      <c r="F16" s="117">
        <f t="shared" si="1"/>
        <v>0</v>
      </c>
      <c r="G16" s="117">
        <f t="shared" si="1"/>
        <v>0</v>
      </c>
      <c r="H16" s="117">
        <f t="shared" si="1"/>
        <v>0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ref="P16:U16" si="2">SUM(P9:P15)</f>
        <v>24</v>
      </c>
      <c r="Q16" s="117">
        <f t="shared" si="2"/>
        <v>24</v>
      </c>
      <c r="R16" s="117">
        <f t="shared" si="2"/>
        <v>24</v>
      </c>
      <c r="S16" s="117">
        <f t="shared" si="2"/>
        <v>24</v>
      </c>
      <c r="T16" s="117">
        <f t="shared" si="2"/>
        <v>24</v>
      </c>
      <c r="U16" s="117">
        <f t="shared" si="2"/>
        <v>24</v>
      </c>
      <c r="V16" s="117">
        <f t="shared" ref="V16:AJ16" si="3">SUM(V9:V15)</f>
        <v>24</v>
      </c>
      <c r="W16" s="117">
        <f t="shared" si="3"/>
        <v>24</v>
      </c>
      <c r="X16" s="117">
        <f t="shared" si="3"/>
        <v>24</v>
      </c>
      <c r="Y16" s="117">
        <f t="shared" si="3"/>
        <v>24</v>
      </c>
      <c r="Z16" s="117">
        <f t="shared" si="3"/>
        <v>24</v>
      </c>
      <c r="AA16" s="117">
        <f t="shared" si="3"/>
        <v>24</v>
      </c>
      <c r="AB16" s="117">
        <f t="shared" si="3"/>
        <v>24</v>
      </c>
      <c r="AC16" s="117">
        <f t="shared" si="3"/>
        <v>24</v>
      </c>
      <c r="AD16" s="117">
        <f t="shared" si="3"/>
        <v>24</v>
      </c>
      <c r="AE16" s="117">
        <f t="shared" si="3"/>
        <v>24</v>
      </c>
      <c r="AF16" s="117">
        <f t="shared" si="3"/>
        <v>24</v>
      </c>
      <c r="AG16" s="117">
        <f t="shared" si="3"/>
        <v>24</v>
      </c>
      <c r="AH16" s="117">
        <f t="shared" si="3"/>
        <v>24</v>
      </c>
      <c r="AI16" s="117">
        <f t="shared" si="3"/>
        <v>24</v>
      </c>
      <c r="AJ16" s="117">
        <f t="shared" si="3"/>
        <v>24</v>
      </c>
      <c r="AK16" s="117">
        <f t="shared" ref="AK16" si="4">SUM(AK9:AK15)</f>
        <v>24</v>
      </c>
      <c r="AL16" s="117">
        <f t="shared" ref="AL16" si="5">SUM(AL9:AL15)</f>
        <v>24</v>
      </c>
      <c r="AM16" s="117">
        <f t="shared" ref="AM16" si="6">SUM(AM9:AM15)</f>
        <v>24</v>
      </c>
      <c r="AN16" s="117">
        <f t="shared" ref="AN16" si="7">SUM(AN9:AN15)</f>
        <v>24</v>
      </c>
      <c r="AO16" s="117">
        <f t="shared" ref="AO16" si="8">SUM(AO9:AO15)</f>
        <v>0</v>
      </c>
      <c r="AP16" s="117">
        <f t="shared" ref="AP16" si="9">SUM(AP9:AP15)</f>
        <v>0</v>
      </c>
      <c r="AQ16" s="117">
        <f t="shared" ref="AQ16" si="10">SUM(AQ9:AQ15)</f>
        <v>0</v>
      </c>
      <c r="AR16" s="117">
        <f t="shared" ref="AR16" si="11">SUM(AR9:AR15)</f>
        <v>0</v>
      </c>
    </row>
    <row r="18" spans="1:44">
      <c r="B18" s="50" t="s">
        <v>16</v>
      </c>
      <c r="C18" s="50" t="s">
        <v>0</v>
      </c>
      <c r="D18" s="58">
        <f>SUM(E18:K18)</f>
        <v>0</v>
      </c>
      <c r="E18" s="127" t="s">
        <v>128</v>
      </c>
      <c r="F18" s="127" t="s">
        <v>128</v>
      </c>
      <c r="G18" s="127" t="s">
        <v>218</v>
      </c>
      <c r="H18" s="127" t="s">
        <v>203</v>
      </c>
      <c r="I18" s="127" t="s">
        <v>117</v>
      </c>
      <c r="J18" s="127" t="s">
        <v>219</v>
      </c>
      <c r="K18" s="127" t="s">
        <v>218</v>
      </c>
      <c r="L18" s="127" t="s">
        <v>220</v>
      </c>
      <c r="M18" s="127" t="s">
        <v>221</v>
      </c>
      <c r="N18" s="127" t="s">
        <v>178</v>
      </c>
      <c r="O18" s="127" t="s">
        <v>178</v>
      </c>
      <c r="P18" s="127" t="s">
        <v>222</v>
      </c>
      <c r="Q18" s="127" t="s">
        <v>178</v>
      </c>
      <c r="R18" s="127" t="s">
        <v>223</v>
      </c>
      <c r="S18" s="127" t="s">
        <v>224</v>
      </c>
      <c r="T18" s="127" t="s">
        <v>224</v>
      </c>
      <c r="U18" s="127" t="s">
        <v>224</v>
      </c>
      <c r="V18" s="127" t="s">
        <v>178</v>
      </c>
      <c r="W18" s="127" t="s">
        <v>202</v>
      </c>
      <c r="X18" s="127" t="s">
        <v>202</v>
      </c>
      <c r="Y18" s="127" t="s">
        <v>157</v>
      </c>
      <c r="Z18" s="127" t="s">
        <v>158</v>
      </c>
      <c r="AA18" s="127" t="s">
        <v>158</v>
      </c>
      <c r="AB18" s="127" t="s">
        <v>158</v>
      </c>
      <c r="AC18" s="127" t="s">
        <v>232</v>
      </c>
      <c r="AD18" s="127" t="s">
        <v>233</v>
      </c>
      <c r="AE18" s="127" t="s">
        <v>234</v>
      </c>
      <c r="AF18" s="127" t="s">
        <v>235</v>
      </c>
      <c r="AG18" s="127" t="s">
        <v>234</v>
      </c>
      <c r="AH18" s="127" t="s">
        <v>236</v>
      </c>
      <c r="AI18" s="127" t="s">
        <v>157</v>
      </c>
      <c r="AJ18" s="127" t="s">
        <v>237</v>
      </c>
      <c r="AK18" s="127" t="s">
        <v>234</v>
      </c>
      <c r="AL18" s="127" t="s">
        <v>238</v>
      </c>
      <c r="AM18" s="127" t="s">
        <v>238</v>
      </c>
      <c r="AN18" s="127" t="s">
        <v>238</v>
      </c>
      <c r="AO18" s="127"/>
      <c r="AP18" s="127"/>
      <c r="AQ18" s="127"/>
      <c r="AR18" s="127"/>
    </row>
    <row r="19" spans="1:44">
      <c r="B19" s="37" t="s">
        <v>31</v>
      </c>
      <c r="C19" s="37" t="s">
        <v>32</v>
      </c>
      <c r="D19" s="131">
        <f>SUM(E19:K19)</f>
        <v>62.5</v>
      </c>
      <c r="E19" s="162" t="s">
        <v>128</v>
      </c>
      <c r="F19" s="162" t="s">
        <v>128</v>
      </c>
      <c r="G19" s="162">
        <v>11</v>
      </c>
      <c r="H19" s="162" t="s">
        <v>128</v>
      </c>
      <c r="I19" s="162">
        <v>13</v>
      </c>
      <c r="J19" s="162">
        <v>18.5</v>
      </c>
      <c r="K19" s="162">
        <v>20</v>
      </c>
      <c r="L19" s="162">
        <v>20</v>
      </c>
      <c r="M19" s="162">
        <v>13</v>
      </c>
      <c r="N19" s="162">
        <v>9.5</v>
      </c>
      <c r="O19" s="162">
        <v>18</v>
      </c>
      <c r="P19" s="162">
        <v>13</v>
      </c>
      <c r="Q19" s="162">
        <v>17</v>
      </c>
      <c r="R19" s="162">
        <v>15</v>
      </c>
      <c r="S19" s="162">
        <v>17.5</v>
      </c>
      <c r="T19" s="162">
        <v>12</v>
      </c>
      <c r="U19" s="162">
        <v>15</v>
      </c>
      <c r="V19" s="162">
        <v>17.5</v>
      </c>
      <c r="W19" s="162">
        <v>17</v>
      </c>
      <c r="X19" s="162">
        <v>24.5</v>
      </c>
      <c r="Y19" s="162">
        <v>5.5</v>
      </c>
      <c r="Z19" s="162">
        <v>17</v>
      </c>
      <c r="AA19" s="162">
        <v>23.5</v>
      </c>
      <c r="AB19" s="162">
        <v>17</v>
      </c>
      <c r="AC19" s="162">
        <v>16</v>
      </c>
      <c r="AD19" s="162">
        <v>19</v>
      </c>
      <c r="AE19" s="162">
        <v>15</v>
      </c>
      <c r="AF19" s="162">
        <v>16</v>
      </c>
      <c r="AG19" s="162">
        <v>16</v>
      </c>
      <c r="AH19" s="162">
        <v>15</v>
      </c>
      <c r="AI19" s="162">
        <v>21</v>
      </c>
      <c r="AJ19" s="162">
        <v>16</v>
      </c>
      <c r="AK19" s="162">
        <v>21.3</v>
      </c>
      <c r="AL19" s="162">
        <v>11</v>
      </c>
      <c r="AM19" s="162">
        <v>11</v>
      </c>
      <c r="AN19" s="162">
        <v>5</v>
      </c>
      <c r="AO19" s="162"/>
      <c r="AP19" s="162"/>
      <c r="AQ19" s="162"/>
      <c r="AR19" s="162"/>
    </row>
    <row r="20" spans="1:44">
      <c r="B20" s="37" t="s">
        <v>35</v>
      </c>
      <c r="C20" s="37" t="s">
        <v>36</v>
      </c>
      <c r="D20" s="131">
        <f>SUM(E20:K20)</f>
        <v>14</v>
      </c>
      <c r="E20" s="162" t="s">
        <v>128</v>
      </c>
      <c r="F20" s="162" t="s">
        <v>128</v>
      </c>
      <c r="G20" s="162">
        <v>3</v>
      </c>
      <c r="H20" s="162" t="s">
        <v>128</v>
      </c>
      <c r="I20" s="162">
        <v>3</v>
      </c>
      <c r="J20" s="162">
        <v>4</v>
      </c>
      <c r="K20" s="162">
        <v>4</v>
      </c>
      <c r="L20" s="162">
        <v>4</v>
      </c>
      <c r="M20" s="162">
        <v>3</v>
      </c>
      <c r="N20" s="162">
        <v>2</v>
      </c>
      <c r="O20" s="162">
        <v>4</v>
      </c>
      <c r="P20" s="162">
        <v>3</v>
      </c>
      <c r="Q20" s="162">
        <v>3</v>
      </c>
      <c r="R20" s="162">
        <v>3</v>
      </c>
      <c r="S20" s="162">
        <v>3</v>
      </c>
      <c r="T20" s="162">
        <v>2</v>
      </c>
      <c r="U20" s="162">
        <v>3</v>
      </c>
      <c r="V20" s="162">
        <v>4</v>
      </c>
      <c r="W20" s="162">
        <v>3</v>
      </c>
      <c r="X20" s="162">
        <v>5</v>
      </c>
      <c r="Y20" s="162">
        <v>1</v>
      </c>
      <c r="Z20" s="162">
        <v>3</v>
      </c>
      <c r="AA20" s="162">
        <v>4</v>
      </c>
      <c r="AB20" s="162">
        <v>3</v>
      </c>
      <c r="AC20" s="162">
        <v>3</v>
      </c>
      <c r="AD20" s="162">
        <v>4</v>
      </c>
      <c r="AE20" s="162">
        <v>3</v>
      </c>
      <c r="AF20" s="162">
        <v>5</v>
      </c>
      <c r="AG20" s="162">
        <v>4</v>
      </c>
      <c r="AH20" s="162">
        <v>3</v>
      </c>
      <c r="AI20" s="162">
        <v>4</v>
      </c>
      <c r="AJ20" s="162">
        <v>3</v>
      </c>
      <c r="AK20" s="162">
        <v>4</v>
      </c>
      <c r="AL20" s="162">
        <v>3</v>
      </c>
      <c r="AM20" s="162">
        <v>4</v>
      </c>
      <c r="AN20" s="162">
        <v>1</v>
      </c>
      <c r="AO20" s="162"/>
      <c r="AP20" s="162"/>
      <c r="AQ20" s="162"/>
      <c r="AR20" s="162"/>
    </row>
    <row r="21" spans="1:44">
      <c r="B21" s="39" t="s">
        <v>37</v>
      </c>
      <c r="C21" s="39" t="s">
        <v>38</v>
      </c>
      <c r="D21" s="67">
        <f>SUM(E21:K21)</f>
        <v>0</v>
      </c>
      <c r="E21" s="129"/>
      <c r="F21" s="129"/>
      <c r="G21" s="129" t="s">
        <v>40</v>
      </c>
      <c r="H21" s="129"/>
      <c r="I21" s="129" t="s">
        <v>40</v>
      </c>
      <c r="J21" s="129" t="s">
        <v>40</v>
      </c>
      <c r="K21" s="129" t="s">
        <v>40</v>
      </c>
      <c r="L21" s="129" t="s">
        <v>40</v>
      </c>
      <c r="M21" s="129" t="s">
        <v>40</v>
      </c>
      <c r="N21" s="129" t="s">
        <v>228</v>
      </c>
      <c r="O21" s="129" t="s">
        <v>40</v>
      </c>
      <c r="P21" s="129" t="s">
        <v>227</v>
      </c>
      <c r="Q21" s="129" t="s">
        <v>227</v>
      </c>
      <c r="R21" s="129" t="s">
        <v>227</v>
      </c>
      <c r="S21" s="129" t="s">
        <v>227</v>
      </c>
      <c r="T21" s="129" t="s">
        <v>227</v>
      </c>
      <c r="U21" s="129" t="s">
        <v>239</v>
      </c>
      <c r="V21" s="129" t="s">
        <v>227</v>
      </c>
      <c r="W21" s="129" t="s">
        <v>40</v>
      </c>
      <c r="X21" s="129" t="s">
        <v>40</v>
      </c>
      <c r="Y21" s="129" t="s">
        <v>40</v>
      </c>
      <c r="Z21" s="129" t="s">
        <v>40</v>
      </c>
      <c r="AA21" s="129" t="s">
        <v>40</v>
      </c>
      <c r="AB21" s="129" t="s">
        <v>40</v>
      </c>
      <c r="AC21" s="129" t="s">
        <v>40</v>
      </c>
      <c r="AD21" s="129" t="s">
        <v>40</v>
      </c>
      <c r="AE21" s="129" t="s">
        <v>40</v>
      </c>
      <c r="AF21" s="129" t="s">
        <v>40</v>
      </c>
      <c r="AG21" s="129" t="s">
        <v>40</v>
      </c>
      <c r="AH21" s="129" t="s">
        <v>40</v>
      </c>
      <c r="AI21" s="129" t="s">
        <v>40</v>
      </c>
      <c r="AJ21" s="129" t="s">
        <v>40</v>
      </c>
      <c r="AK21" s="129" t="s">
        <v>40</v>
      </c>
      <c r="AL21" s="129" t="s">
        <v>40</v>
      </c>
      <c r="AM21" s="129" t="s">
        <v>40</v>
      </c>
      <c r="AN21" s="129" t="s">
        <v>40</v>
      </c>
      <c r="AO21" s="129"/>
      <c r="AP21" s="129"/>
      <c r="AQ21" s="129"/>
      <c r="AR21" s="129"/>
    </row>
    <row r="22" spans="1:4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4" spans="1:44">
      <c r="B24" s="167" t="s">
        <v>43</v>
      </c>
      <c r="C24" s="168">
        <f>D26/D19</f>
        <v>11646.64</v>
      </c>
    </row>
    <row r="25" spans="1:44">
      <c r="D25" s="10"/>
    </row>
    <row r="26" spans="1:44">
      <c r="A26" s="312" t="s">
        <v>44</v>
      </c>
      <c r="B26" s="35" t="s">
        <v>45</v>
      </c>
      <c r="C26" s="35"/>
      <c r="D26" s="175">
        <f>SUM(E26:AQ26)</f>
        <v>727915</v>
      </c>
      <c r="E26" s="75">
        <f t="shared" ref="E26:O26" si="12">SUM(E27:E38)</f>
        <v>0</v>
      </c>
      <c r="F26" s="175">
        <f t="shared" si="12"/>
        <v>0</v>
      </c>
      <c r="G26" s="75">
        <f t="shared" si="12"/>
        <v>53631</v>
      </c>
      <c r="H26" s="175">
        <f t="shared" si="12"/>
        <v>0</v>
      </c>
      <c r="I26" s="75">
        <f t="shared" si="12"/>
        <v>9909</v>
      </c>
      <c r="J26" s="175">
        <f t="shared" si="12"/>
        <v>50075</v>
      </c>
      <c r="K26" s="75">
        <f t="shared" si="12"/>
        <v>30852</v>
      </c>
      <c r="L26" s="175">
        <f t="shared" si="12"/>
        <v>30104</v>
      </c>
      <c r="M26" s="75">
        <f t="shared" si="12"/>
        <v>10092</v>
      </c>
      <c r="N26" s="175">
        <f t="shared" si="12"/>
        <v>8705</v>
      </c>
      <c r="O26" s="75">
        <f t="shared" si="12"/>
        <v>25950</v>
      </c>
      <c r="P26" s="175">
        <f t="shared" ref="P26:U26" si="13">SUM(P27:P38)</f>
        <v>15646</v>
      </c>
      <c r="Q26" s="75">
        <f t="shared" si="13"/>
        <v>25589</v>
      </c>
      <c r="R26" s="175">
        <f t="shared" si="13"/>
        <v>13242</v>
      </c>
      <c r="S26" s="75">
        <f t="shared" si="13"/>
        <v>20281</v>
      </c>
      <c r="T26" s="175">
        <f t="shared" si="13"/>
        <v>10106</v>
      </c>
      <c r="U26" s="75">
        <f t="shared" si="13"/>
        <v>14849</v>
      </c>
      <c r="V26" s="175">
        <f t="shared" ref="V26:AJ26" si="14">SUM(V27:V38)</f>
        <v>36519</v>
      </c>
      <c r="W26" s="75">
        <f t="shared" si="14"/>
        <v>22810</v>
      </c>
      <c r="X26" s="175">
        <f t="shared" si="14"/>
        <v>30341</v>
      </c>
      <c r="Y26" s="75">
        <f t="shared" si="14"/>
        <v>3852</v>
      </c>
      <c r="Z26" s="175">
        <f t="shared" si="14"/>
        <v>24649</v>
      </c>
      <c r="AA26" s="75">
        <f t="shared" si="14"/>
        <v>28945</v>
      </c>
      <c r="AB26" s="175">
        <f t="shared" si="14"/>
        <v>16718</v>
      </c>
      <c r="AC26" s="75">
        <f t="shared" si="14"/>
        <v>8539</v>
      </c>
      <c r="AD26" s="175">
        <f t="shared" si="14"/>
        <v>15260</v>
      </c>
      <c r="AE26" s="75">
        <f t="shared" si="14"/>
        <v>17434</v>
      </c>
      <c r="AF26" s="175">
        <f t="shared" si="14"/>
        <v>28063</v>
      </c>
      <c r="AG26" s="75">
        <f t="shared" si="14"/>
        <v>22396</v>
      </c>
      <c r="AH26" s="175">
        <f t="shared" si="14"/>
        <v>26692</v>
      </c>
      <c r="AI26" s="75">
        <f t="shared" si="14"/>
        <v>15170</v>
      </c>
      <c r="AJ26" s="175">
        <f t="shared" si="14"/>
        <v>14426</v>
      </c>
      <c r="AK26" s="75">
        <f t="shared" ref="AK26" si="15">SUM(AK27:AK38)</f>
        <v>15640</v>
      </c>
      <c r="AL26" s="175">
        <f t="shared" ref="AL26" si="16">SUM(AL27:AL38)</f>
        <v>33176</v>
      </c>
      <c r="AM26" s="75">
        <f t="shared" ref="AM26" si="17">SUM(AM27:AM38)</f>
        <v>36186</v>
      </c>
      <c r="AN26" s="175">
        <f t="shared" ref="AN26" si="18">SUM(AN27:AN38)</f>
        <v>12068</v>
      </c>
      <c r="AO26" s="75">
        <f t="shared" ref="AO26" si="19">SUM(AO27:AO38)</f>
        <v>0</v>
      </c>
      <c r="AP26" s="175">
        <f t="shared" ref="AP26" si="20">SUM(AP27:AP38)</f>
        <v>0</v>
      </c>
      <c r="AQ26" s="75">
        <f t="shared" ref="AQ26" si="21">SUM(AQ27:AQ38)</f>
        <v>0</v>
      </c>
      <c r="AR26" s="175">
        <f t="shared" ref="AR26" si="22">SUM(AR27:AR38)</f>
        <v>0</v>
      </c>
    </row>
    <row r="27" spans="1:44">
      <c r="A27" s="313"/>
      <c r="B27" s="37" t="s">
        <v>47</v>
      </c>
      <c r="C27" s="38" t="s">
        <v>48</v>
      </c>
      <c r="D27" s="73">
        <f t="shared" ref="D27:D36" si="23">SUM(E27:AR27)</f>
        <v>337936</v>
      </c>
      <c r="E27" s="55">
        <v>0</v>
      </c>
      <c r="F27" s="55">
        <v>0</v>
      </c>
      <c r="G27" s="55">
        <v>3202</v>
      </c>
      <c r="H27" s="55">
        <v>0</v>
      </c>
      <c r="I27" s="55">
        <v>1731</v>
      </c>
      <c r="J27" s="55">
        <v>2149</v>
      </c>
      <c r="K27" s="55">
        <v>3508</v>
      </c>
      <c r="L27" s="55">
        <v>2096</v>
      </c>
      <c r="M27" s="55">
        <v>625</v>
      </c>
      <c r="N27" s="55">
        <v>8391</v>
      </c>
      <c r="O27" s="55">
        <v>14684</v>
      </c>
      <c r="P27" s="55">
        <v>13429</v>
      </c>
      <c r="Q27" s="55">
        <v>12123</v>
      </c>
      <c r="R27" s="55">
        <v>8180</v>
      </c>
      <c r="S27" s="55">
        <v>12749</v>
      </c>
      <c r="T27" s="55">
        <v>7948</v>
      </c>
      <c r="U27" s="55">
        <v>7939</v>
      </c>
      <c r="V27" s="55">
        <v>13584</v>
      </c>
      <c r="W27" s="55">
        <v>20791</v>
      </c>
      <c r="X27" s="55">
        <v>23848</v>
      </c>
      <c r="Y27" s="55">
        <v>2996</v>
      </c>
      <c r="Z27" s="55">
        <v>17992</v>
      </c>
      <c r="AA27" s="55">
        <v>26127</v>
      </c>
      <c r="AB27" s="55">
        <v>15740</v>
      </c>
      <c r="AC27" s="55">
        <v>7709</v>
      </c>
      <c r="AD27" s="55">
        <v>13206</v>
      </c>
      <c r="AE27" s="55">
        <v>13397</v>
      </c>
      <c r="AF27" s="55">
        <v>12149</v>
      </c>
      <c r="AG27" s="55">
        <v>15173</v>
      </c>
      <c r="AH27" s="55">
        <v>10755</v>
      </c>
      <c r="AI27" s="55">
        <v>10439</v>
      </c>
      <c r="AJ27" s="55">
        <v>8538</v>
      </c>
      <c r="AK27" s="55">
        <v>10135</v>
      </c>
      <c r="AL27" s="55">
        <v>7465</v>
      </c>
      <c r="AM27" s="55">
        <v>7977</v>
      </c>
      <c r="AN27" s="55">
        <v>1161</v>
      </c>
      <c r="AO27" s="55">
        <v>0</v>
      </c>
      <c r="AP27" s="55">
        <v>0</v>
      </c>
      <c r="AQ27" s="55">
        <v>0</v>
      </c>
      <c r="AR27" s="55">
        <v>0</v>
      </c>
    </row>
    <row r="28" spans="1:44">
      <c r="A28" s="313"/>
      <c r="B28" s="37" t="s">
        <v>49</v>
      </c>
      <c r="C28" s="38" t="s">
        <v>48</v>
      </c>
      <c r="D28" s="73">
        <f t="shared" si="23"/>
        <v>13362</v>
      </c>
      <c r="E28" s="55">
        <v>0</v>
      </c>
      <c r="F28" s="55">
        <v>0</v>
      </c>
      <c r="G28" s="55">
        <v>288</v>
      </c>
      <c r="H28" s="55">
        <v>0</v>
      </c>
      <c r="I28" s="55">
        <v>96</v>
      </c>
      <c r="J28" s="55">
        <v>96</v>
      </c>
      <c r="K28" s="55">
        <v>672</v>
      </c>
      <c r="L28" s="55">
        <v>240</v>
      </c>
      <c r="M28" s="55">
        <v>96</v>
      </c>
      <c r="N28" s="55">
        <v>0</v>
      </c>
      <c r="O28" s="55">
        <v>18</v>
      </c>
      <c r="P28" s="55">
        <v>144</v>
      </c>
      <c r="Q28" s="55">
        <v>0</v>
      </c>
      <c r="R28" s="55">
        <v>96</v>
      </c>
      <c r="S28" s="55">
        <v>384</v>
      </c>
      <c r="T28" s="55">
        <v>0</v>
      </c>
      <c r="U28" s="55">
        <v>48</v>
      </c>
      <c r="V28" s="55">
        <v>96</v>
      </c>
      <c r="W28" s="55">
        <v>96</v>
      </c>
      <c r="X28" s="55">
        <v>2448</v>
      </c>
      <c r="Y28" s="55">
        <v>0</v>
      </c>
      <c r="Z28" s="55">
        <v>960</v>
      </c>
      <c r="AA28" s="55">
        <v>384</v>
      </c>
      <c r="AB28" s="55">
        <v>0</v>
      </c>
      <c r="AC28" s="55">
        <v>192</v>
      </c>
      <c r="AD28" s="55">
        <v>480</v>
      </c>
      <c r="AE28" s="55">
        <v>816</v>
      </c>
      <c r="AF28" s="55">
        <v>1056</v>
      </c>
      <c r="AG28" s="55">
        <v>672</v>
      </c>
      <c r="AH28" s="55">
        <v>1104</v>
      </c>
      <c r="AI28" s="55">
        <v>864</v>
      </c>
      <c r="AJ28" s="55">
        <v>384</v>
      </c>
      <c r="AK28" s="55">
        <v>720</v>
      </c>
      <c r="AL28" s="55">
        <v>480</v>
      </c>
      <c r="AM28" s="55">
        <v>384</v>
      </c>
      <c r="AN28" s="55">
        <v>48</v>
      </c>
      <c r="AO28" s="55">
        <v>0</v>
      </c>
      <c r="AP28" s="55">
        <v>0</v>
      </c>
      <c r="AQ28" s="55">
        <v>0</v>
      </c>
      <c r="AR28" s="55">
        <v>0</v>
      </c>
    </row>
    <row r="29" spans="1:44">
      <c r="A29" s="313"/>
      <c r="B29" s="37" t="s">
        <v>50</v>
      </c>
      <c r="C29" s="38" t="s">
        <v>48</v>
      </c>
      <c r="D29" s="73">
        <f t="shared" si="23"/>
        <v>227337</v>
      </c>
      <c r="E29" s="55">
        <v>0</v>
      </c>
      <c r="F29" s="55">
        <v>0</v>
      </c>
      <c r="G29" s="55">
        <v>49403</v>
      </c>
      <c r="H29" s="55">
        <v>0</v>
      </c>
      <c r="I29" s="55">
        <v>7540</v>
      </c>
      <c r="J29" s="55">
        <v>47118</v>
      </c>
      <c r="K29" s="55">
        <v>24466</v>
      </c>
      <c r="L29" s="55">
        <v>24504</v>
      </c>
      <c r="M29" s="55">
        <v>7625</v>
      </c>
      <c r="N29" s="55">
        <v>0</v>
      </c>
      <c r="O29" s="55">
        <v>0</v>
      </c>
      <c r="P29" s="55">
        <v>0</v>
      </c>
      <c r="Q29" s="55">
        <v>0</v>
      </c>
      <c r="R29" s="55">
        <v>552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46</v>
      </c>
      <c r="AF29" s="55">
        <v>9294</v>
      </c>
      <c r="AG29" s="55">
        <v>3785</v>
      </c>
      <c r="AH29" s="55">
        <v>9135</v>
      </c>
      <c r="AI29" s="55">
        <v>955</v>
      </c>
      <c r="AJ29" s="55">
        <v>3648</v>
      </c>
      <c r="AK29" s="55">
        <v>1551</v>
      </c>
      <c r="AL29" s="55">
        <v>18759</v>
      </c>
      <c r="AM29" s="55">
        <v>14253</v>
      </c>
      <c r="AN29" s="55">
        <v>4703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51</v>
      </c>
      <c r="C30" s="38" t="s">
        <v>48</v>
      </c>
      <c r="D30" s="73">
        <f t="shared" si="2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</row>
    <row r="31" spans="1:44">
      <c r="A31" s="313"/>
      <c r="B31" s="37" t="s">
        <v>52</v>
      </c>
      <c r="C31" s="38" t="s">
        <v>48</v>
      </c>
      <c r="D31" s="73">
        <f t="shared" si="23"/>
        <v>127724</v>
      </c>
      <c r="E31" s="55">
        <v>0</v>
      </c>
      <c r="F31" s="55">
        <v>0</v>
      </c>
      <c r="G31" s="55">
        <v>738</v>
      </c>
      <c r="H31" s="55">
        <v>0</v>
      </c>
      <c r="I31" s="55">
        <v>486</v>
      </c>
      <c r="J31" s="55">
        <v>108</v>
      </c>
      <c r="K31" s="55">
        <v>1728</v>
      </c>
      <c r="L31" s="55">
        <v>2970</v>
      </c>
      <c r="M31" s="55">
        <v>1404</v>
      </c>
      <c r="N31" s="55">
        <v>248</v>
      </c>
      <c r="O31" s="55">
        <v>8838</v>
      </c>
      <c r="P31" s="55">
        <v>694</v>
      </c>
      <c r="Q31" s="55">
        <v>12708</v>
      </c>
      <c r="R31" s="55">
        <v>3472</v>
      </c>
      <c r="S31" s="55">
        <v>5160</v>
      </c>
      <c r="T31" s="55">
        <v>600</v>
      </c>
      <c r="U31" s="55">
        <v>4712</v>
      </c>
      <c r="V31" s="55">
        <v>20812</v>
      </c>
      <c r="W31" s="55">
        <v>1468</v>
      </c>
      <c r="X31" s="55">
        <v>2580</v>
      </c>
      <c r="Y31" s="55">
        <v>480</v>
      </c>
      <c r="Z31" s="55">
        <v>5106</v>
      </c>
      <c r="AA31" s="55">
        <v>2016</v>
      </c>
      <c r="AB31" s="55">
        <v>812</v>
      </c>
      <c r="AC31" s="55">
        <v>488</v>
      </c>
      <c r="AD31" s="55">
        <v>1224</v>
      </c>
      <c r="AE31" s="55">
        <v>2436</v>
      </c>
      <c r="AF31" s="55">
        <v>5320</v>
      </c>
      <c r="AG31" s="55">
        <v>2466</v>
      </c>
      <c r="AH31" s="55">
        <v>5248</v>
      </c>
      <c r="AI31" s="55">
        <v>2712</v>
      </c>
      <c r="AJ31" s="55">
        <v>1606</v>
      </c>
      <c r="AK31" s="55">
        <v>3034</v>
      </c>
      <c r="AL31" s="55">
        <v>6322</v>
      </c>
      <c r="AM31" s="55">
        <v>13572</v>
      </c>
      <c r="AN31" s="55">
        <v>6156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53</v>
      </c>
      <c r="C32" s="38" t="s">
        <v>48</v>
      </c>
      <c r="D32" s="73">
        <f t="shared" si="2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54</v>
      </c>
      <c r="C33" s="38" t="s">
        <v>48</v>
      </c>
      <c r="D33" s="73">
        <f t="shared" si="2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</row>
    <row r="34" spans="1:44">
      <c r="A34" s="313"/>
      <c r="B34" s="37" t="s">
        <v>55</v>
      </c>
      <c r="C34" s="38" t="s">
        <v>48</v>
      </c>
      <c r="D34" s="73">
        <f t="shared" si="23"/>
        <v>8719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1929</v>
      </c>
      <c r="P34" s="55">
        <v>1050</v>
      </c>
      <c r="Q34" s="55">
        <v>560</v>
      </c>
      <c r="R34" s="55">
        <v>84</v>
      </c>
      <c r="S34" s="55">
        <v>1013</v>
      </c>
      <c r="T34" s="55">
        <v>166</v>
      </c>
      <c r="U34" s="55">
        <v>100</v>
      </c>
      <c r="V34" s="55">
        <v>1437</v>
      </c>
      <c r="W34" s="55">
        <v>355</v>
      </c>
      <c r="X34" s="55">
        <v>1095</v>
      </c>
      <c r="Y34" s="55">
        <v>296</v>
      </c>
      <c r="Z34" s="55">
        <v>421</v>
      </c>
      <c r="AA34" s="55">
        <v>150</v>
      </c>
      <c r="AB34" s="55">
        <v>0</v>
      </c>
      <c r="AC34" s="55">
        <v>0</v>
      </c>
      <c r="AD34" s="55">
        <v>0</v>
      </c>
      <c r="AE34" s="55">
        <v>63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</row>
    <row r="35" spans="1:44">
      <c r="A35" s="313"/>
      <c r="B35" s="37" t="s">
        <v>56</v>
      </c>
      <c r="C35" s="38" t="s">
        <v>48</v>
      </c>
      <c r="D35" s="73">
        <f t="shared" si="23"/>
        <v>2248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481</v>
      </c>
      <c r="P35" s="55">
        <v>279</v>
      </c>
      <c r="Q35" s="55">
        <v>148</v>
      </c>
      <c r="R35" s="55">
        <v>0</v>
      </c>
      <c r="S35" s="55">
        <v>300</v>
      </c>
      <c r="T35" s="55">
        <v>0</v>
      </c>
      <c r="U35" s="55">
        <v>0</v>
      </c>
      <c r="V35" s="55">
        <v>440</v>
      </c>
      <c r="W35" s="55">
        <v>0</v>
      </c>
      <c r="X35" s="55">
        <v>320</v>
      </c>
      <c r="Y35" s="55">
        <v>80</v>
      </c>
      <c r="Z35" s="55">
        <v>120</v>
      </c>
      <c r="AA35" s="55">
        <v>80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57</v>
      </c>
      <c r="C36" s="38" t="s">
        <v>48</v>
      </c>
      <c r="D36" s="73">
        <f t="shared" si="2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</row>
    <row r="38" spans="1:44">
      <c r="A38" s="314"/>
      <c r="B38" s="39" t="s">
        <v>59</v>
      </c>
      <c r="C38" s="40" t="s">
        <v>48</v>
      </c>
      <c r="D38" s="74">
        <f>SUM(E38:AR38)</f>
        <v>10589</v>
      </c>
      <c r="E38" s="55">
        <v>0</v>
      </c>
      <c r="F38" s="55">
        <v>0</v>
      </c>
      <c r="G38" s="55">
        <v>0</v>
      </c>
      <c r="H38" s="55">
        <v>0</v>
      </c>
      <c r="I38" s="55">
        <v>56</v>
      </c>
      <c r="J38" s="55">
        <v>604</v>
      </c>
      <c r="K38" s="55">
        <v>478</v>
      </c>
      <c r="L38" s="55">
        <v>294</v>
      </c>
      <c r="M38" s="55">
        <v>342</v>
      </c>
      <c r="N38" s="55">
        <v>66</v>
      </c>
      <c r="O38" s="55">
        <v>0</v>
      </c>
      <c r="P38" s="55">
        <v>50</v>
      </c>
      <c r="Q38" s="55">
        <v>50</v>
      </c>
      <c r="R38" s="55">
        <v>858</v>
      </c>
      <c r="S38" s="55">
        <v>675</v>
      </c>
      <c r="T38" s="55">
        <v>1392</v>
      </c>
      <c r="U38" s="55">
        <v>2050</v>
      </c>
      <c r="V38" s="55">
        <v>150</v>
      </c>
      <c r="W38" s="55">
        <v>100</v>
      </c>
      <c r="X38" s="55">
        <v>50</v>
      </c>
      <c r="Y38" s="55">
        <v>0</v>
      </c>
      <c r="Z38" s="55">
        <v>50</v>
      </c>
      <c r="AA38" s="55">
        <v>188</v>
      </c>
      <c r="AB38" s="55">
        <v>166</v>
      </c>
      <c r="AC38" s="55">
        <v>150</v>
      </c>
      <c r="AD38" s="55">
        <v>350</v>
      </c>
      <c r="AE38" s="55">
        <v>676</v>
      </c>
      <c r="AF38" s="55">
        <v>244</v>
      </c>
      <c r="AG38" s="55">
        <v>300</v>
      </c>
      <c r="AH38" s="55">
        <v>450</v>
      </c>
      <c r="AI38" s="55">
        <v>200</v>
      </c>
      <c r="AJ38" s="55">
        <v>250</v>
      </c>
      <c r="AK38" s="55">
        <v>200</v>
      </c>
      <c r="AL38" s="55">
        <v>150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</row>
    <row r="39" spans="1:44">
      <c r="A39" s="164"/>
      <c r="B39" s="94" t="s">
        <v>149</v>
      </c>
      <c r="C39" s="166"/>
      <c r="D39" s="180">
        <f t="shared" ref="D39:O39" si="24">D37/D26</f>
        <v>0</v>
      </c>
      <c r="E39" s="170" t="e">
        <f t="shared" si="24"/>
        <v>#DIV/0!</v>
      </c>
      <c r="F39" s="170" t="e">
        <f t="shared" si="24"/>
        <v>#DIV/0!</v>
      </c>
      <c r="G39" s="170">
        <f t="shared" si="24"/>
        <v>0</v>
      </c>
      <c r="H39" s="170" t="e">
        <f t="shared" si="24"/>
        <v>#DIV/0!</v>
      </c>
      <c r="I39" s="170">
        <f t="shared" si="24"/>
        <v>0</v>
      </c>
      <c r="J39" s="170">
        <f t="shared" si="24"/>
        <v>0</v>
      </c>
      <c r="K39" s="170">
        <f t="shared" si="24"/>
        <v>0</v>
      </c>
      <c r="L39" s="170">
        <f t="shared" si="24"/>
        <v>0</v>
      </c>
      <c r="M39" s="170">
        <f t="shared" si="24"/>
        <v>0</v>
      </c>
      <c r="N39" s="170">
        <f t="shared" si="24"/>
        <v>0</v>
      </c>
      <c r="O39" s="170">
        <f t="shared" si="24"/>
        <v>0</v>
      </c>
      <c r="P39" s="170">
        <f t="shared" ref="P39:U39" si="25">P37/P26</f>
        <v>0</v>
      </c>
      <c r="Q39" s="170">
        <f t="shared" si="25"/>
        <v>0</v>
      </c>
      <c r="R39" s="170">
        <f t="shared" si="25"/>
        <v>0</v>
      </c>
      <c r="S39" s="170">
        <f t="shared" si="25"/>
        <v>0</v>
      </c>
      <c r="T39" s="170">
        <f t="shared" si="25"/>
        <v>0</v>
      </c>
      <c r="U39" s="170">
        <f t="shared" si="25"/>
        <v>0</v>
      </c>
      <c r="V39" s="170">
        <f t="shared" ref="V39:AJ39" si="26">V37/V26</f>
        <v>0</v>
      </c>
      <c r="W39" s="170">
        <f t="shared" si="26"/>
        <v>0</v>
      </c>
      <c r="X39" s="170">
        <f t="shared" si="26"/>
        <v>0</v>
      </c>
      <c r="Y39" s="170">
        <f t="shared" si="26"/>
        <v>0</v>
      </c>
      <c r="Z39" s="170">
        <f t="shared" si="26"/>
        <v>0</v>
      </c>
      <c r="AA39" s="170">
        <f t="shared" si="26"/>
        <v>0</v>
      </c>
      <c r="AB39" s="170">
        <f t="shared" si="26"/>
        <v>0</v>
      </c>
      <c r="AC39" s="170">
        <f t="shared" si="26"/>
        <v>0</v>
      </c>
      <c r="AD39" s="170">
        <f t="shared" si="26"/>
        <v>0</v>
      </c>
      <c r="AE39" s="170">
        <f t="shared" si="26"/>
        <v>0</v>
      </c>
      <c r="AF39" s="170">
        <f t="shared" si="26"/>
        <v>0</v>
      </c>
      <c r="AG39" s="170">
        <f t="shared" si="26"/>
        <v>0</v>
      </c>
      <c r="AH39" s="170">
        <f t="shared" si="26"/>
        <v>0</v>
      </c>
      <c r="AI39" s="170">
        <f t="shared" si="26"/>
        <v>0</v>
      </c>
      <c r="AJ39" s="170">
        <f t="shared" si="26"/>
        <v>0</v>
      </c>
      <c r="AK39" s="170">
        <f t="shared" ref="AK39:AR39" si="27">AK37/AK26</f>
        <v>0</v>
      </c>
      <c r="AL39" s="170">
        <f t="shared" si="27"/>
        <v>0</v>
      </c>
      <c r="AM39" s="170">
        <f t="shared" si="27"/>
        <v>0</v>
      </c>
      <c r="AN39" s="170">
        <f t="shared" si="27"/>
        <v>0</v>
      </c>
      <c r="AO39" s="170" t="e">
        <f t="shared" si="27"/>
        <v>#DIV/0!</v>
      </c>
      <c r="AP39" s="170" t="e">
        <f t="shared" si="27"/>
        <v>#DIV/0!</v>
      </c>
      <c r="AQ39" s="170" t="e">
        <f t="shared" si="27"/>
        <v>#DIV/0!</v>
      </c>
      <c r="AR39" s="170" t="e">
        <f t="shared" si="27"/>
        <v>#DIV/0!</v>
      </c>
    </row>
    <row r="40" spans="1:4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</row>
    <row r="41" spans="1:44">
      <c r="A41" s="324" t="s">
        <v>60</v>
      </c>
      <c r="B41" s="50" t="s">
        <v>61</v>
      </c>
      <c r="C41" s="91" t="s">
        <v>62</v>
      </c>
      <c r="D41" s="81">
        <f>SUM(E41:AR41)</f>
        <v>473000</v>
      </c>
      <c r="E41" s="86">
        <v>3000</v>
      </c>
      <c r="F41" s="86">
        <v>3000</v>
      </c>
      <c r="G41" s="86">
        <v>13000</v>
      </c>
      <c r="H41" s="86">
        <v>7000</v>
      </c>
      <c r="I41" s="86">
        <v>13000</v>
      </c>
      <c r="J41" s="86">
        <v>14000</v>
      </c>
      <c r="K41" s="86">
        <v>14000</v>
      </c>
      <c r="L41" s="86">
        <v>13000</v>
      </c>
      <c r="M41" s="86">
        <v>14000</v>
      </c>
      <c r="N41" s="86">
        <v>14000</v>
      </c>
      <c r="O41" s="86">
        <v>15000</v>
      </c>
      <c r="P41" s="86">
        <v>17000</v>
      </c>
      <c r="Q41" s="86">
        <v>17000</v>
      </c>
      <c r="R41" s="86">
        <v>17000</v>
      </c>
      <c r="S41" s="86">
        <v>18000</v>
      </c>
      <c r="T41" s="86">
        <v>16000</v>
      </c>
      <c r="U41" s="86">
        <v>17000</v>
      </c>
      <c r="V41" s="86">
        <v>17000</v>
      </c>
      <c r="W41" s="86">
        <v>13000</v>
      </c>
      <c r="X41" s="86">
        <v>13000</v>
      </c>
      <c r="Y41" s="86">
        <v>16000</v>
      </c>
      <c r="Z41" s="86">
        <v>13000</v>
      </c>
      <c r="AA41" s="86">
        <v>13000</v>
      </c>
      <c r="AB41" s="86">
        <v>13000</v>
      </c>
      <c r="AC41" s="86">
        <v>14000</v>
      </c>
      <c r="AD41" s="86">
        <v>13000</v>
      </c>
      <c r="AE41" s="86">
        <v>13000</v>
      </c>
      <c r="AF41" s="86">
        <v>13000</v>
      </c>
      <c r="AG41" s="86">
        <v>13000</v>
      </c>
      <c r="AH41" s="86">
        <v>14000</v>
      </c>
      <c r="AI41" s="86">
        <v>13000</v>
      </c>
      <c r="AJ41" s="86">
        <v>13000</v>
      </c>
      <c r="AK41" s="86">
        <v>14000</v>
      </c>
      <c r="AL41" s="86">
        <v>13000</v>
      </c>
      <c r="AM41" s="86">
        <v>10000</v>
      </c>
      <c r="AN41" s="86">
        <v>7000</v>
      </c>
      <c r="AO41" s="86">
        <v>0</v>
      </c>
      <c r="AP41" s="86">
        <v>0</v>
      </c>
      <c r="AQ41" s="86">
        <v>0</v>
      </c>
      <c r="AR41" s="86">
        <v>0</v>
      </c>
    </row>
    <row r="42" spans="1:44">
      <c r="A42" s="325"/>
      <c r="B42" s="39" t="s">
        <v>63</v>
      </c>
      <c r="C42" s="92" t="s">
        <v>62</v>
      </c>
      <c r="D42" s="82">
        <f>SUM(E42:AR42)</f>
        <v>1700</v>
      </c>
      <c r="E42" s="87">
        <v>0</v>
      </c>
      <c r="F42" s="87">
        <v>0</v>
      </c>
      <c r="G42" s="87">
        <v>300</v>
      </c>
      <c r="H42" s="87">
        <v>0</v>
      </c>
      <c r="I42" s="87"/>
      <c r="J42" s="87">
        <v>200</v>
      </c>
      <c r="K42" s="87">
        <v>0</v>
      </c>
      <c r="L42" s="87">
        <v>0</v>
      </c>
      <c r="M42" s="87">
        <v>0</v>
      </c>
      <c r="N42" s="87">
        <v>0</v>
      </c>
      <c r="O42" s="87">
        <v>200</v>
      </c>
      <c r="P42" s="87">
        <v>0</v>
      </c>
      <c r="Q42" s="87">
        <v>0</v>
      </c>
      <c r="R42" s="87">
        <v>200</v>
      </c>
      <c r="S42" s="87">
        <v>0</v>
      </c>
      <c r="T42" s="87">
        <v>0</v>
      </c>
      <c r="U42" s="87">
        <v>0</v>
      </c>
      <c r="V42" s="87">
        <v>200</v>
      </c>
      <c r="W42" s="87">
        <v>0</v>
      </c>
      <c r="X42" s="87">
        <v>0</v>
      </c>
      <c r="Y42" s="87">
        <v>0</v>
      </c>
      <c r="Z42" s="87">
        <v>200</v>
      </c>
      <c r="AA42" s="87">
        <v>0</v>
      </c>
      <c r="AB42" s="87">
        <v>0</v>
      </c>
      <c r="AC42" s="87">
        <v>200</v>
      </c>
      <c r="AD42" s="87">
        <v>0</v>
      </c>
      <c r="AE42" s="87">
        <v>0</v>
      </c>
      <c r="AF42" s="87">
        <v>0</v>
      </c>
      <c r="AG42" s="87">
        <v>0</v>
      </c>
      <c r="AH42" s="87">
        <v>200</v>
      </c>
      <c r="AI42" s="87">
        <v>0</v>
      </c>
      <c r="AJ42" s="87">
        <v>0</v>
      </c>
      <c r="AK42" s="87">
        <v>0</v>
      </c>
      <c r="AL42" s="87"/>
      <c r="AM42" s="87">
        <v>0</v>
      </c>
      <c r="AN42" s="87">
        <v>0</v>
      </c>
      <c r="AO42" s="87">
        <v>0</v>
      </c>
      <c r="AP42" s="87">
        <v>0</v>
      </c>
      <c r="AQ42" s="87">
        <v>0</v>
      </c>
      <c r="AR42" s="87">
        <v>0</v>
      </c>
    </row>
    <row r="44" spans="1:44">
      <c r="B44" s="167" t="s">
        <v>240</v>
      </c>
      <c r="C44" s="184" t="s">
        <v>241</v>
      </c>
      <c r="D44" s="187">
        <f>D41/D26</f>
        <v>0.64980114436438319</v>
      </c>
      <c r="E44" s="185" t="e">
        <f t="shared" ref="E44:AR44" si="28">E41/E26</f>
        <v>#DIV/0!</v>
      </c>
      <c r="F44" s="188" t="e">
        <f t="shared" si="28"/>
        <v>#DIV/0!</v>
      </c>
      <c r="G44" s="186">
        <f t="shared" si="28"/>
        <v>0.24239712106803901</v>
      </c>
      <c r="H44" s="188" t="e">
        <f t="shared" si="28"/>
        <v>#DIV/0!</v>
      </c>
      <c r="I44" s="186">
        <f t="shared" si="28"/>
        <v>1.311938641638914</v>
      </c>
      <c r="J44" s="188">
        <f t="shared" si="28"/>
        <v>0.2795806290564154</v>
      </c>
      <c r="K44" s="186">
        <f t="shared" si="28"/>
        <v>0.45377933359263584</v>
      </c>
      <c r="L44" s="188">
        <f t="shared" si="28"/>
        <v>0.4318363008238108</v>
      </c>
      <c r="M44" s="186">
        <f t="shared" si="28"/>
        <v>1.3872374157748713</v>
      </c>
      <c r="N44" s="188">
        <f t="shared" si="28"/>
        <v>1.6082711085582999</v>
      </c>
      <c r="O44" s="186">
        <f t="shared" si="28"/>
        <v>0.5780346820809249</v>
      </c>
      <c r="P44" s="188">
        <f t="shared" si="28"/>
        <v>1.0865396906557587</v>
      </c>
      <c r="Q44" s="186">
        <f t="shared" si="28"/>
        <v>0.66434796201492829</v>
      </c>
      <c r="R44" s="188">
        <f t="shared" si="28"/>
        <v>1.2837939888234406</v>
      </c>
      <c r="S44" s="186">
        <f t="shared" si="28"/>
        <v>0.88753020068043986</v>
      </c>
      <c r="T44" s="188">
        <f t="shared" si="28"/>
        <v>1.583217890362161</v>
      </c>
      <c r="U44" s="186">
        <f t="shared" si="28"/>
        <v>1.144858239612095</v>
      </c>
      <c r="V44" s="188">
        <f t="shared" si="28"/>
        <v>0.46551110380897615</v>
      </c>
      <c r="W44" s="186">
        <f t="shared" si="28"/>
        <v>0.56992547128452431</v>
      </c>
      <c r="X44" s="188">
        <f t="shared" si="28"/>
        <v>0.42846313569097921</v>
      </c>
      <c r="Y44" s="186">
        <f t="shared" si="28"/>
        <v>4.1536863966770508</v>
      </c>
      <c r="Z44" s="188">
        <f t="shared" si="28"/>
        <v>0.5274047628707047</v>
      </c>
      <c r="AA44" s="186">
        <f t="shared" si="28"/>
        <v>0.44912765589911902</v>
      </c>
      <c r="AB44" s="188">
        <f t="shared" si="28"/>
        <v>0.77760497667185069</v>
      </c>
      <c r="AC44" s="186">
        <f t="shared" si="28"/>
        <v>1.6395362454619979</v>
      </c>
      <c r="AD44" s="188">
        <f t="shared" si="28"/>
        <v>0.85190039318479682</v>
      </c>
      <c r="AE44" s="186">
        <f t="shared" si="28"/>
        <v>0.745669381668005</v>
      </c>
      <c r="AF44" s="188">
        <f t="shared" si="28"/>
        <v>0.46324341659836799</v>
      </c>
      <c r="AG44" s="186">
        <f t="shared" si="28"/>
        <v>0.58046079657081617</v>
      </c>
      <c r="AH44" s="188">
        <f t="shared" si="28"/>
        <v>0.52450172336280532</v>
      </c>
      <c r="AI44" s="186">
        <f t="shared" si="28"/>
        <v>0.85695451549110091</v>
      </c>
      <c r="AJ44" s="188">
        <f t="shared" si="28"/>
        <v>0.90115070012477472</v>
      </c>
      <c r="AK44" s="186">
        <f t="shared" si="28"/>
        <v>0.8951406649616368</v>
      </c>
      <c r="AL44" s="188">
        <f t="shared" si="28"/>
        <v>0.39184952978056425</v>
      </c>
      <c r="AM44" s="186">
        <f t="shared" si="28"/>
        <v>0.27634996960150332</v>
      </c>
      <c r="AN44" s="188">
        <f t="shared" si="28"/>
        <v>0.58004640371229699</v>
      </c>
      <c r="AO44" s="186" t="e">
        <f t="shared" si="28"/>
        <v>#DIV/0!</v>
      </c>
      <c r="AP44" s="188" t="e">
        <f t="shared" si="28"/>
        <v>#DIV/0!</v>
      </c>
      <c r="AQ44" s="186" t="e">
        <f t="shared" si="28"/>
        <v>#DIV/0!</v>
      </c>
      <c r="AR44" s="188" t="e">
        <f t="shared" si="28"/>
        <v>#DIV/0!</v>
      </c>
    </row>
    <row r="46" spans="1:44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</row>
    <row r="47" spans="1:44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</row>
    <row r="48" spans="1:44">
      <c r="A48" s="313"/>
      <c r="B48" s="94" t="s">
        <v>67</v>
      </c>
      <c r="C48" s="38" t="s">
        <v>8</v>
      </c>
      <c r="D48" s="182">
        <f t="shared" ref="D48:D51" si="29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</row>
    <row r="49" spans="1:44">
      <c r="A49" s="313"/>
      <c r="B49" s="95" t="s">
        <v>68</v>
      </c>
      <c r="C49" s="40" t="s">
        <v>8</v>
      </c>
      <c r="D49" s="182">
        <f t="shared" si="29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</row>
    <row r="50" spans="1:44">
      <c r="A50" s="313"/>
      <c r="B50" s="93" t="s">
        <v>69</v>
      </c>
      <c r="C50" s="91" t="s">
        <v>48</v>
      </c>
      <c r="D50" s="195">
        <f>SUM(E50:AR50)</f>
        <v>300000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>
        <v>255000</v>
      </c>
      <c r="AD50" s="86">
        <v>0</v>
      </c>
      <c r="AE50" s="86">
        <v>0</v>
      </c>
      <c r="AF50" s="86">
        <v>0</v>
      </c>
      <c r="AG50" s="86">
        <v>0</v>
      </c>
      <c r="AH50" s="86">
        <v>45000</v>
      </c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</row>
    <row r="51" spans="1:44">
      <c r="A51" s="314"/>
      <c r="B51" s="95" t="s">
        <v>70</v>
      </c>
      <c r="C51" s="92" t="s">
        <v>48</v>
      </c>
      <c r="D51" s="183">
        <f t="shared" si="29"/>
        <v>11300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9500</v>
      </c>
      <c r="AD51" s="87">
        <v>0</v>
      </c>
      <c r="AE51" s="87">
        <v>0</v>
      </c>
      <c r="AF51" s="87">
        <v>0</v>
      </c>
      <c r="AG51" s="87">
        <v>0</v>
      </c>
      <c r="AH51" s="87">
        <v>1800</v>
      </c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</row>
    <row r="52" spans="1:4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</row>
    <row r="54" spans="1:4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</row>
    <row r="55" spans="1:4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</row>
    <row r="56" spans="1:4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</row>
    <row r="57" spans="1:4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</row>
    <row r="59" spans="1:44" ht="15.75">
      <c r="B59" s="53" t="s">
        <v>83</v>
      </c>
      <c r="C59" s="99" t="s">
        <v>84</v>
      </c>
      <c r="D59" s="100">
        <f>SUM(D60:D72)</f>
        <v>26476417.719999999</v>
      </c>
      <c r="E59" s="101">
        <f>SUM(E60:E72)</f>
        <v>0</v>
      </c>
      <c r="F59" s="101">
        <f t="shared" ref="F59:O59" si="30">SUM(F60:F72)</f>
        <v>0</v>
      </c>
      <c r="G59" s="101">
        <f t="shared" si="30"/>
        <v>1322571</v>
      </c>
      <c r="H59" s="101">
        <f t="shared" si="30"/>
        <v>0</v>
      </c>
      <c r="I59" s="101">
        <f t="shared" si="30"/>
        <v>273543</v>
      </c>
      <c r="J59" s="101">
        <f t="shared" si="30"/>
        <v>1206595</v>
      </c>
      <c r="K59" s="101">
        <f t="shared" si="30"/>
        <v>791250</v>
      </c>
      <c r="L59" s="101">
        <f t="shared" si="30"/>
        <v>714412</v>
      </c>
      <c r="M59" s="101">
        <f t="shared" si="30"/>
        <v>228348</v>
      </c>
      <c r="N59" s="101">
        <f t="shared" si="30"/>
        <v>447731</v>
      </c>
      <c r="O59" s="101">
        <f t="shared" si="30"/>
        <v>976832.59</v>
      </c>
      <c r="P59" s="101">
        <f t="shared" ref="P59:U59" si="31">SUM(P60:P72)</f>
        <v>783826.81</v>
      </c>
      <c r="Q59" s="101">
        <f t="shared" si="31"/>
        <v>802052.72</v>
      </c>
      <c r="R59" s="101">
        <f t="shared" si="31"/>
        <v>495092</v>
      </c>
      <c r="S59" s="101">
        <f t="shared" si="31"/>
        <v>803852</v>
      </c>
      <c r="T59" s="101">
        <f t="shared" si="31"/>
        <v>446680</v>
      </c>
      <c r="U59" s="101">
        <f t="shared" si="31"/>
        <v>490823</v>
      </c>
      <c r="V59" s="101">
        <f t="shared" ref="V59:AJ59" si="32">SUM(V60:V72)</f>
        <v>1016245.6</v>
      </c>
      <c r="W59" s="101">
        <f t="shared" si="32"/>
        <v>1138225</v>
      </c>
      <c r="X59" s="101">
        <f t="shared" si="32"/>
        <v>1431994.8</v>
      </c>
      <c r="Y59" s="101">
        <f t="shared" si="32"/>
        <v>180579.20000000001</v>
      </c>
      <c r="Z59" s="101">
        <f t="shared" si="32"/>
        <v>1060092.8</v>
      </c>
      <c r="AA59" s="101">
        <f t="shared" si="32"/>
        <v>1428374.2</v>
      </c>
      <c r="AB59" s="101">
        <f t="shared" si="32"/>
        <v>843668</v>
      </c>
      <c r="AC59" s="101">
        <f t="shared" si="32"/>
        <v>420801</v>
      </c>
      <c r="AD59" s="101">
        <f t="shared" si="32"/>
        <v>730318</v>
      </c>
      <c r="AE59" s="101">
        <f t="shared" si="32"/>
        <v>770129</v>
      </c>
      <c r="AF59" s="101">
        <f t="shared" si="32"/>
        <v>946603</v>
      </c>
      <c r="AG59" s="101">
        <f t="shared" si="32"/>
        <v>939788</v>
      </c>
      <c r="AH59" s="101">
        <f t="shared" si="32"/>
        <v>871528</v>
      </c>
      <c r="AI59" s="101">
        <f t="shared" si="32"/>
        <v>631600</v>
      </c>
      <c r="AJ59" s="101">
        <f t="shared" si="32"/>
        <v>566766</v>
      </c>
      <c r="AK59" s="101">
        <f t="shared" ref="AK59" si="33">SUM(AK60:AK72)</f>
        <v>627808</v>
      </c>
      <c r="AL59" s="101">
        <f t="shared" ref="AL59" si="34">SUM(AL60:AL72)</f>
        <v>906882</v>
      </c>
      <c r="AM59" s="101">
        <f t="shared" ref="AM59" si="35">SUM(AM60:AM72)</f>
        <v>898608</v>
      </c>
      <c r="AN59" s="101">
        <f t="shared" ref="AN59" si="36">SUM(AN60:AN72)</f>
        <v>232798</v>
      </c>
      <c r="AO59" s="101">
        <f t="shared" ref="AO59" si="37">SUM(AO60:AO72)</f>
        <v>0</v>
      </c>
      <c r="AP59" s="101">
        <f t="shared" ref="AP59" si="38">SUM(AP60:AP72)</f>
        <v>0</v>
      </c>
      <c r="AQ59" s="101">
        <f t="shared" ref="AQ59" si="39">SUM(AQ60:AQ72)</f>
        <v>0</v>
      </c>
      <c r="AR59" s="101">
        <f t="shared" ref="AR59" si="40">SUM(AR60:AR72)</f>
        <v>0</v>
      </c>
    </row>
    <row r="60" spans="1:44">
      <c r="B60" s="96" t="s">
        <v>47</v>
      </c>
      <c r="C60" s="111">
        <v>53</v>
      </c>
      <c r="D60" s="97">
        <f>D27*$C60</f>
        <v>17910608</v>
      </c>
      <c r="E60" s="104">
        <f t="shared" ref="E60:AJ60" si="41">E27*$C60</f>
        <v>0</v>
      </c>
      <c r="F60" s="104">
        <f t="shared" si="41"/>
        <v>0</v>
      </c>
      <c r="G60" s="104">
        <f t="shared" si="41"/>
        <v>169706</v>
      </c>
      <c r="H60" s="104">
        <f t="shared" si="41"/>
        <v>0</v>
      </c>
      <c r="I60" s="104">
        <f t="shared" si="41"/>
        <v>91743</v>
      </c>
      <c r="J60" s="104">
        <f t="shared" si="41"/>
        <v>113897</v>
      </c>
      <c r="K60" s="104">
        <f t="shared" si="41"/>
        <v>185924</v>
      </c>
      <c r="L60" s="104">
        <f t="shared" si="41"/>
        <v>111088</v>
      </c>
      <c r="M60" s="104">
        <f t="shared" si="41"/>
        <v>33125</v>
      </c>
      <c r="N60" s="104">
        <f t="shared" si="41"/>
        <v>444723</v>
      </c>
      <c r="O60" s="104">
        <f t="shared" si="41"/>
        <v>778252</v>
      </c>
      <c r="P60" s="104">
        <f t="shared" si="41"/>
        <v>711737</v>
      </c>
      <c r="Q60" s="104">
        <f t="shared" si="41"/>
        <v>642519</v>
      </c>
      <c r="R60" s="104">
        <f t="shared" si="41"/>
        <v>433540</v>
      </c>
      <c r="S60" s="104">
        <f t="shared" si="41"/>
        <v>675697</v>
      </c>
      <c r="T60" s="104">
        <f t="shared" si="41"/>
        <v>421244</v>
      </c>
      <c r="U60" s="104">
        <f t="shared" si="41"/>
        <v>420767</v>
      </c>
      <c r="V60" s="104">
        <f t="shared" si="41"/>
        <v>719952</v>
      </c>
      <c r="W60" s="104">
        <f t="shared" si="41"/>
        <v>1101923</v>
      </c>
      <c r="X60" s="104">
        <f t="shared" si="41"/>
        <v>1263944</v>
      </c>
      <c r="Y60" s="104">
        <f t="shared" si="41"/>
        <v>158788</v>
      </c>
      <c r="Z60" s="104">
        <f t="shared" si="41"/>
        <v>953576</v>
      </c>
      <c r="AA60" s="104">
        <f t="shared" si="41"/>
        <v>1384731</v>
      </c>
      <c r="AB60" s="104">
        <f t="shared" si="41"/>
        <v>834220</v>
      </c>
      <c r="AC60" s="104">
        <f t="shared" si="41"/>
        <v>408577</v>
      </c>
      <c r="AD60" s="104">
        <f t="shared" si="41"/>
        <v>699918</v>
      </c>
      <c r="AE60" s="104">
        <f t="shared" si="41"/>
        <v>710041</v>
      </c>
      <c r="AF60" s="104">
        <f t="shared" si="41"/>
        <v>643897</v>
      </c>
      <c r="AG60" s="104">
        <f t="shared" si="41"/>
        <v>804169</v>
      </c>
      <c r="AH60" s="104">
        <f t="shared" si="41"/>
        <v>570015</v>
      </c>
      <c r="AI60" s="104">
        <f t="shared" si="41"/>
        <v>553267</v>
      </c>
      <c r="AJ60" s="104">
        <f t="shared" si="41"/>
        <v>452514</v>
      </c>
      <c r="AK60" s="104">
        <f t="shared" ref="AK60:AR60" si="42">AK27*$C60</f>
        <v>537155</v>
      </c>
      <c r="AL60" s="104">
        <f t="shared" si="42"/>
        <v>395645</v>
      </c>
      <c r="AM60" s="104">
        <f t="shared" si="42"/>
        <v>422781</v>
      </c>
      <c r="AN60" s="104">
        <f t="shared" si="42"/>
        <v>61533</v>
      </c>
      <c r="AO60" s="104">
        <f t="shared" si="42"/>
        <v>0</v>
      </c>
      <c r="AP60" s="104">
        <f t="shared" si="42"/>
        <v>0</v>
      </c>
      <c r="AQ60" s="104">
        <f t="shared" si="42"/>
        <v>0</v>
      </c>
      <c r="AR60" s="104">
        <f t="shared" si="42"/>
        <v>0</v>
      </c>
    </row>
    <row r="61" spans="1:44">
      <c r="B61" s="96" t="s">
        <v>49</v>
      </c>
      <c r="C61" s="111">
        <v>32</v>
      </c>
      <c r="D61" s="97">
        <f t="shared" ref="D61:AJ61" si="43">D28*$C61</f>
        <v>427584</v>
      </c>
      <c r="E61" s="104">
        <f t="shared" si="43"/>
        <v>0</v>
      </c>
      <c r="F61" s="104">
        <f t="shared" si="43"/>
        <v>0</v>
      </c>
      <c r="G61" s="104">
        <f t="shared" si="43"/>
        <v>9216</v>
      </c>
      <c r="H61" s="104">
        <f t="shared" si="43"/>
        <v>0</v>
      </c>
      <c r="I61" s="104">
        <f t="shared" si="43"/>
        <v>3072</v>
      </c>
      <c r="J61" s="104">
        <f t="shared" si="43"/>
        <v>3072</v>
      </c>
      <c r="K61" s="104">
        <f t="shared" si="43"/>
        <v>21504</v>
      </c>
      <c r="L61" s="104">
        <f t="shared" si="43"/>
        <v>7680</v>
      </c>
      <c r="M61" s="104">
        <f t="shared" si="43"/>
        <v>3072</v>
      </c>
      <c r="N61" s="104">
        <f t="shared" si="43"/>
        <v>0</v>
      </c>
      <c r="O61" s="104">
        <f t="shared" si="43"/>
        <v>576</v>
      </c>
      <c r="P61" s="104">
        <f t="shared" si="43"/>
        <v>4608</v>
      </c>
      <c r="Q61" s="104">
        <f t="shared" si="43"/>
        <v>0</v>
      </c>
      <c r="R61" s="104">
        <f t="shared" si="43"/>
        <v>3072</v>
      </c>
      <c r="S61" s="104">
        <f t="shared" si="43"/>
        <v>12288</v>
      </c>
      <c r="T61" s="104">
        <f t="shared" si="43"/>
        <v>0</v>
      </c>
      <c r="U61" s="104">
        <f t="shared" si="43"/>
        <v>1536</v>
      </c>
      <c r="V61" s="104">
        <f t="shared" si="43"/>
        <v>3072</v>
      </c>
      <c r="W61" s="104">
        <f t="shared" si="43"/>
        <v>3072</v>
      </c>
      <c r="X61" s="104">
        <f t="shared" si="43"/>
        <v>78336</v>
      </c>
      <c r="Y61" s="104">
        <f t="shared" si="43"/>
        <v>0</v>
      </c>
      <c r="Z61" s="104">
        <f t="shared" si="43"/>
        <v>30720</v>
      </c>
      <c r="AA61" s="104">
        <f t="shared" si="43"/>
        <v>12288</v>
      </c>
      <c r="AB61" s="104">
        <f t="shared" si="43"/>
        <v>0</v>
      </c>
      <c r="AC61" s="104">
        <f t="shared" si="43"/>
        <v>6144</v>
      </c>
      <c r="AD61" s="104">
        <f t="shared" si="43"/>
        <v>15360</v>
      </c>
      <c r="AE61" s="104">
        <f t="shared" si="43"/>
        <v>26112</v>
      </c>
      <c r="AF61" s="104">
        <f t="shared" si="43"/>
        <v>33792</v>
      </c>
      <c r="AG61" s="104">
        <f t="shared" si="43"/>
        <v>21504</v>
      </c>
      <c r="AH61" s="104">
        <f t="shared" si="43"/>
        <v>35328</v>
      </c>
      <c r="AI61" s="104">
        <f t="shared" si="43"/>
        <v>27648</v>
      </c>
      <c r="AJ61" s="104">
        <f t="shared" si="43"/>
        <v>12288</v>
      </c>
      <c r="AK61" s="104">
        <f t="shared" ref="AK61:AR61" si="44">AK28*$C61</f>
        <v>23040</v>
      </c>
      <c r="AL61" s="104">
        <f t="shared" si="44"/>
        <v>15360</v>
      </c>
      <c r="AM61" s="104">
        <f t="shared" si="44"/>
        <v>12288</v>
      </c>
      <c r="AN61" s="104">
        <f t="shared" si="44"/>
        <v>1536</v>
      </c>
      <c r="AO61" s="104">
        <f t="shared" si="44"/>
        <v>0</v>
      </c>
      <c r="AP61" s="104">
        <f t="shared" si="44"/>
        <v>0</v>
      </c>
      <c r="AQ61" s="104">
        <f t="shared" si="44"/>
        <v>0</v>
      </c>
      <c r="AR61" s="104">
        <f t="shared" si="44"/>
        <v>0</v>
      </c>
    </row>
    <row r="62" spans="1:44">
      <c r="B62" s="96" t="s">
        <v>50</v>
      </c>
      <c r="C62" s="111">
        <v>23</v>
      </c>
      <c r="D62" s="97">
        <f t="shared" ref="D62:AJ62" si="45">D29*$C62</f>
        <v>5228751</v>
      </c>
      <c r="E62" s="104">
        <f t="shared" si="45"/>
        <v>0</v>
      </c>
      <c r="F62" s="104">
        <f t="shared" si="45"/>
        <v>0</v>
      </c>
      <c r="G62" s="104">
        <f t="shared" si="45"/>
        <v>1136269</v>
      </c>
      <c r="H62" s="104">
        <f t="shared" si="45"/>
        <v>0</v>
      </c>
      <c r="I62" s="104">
        <f t="shared" si="45"/>
        <v>173420</v>
      </c>
      <c r="J62" s="104">
        <f t="shared" si="45"/>
        <v>1083714</v>
      </c>
      <c r="K62" s="104">
        <f t="shared" si="45"/>
        <v>562718</v>
      </c>
      <c r="L62" s="104">
        <f t="shared" si="45"/>
        <v>563592</v>
      </c>
      <c r="M62" s="104">
        <f t="shared" si="45"/>
        <v>175375</v>
      </c>
      <c r="N62" s="104">
        <f t="shared" si="45"/>
        <v>0</v>
      </c>
      <c r="O62" s="104">
        <f t="shared" si="45"/>
        <v>0</v>
      </c>
      <c r="P62" s="104">
        <f t="shared" si="45"/>
        <v>0</v>
      </c>
      <c r="Q62" s="104">
        <f t="shared" si="45"/>
        <v>0</v>
      </c>
      <c r="R62" s="104">
        <f t="shared" si="45"/>
        <v>12696</v>
      </c>
      <c r="S62" s="104">
        <f t="shared" si="45"/>
        <v>0</v>
      </c>
      <c r="T62" s="104">
        <f t="shared" si="45"/>
        <v>0</v>
      </c>
      <c r="U62" s="104">
        <f t="shared" si="45"/>
        <v>0</v>
      </c>
      <c r="V62" s="104">
        <f t="shared" si="45"/>
        <v>0</v>
      </c>
      <c r="W62" s="104">
        <f t="shared" si="45"/>
        <v>0</v>
      </c>
      <c r="X62" s="104">
        <f t="shared" si="45"/>
        <v>0</v>
      </c>
      <c r="Y62" s="104">
        <f t="shared" si="45"/>
        <v>0</v>
      </c>
      <c r="Z62" s="104">
        <f t="shared" si="45"/>
        <v>0</v>
      </c>
      <c r="AA62" s="104">
        <f t="shared" si="45"/>
        <v>0</v>
      </c>
      <c r="AB62" s="104">
        <f t="shared" si="45"/>
        <v>0</v>
      </c>
      <c r="AC62" s="104">
        <f t="shared" si="45"/>
        <v>0</v>
      </c>
      <c r="AD62" s="104">
        <f t="shared" si="45"/>
        <v>0</v>
      </c>
      <c r="AE62" s="104">
        <f t="shared" si="45"/>
        <v>1058</v>
      </c>
      <c r="AF62" s="104">
        <f t="shared" si="45"/>
        <v>213762</v>
      </c>
      <c r="AG62" s="104">
        <f t="shared" si="45"/>
        <v>87055</v>
      </c>
      <c r="AH62" s="104">
        <f t="shared" si="45"/>
        <v>210105</v>
      </c>
      <c r="AI62" s="104">
        <f t="shared" si="45"/>
        <v>21965</v>
      </c>
      <c r="AJ62" s="104">
        <f t="shared" si="45"/>
        <v>83904</v>
      </c>
      <c r="AK62" s="104">
        <f t="shared" ref="AK62:AR62" si="46">AK29*$C62</f>
        <v>35673</v>
      </c>
      <c r="AL62" s="104">
        <f t="shared" si="46"/>
        <v>431457</v>
      </c>
      <c r="AM62" s="104">
        <f t="shared" si="46"/>
        <v>327819</v>
      </c>
      <c r="AN62" s="104">
        <f t="shared" si="46"/>
        <v>108169</v>
      </c>
      <c r="AO62" s="104">
        <f t="shared" si="46"/>
        <v>0</v>
      </c>
      <c r="AP62" s="104">
        <f t="shared" si="46"/>
        <v>0</v>
      </c>
      <c r="AQ62" s="104">
        <f t="shared" si="46"/>
        <v>0</v>
      </c>
      <c r="AR62" s="104">
        <f t="shared" si="46"/>
        <v>0</v>
      </c>
    </row>
    <row r="63" spans="1:44">
      <c r="B63" s="96" t="s">
        <v>51</v>
      </c>
      <c r="C63" s="111">
        <v>15</v>
      </c>
      <c r="D63" s="97">
        <f t="shared" ref="D63:AJ63" si="47">D30*$C63</f>
        <v>0</v>
      </c>
      <c r="E63" s="104">
        <f t="shared" si="47"/>
        <v>0</v>
      </c>
      <c r="F63" s="104">
        <f t="shared" si="47"/>
        <v>0</v>
      </c>
      <c r="G63" s="104">
        <f t="shared" si="47"/>
        <v>0</v>
      </c>
      <c r="H63" s="104">
        <f t="shared" si="47"/>
        <v>0</v>
      </c>
      <c r="I63" s="104">
        <f t="shared" si="47"/>
        <v>0</v>
      </c>
      <c r="J63" s="104">
        <f t="shared" si="47"/>
        <v>0</v>
      </c>
      <c r="K63" s="104">
        <f t="shared" si="47"/>
        <v>0</v>
      </c>
      <c r="L63" s="104">
        <f t="shared" si="47"/>
        <v>0</v>
      </c>
      <c r="M63" s="104">
        <f t="shared" si="47"/>
        <v>0</v>
      </c>
      <c r="N63" s="104">
        <f t="shared" si="47"/>
        <v>0</v>
      </c>
      <c r="O63" s="104">
        <f t="shared" si="47"/>
        <v>0</v>
      </c>
      <c r="P63" s="104">
        <f t="shared" si="47"/>
        <v>0</v>
      </c>
      <c r="Q63" s="104">
        <f t="shared" si="47"/>
        <v>0</v>
      </c>
      <c r="R63" s="104">
        <f t="shared" si="47"/>
        <v>0</v>
      </c>
      <c r="S63" s="104">
        <f t="shared" si="47"/>
        <v>0</v>
      </c>
      <c r="T63" s="104">
        <f t="shared" si="47"/>
        <v>0</v>
      </c>
      <c r="U63" s="104">
        <f t="shared" si="47"/>
        <v>0</v>
      </c>
      <c r="V63" s="104">
        <f t="shared" si="47"/>
        <v>0</v>
      </c>
      <c r="W63" s="104">
        <f t="shared" si="47"/>
        <v>0</v>
      </c>
      <c r="X63" s="104">
        <f t="shared" si="47"/>
        <v>0</v>
      </c>
      <c r="Y63" s="104">
        <f t="shared" si="47"/>
        <v>0</v>
      </c>
      <c r="Z63" s="104">
        <f t="shared" si="47"/>
        <v>0</v>
      </c>
      <c r="AA63" s="104">
        <f t="shared" si="47"/>
        <v>0</v>
      </c>
      <c r="AB63" s="104">
        <f t="shared" si="47"/>
        <v>0</v>
      </c>
      <c r="AC63" s="104">
        <f t="shared" si="47"/>
        <v>0</v>
      </c>
      <c r="AD63" s="104">
        <f t="shared" si="47"/>
        <v>0</v>
      </c>
      <c r="AE63" s="104">
        <f t="shared" si="47"/>
        <v>0</v>
      </c>
      <c r="AF63" s="104">
        <f t="shared" si="47"/>
        <v>0</v>
      </c>
      <c r="AG63" s="104">
        <f t="shared" si="47"/>
        <v>0</v>
      </c>
      <c r="AH63" s="104">
        <f t="shared" si="47"/>
        <v>0</v>
      </c>
      <c r="AI63" s="104">
        <f t="shared" si="47"/>
        <v>0</v>
      </c>
      <c r="AJ63" s="104">
        <f t="shared" si="47"/>
        <v>0</v>
      </c>
      <c r="AK63" s="104">
        <f t="shared" ref="AK63:AR63" si="48">AK30*$C63</f>
        <v>0</v>
      </c>
      <c r="AL63" s="104">
        <f t="shared" si="48"/>
        <v>0</v>
      </c>
      <c r="AM63" s="104">
        <f t="shared" si="48"/>
        <v>0</v>
      </c>
      <c r="AN63" s="104">
        <f t="shared" si="48"/>
        <v>0</v>
      </c>
      <c r="AO63" s="104">
        <f t="shared" si="48"/>
        <v>0</v>
      </c>
      <c r="AP63" s="104">
        <f t="shared" si="48"/>
        <v>0</v>
      </c>
      <c r="AQ63" s="104">
        <f t="shared" si="48"/>
        <v>0</v>
      </c>
      <c r="AR63" s="104">
        <f t="shared" si="48"/>
        <v>0</v>
      </c>
    </row>
    <row r="64" spans="1:44">
      <c r="B64" s="96" t="s">
        <v>52</v>
      </c>
      <c r="C64" s="111">
        <v>10</v>
      </c>
      <c r="D64" s="97">
        <f t="shared" ref="D64:AJ64" si="49">D31*$C64</f>
        <v>1277240</v>
      </c>
      <c r="E64" s="104">
        <f t="shared" si="49"/>
        <v>0</v>
      </c>
      <c r="F64" s="104">
        <f t="shared" si="49"/>
        <v>0</v>
      </c>
      <c r="G64" s="104">
        <f t="shared" si="49"/>
        <v>7380</v>
      </c>
      <c r="H64" s="104">
        <f t="shared" si="49"/>
        <v>0</v>
      </c>
      <c r="I64" s="104">
        <f t="shared" si="49"/>
        <v>4860</v>
      </c>
      <c r="J64" s="104">
        <f t="shared" si="49"/>
        <v>1080</v>
      </c>
      <c r="K64" s="104">
        <f t="shared" si="49"/>
        <v>17280</v>
      </c>
      <c r="L64" s="104">
        <f t="shared" si="49"/>
        <v>29700</v>
      </c>
      <c r="M64" s="104">
        <f t="shared" si="49"/>
        <v>14040</v>
      </c>
      <c r="N64" s="104">
        <f t="shared" si="49"/>
        <v>2480</v>
      </c>
      <c r="O64" s="104">
        <f t="shared" si="49"/>
        <v>88380</v>
      </c>
      <c r="P64" s="104">
        <f t="shared" si="49"/>
        <v>6940</v>
      </c>
      <c r="Q64" s="104">
        <f t="shared" si="49"/>
        <v>127080</v>
      </c>
      <c r="R64" s="104">
        <f t="shared" si="49"/>
        <v>34720</v>
      </c>
      <c r="S64" s="104">
        <f t="shared" si="49"/>
        <v>51600</v>
      </c>
      <c r="T64" s="104">
        <f t="shared" si="49"/>
        <v>6000</v>
      </c>
      <c r="U64" s="104">
        <f t="shared" si="49"/>
        <v>47120</v>
      </c>
      <c r="V64" s="104">
        <f t="shared" si="49"/>
        <v>208120</v>
      </c>
      <c r="W64" s="104">
        <f t="shared" si="49"/>
        <v>14680</v>
      </c>
      <c r="X64" s="104">
        <f t="shared" si="49"/>
        <v>25800</v>
      </c>
      <c r="Y64" s="104">
        <f t="shared" si="49"/>
        <v>4800</v>
      </c>
      <c r="Z64" s="104">
        <f t="shared" si="49"/>
        <v>51060</v>
      </c>
      <c r="AA64" s="104">
        <f t="shared" si="49"/>
        <v>20160</v>
      </c>
      <c r="AB64" s="104">
        <f t="shared" si="49"/>
        <v>8120</v>
      </c>
      <c r="AC64" s="104">
        <f t="shared" si="49"/>
        <v>4880</v>
      </c>
      <c r="AD64" s="104">
        <f t="shared" si="49"/>
        <v>12240</v>
      </c>
      <c r="AE64" s="104">
        <f t="shared" si="49"/>
        <v>24360</v>
      </c>
      <c r="AF64" s="104">
        <f t="shared" si="49"/>
        <v>53200</v>
      </c>
      <c r="AG64" s="104">
        <f t="shared" si="49"/>
        <v>24660</v>
      </c>
      <c r="AH64" s="104">
        <f t="shared" si="49"/>
        <v>52480</v>
      </c>
      <c r="AI64" s="104">
        <f t="shared" si="49"/>
        <v>27120</v>
      </c>
      <c r="AJ64" s="104">
        <f t="shared" si="49"/>
        <v>16060</v>
      </c>
      <c r="AK64" s="104">
        <f t="shared" ref="AK64:AR64" si="50">AK31*$C64</f>
        <v>30340</v>
      </c>
      <c r="AL64" s="104">
        <f t="shared" si="50"/>
        <v>63220</v>
      </c>
      <c r="AM64" s="104">
        <f t="shared" si="50"/>
        <v>135720</v>
      </c>
      <c r="AN64" s="104">
        <f t="shared" si="50"/>
        <v>61560</v>
      </c>
      <c r="AO64" s="104">
        <f t="shared" si="50"/>
        <v>0</v>
      </c>
      <c r="AP64" s="104">
        <f t="shared" si="50"/>
        <v>0</v>
      </c>
      <c r="AQ64" s="104">
        <f t="shared" si="50"/>
        <v>0</v>
      </c>
      <c r="AR64" s="104">
        <f t="shared" si="50"/>
        <v>0</v>
      </c>
    </row>
    <row r="65" spans="2:44">
      <c r="B65" s="96" t="s">
        <v>53</v>
      </c>
      <c r="C65" s="111">
        <v>19</v>
      </c>
      <c r="D65" s="97">
        <f t="shared" ref="D65:AJ65" si="51">D32*$C65</f>
        <v>0</v>
      </c>
      <c r="E65" s="104">
        <f t="shared" si="51"/>
        <v>0</v>
      </c>
      <c r="F65" s="104">
        <f t="shared" si="51"/>
        <v>0</v>
      </c>
      <c r="G65" s="104">
        <f t="shared" si="51"/>
        <v>0</v>
      </c>
      <c r="H65" s="104">
        <f t="shared" si="51"/>
        <v>0</v>
      </c>
      <c r="I65" s="104">
        <f t="shared" si="51"/>
        <v>0</v>
      </c>
      <c r="J65" s="104">
        <f t="shared" si="51"/>
        <v>0</v>
      </c>
      <c r="K65" s="104">
        <f t="shared" si="51"/>
        <v>0</v>
      </c>
      <c r="L65" s="104">
        <f t="shared" si="51"/>
        <v>0</v>
      </c>
      <c r="M65" s="104">
        <f t="shared" si="51"/>
        <v>0</v>
      </c>
      <c r="N65" s="104">
        <f t="shared" si="51"/>
        <v>0</v>
      </c>
      <c r="O65" s="104">
        <f t="shared" si="51"/>
        <v>0</v>
      </c>
      <c r="P65" s="104">
        <f t="shared" si="51"/>
        <v>0</v>
      </c>
      <c r="Q65" s="104">
        <f t="shared" si="51"/>
        <v>0</v>
      </c>
      <c r="R65" s="104">
        <f t="shared" si="51"/>
        <v>0</v>
      </c>
      <c r="S65" s="104">
        <f t="shared" si="51"/>
        <v>0</v>
      </c>
      <c r="T65" s="104">
        <f t="shared" si="51"/>
        <v>0</v>
      </c>
      <c r="U65" s="104">
        <f t="shared" si="51"/>
        <v>0</v>
      </c>
      <c r="V65" s="104">
        <f t="shared" si="51"/>
        <v>0</v>
      </c>
      <c r="W65" s="104">
        <f t="shared" si="51"/>
        <v>0</v>
      </c>
      <c r="X65" s="104">
        <f t="shared" si="51"/>
        <v>0</v>
      </c>
      <c r="Y65" s="104">
        <f t="shared" si="51"/>
        <v>0</v>
      </c>
      <c r="Z65" s="104">
        <f t="shared" si="51"/>
        <v>0</v>
      </c>
      <c r="AA65" s="104">
        <f t="shared" si="51"/>
        <v>0</v>
      </c>
      <c r="AB65" s="104">
        <f t="shared" si="51"/>
        <v>0</v>
      </c>
      <c r="AC65" s="104">
        <f t="shared" si="51"/>
        <v>0</v>
      </c>
      <c r="AD65" s="104">
        <f t="shared" si="51"/>
        <v>0</v>
      </c>
      <c r="AE65" s="104">
        <f t="shared" si="51"/>
        <v>0</v>
      </c>
      <c r="AF65" s="104">
        <f t="shared" si="51"/>
        <v>0</v>
      </c>
      <c r="AG65" s="104">
        <f t="shared" si="51"/>
        <v>0</v>
      </c>
      <c r="AH65" s="104">
        <f t="shared" si="51"/>
        <v>0</v>
      </c>
      <c r="AI65" s="104">
        <f t="shared" si="51"/>
        <v>0</v>
      </c>
      <c r="AJ65" s="104">
        <f t="shared" si="51"/>
        <v>0</v>
      </c>
      <c r="AK65" s="104">
        <f t="shared" ref="AK65:AR65" si="52">AK32*$C65</f>
        <v>0</v>
      </c>
      <c r="AL65" s="104">
        <f t="shared" si="52"/>
        <v>0</v>
      </c>
      <c r="AM65" s="104">
        <f t="shared" si="52"/>
        <v>0</v>
      </c>
      <c r="AN65" s="104">
        <f t="shared" si="52"/>
        <v>0</v>
      </c>
      <c r="AO65" s="104">
        <f t="shared" si="52"/>
        <v>0</v>
      </c>
      <c r="AP65" s="104">
        <f t="shared" si="52"/>
        <v>0</v>
      </c>
      <c r="AQ65" s="104">
        <f t="shared" si="52"/>
        <v>0</v>
      </c>
      <c r="AR65" s="104">
        <f t="shared" si="52"/>
        <v>0</v>
      </c>
    </row>
    <row r="66" spans="2:44">
      <c r="B66" s="96" t="s">
        <v>54</v>
      </c>
      <c r="C66" s="111">
        <v>10</v>
      </c>
      <c r="D66" s="97">
        <f t="shared" ref="D66:T66" si="53">D33*$C66</f>
        <v>0</v>
      </c>
      <c r="E66" s="104">
        <f t="shared" si="53"/>
        <v>0</v>
      </c>
      <c r="F66" s="104">
        <f t="shared" si="53"/>
        <v>0</v>
      </c>
      <c r="G66" s="104">
        <f t="shared" si="53"/>
        <v>0</v>
      </c>
      <c r="H66" s="104">
        <f t="shared" si="53"/>
        <v>0</v>
      </c>
      <c r="I66" s="104">
        <f t="shared" si="53"/>
        <v>0</v>
      </c>
      <c r="J66" s="104">
        <f t="shared" si="53"/>
        <v>0</v>
      </c>
      <c r="K66" s="104">
        <f t="shared" si="53"/>
        <v>0</v>
      </c>
      <c r="L66" s="104">
        <f t="shared" si="53"/>
        <v>0</v>
      </c>
      <c r="M66" s="104">
        <f t="shared" si="53"/>
        <v>0</v>
      </c>
      <c r="N66" s="104">
        <f t="shared" si="53"/>
        <v>0</v>
      </c>
      <c r="O66" s="104">
        <f t="shared" si="53"/>
        <v>0</v>
      </c>
      <c r="P66" s="104">
        <f t="shared" si="53"/>
        <v>0</v>
      </c>
      <c r="Q66" s="104">
        <f t="shared" si="53"/>
        <v>0</v>
      </c>
      <c r="R66" s="104">
        <f t="shared" si="53"/>
        <v>0</v>
      </c>
      <c r="S66" s="104">
        <f t="shared" si="53"/>
        <v>0</v>
      </c>
      <c r="T66" s="104">
        <f t="shared" si="53"/>
        <v>0</v>
      </c>
      <c r="U66" s="104">
        <f t="shared" ref="U66:AJ66" si="54">U33*$C66</f>
        <v>0</v>
      </c>
      <c r="V66" s="104">
        <f t="shared" si="54"/>
        <v>0</v>
      </c>
      <c r="W66" s="104">
        <f t="shared" si="54"/>
        <v>0</v>
      </c>
      <c r="X66" s="104">
        <f t="shared" si="54"/>
        <v>0</v>
      </c>
      <c r="Y66" s="104">
        <f t="shared" si="54"/>
        <v>0</v>
      </c>
      <c r="Z66" s="104">
        <f t="shared" si="54"/>
        <v>0</v>
      </c>
      <c r="AA66" s="104">
        <f t="shared" si="54"/>
        <v>0</v>
      </c>
      <c r="AB66" s="104">
        <f t="shared" si="54"/>
        <v>0</v>
      </c>
      <c r="AC66" s="104">
        <f t="shared" si="54"/>
        <v>0</v>
      </c>
      <c r="AD66" s="104">
        <f t="shared" si="54"/>
        <v>0</v>
      </c>
      <c r="AE66" s="104">
        <f t="shared" si="54"/>
        <v>0</v>
      </c>
      <c r="AF66" s="104">
        <f t="shared" si="54"/>
        <v>0</v>
      </c>
      <c r="AG66" s="104">
        <f t="shared" si="54"/>
        <v>0</v>
      </c>
      <c r="AH66" s="104">
        <f t="shared" si="54"/>
        <v>0</v>
      </c>
      <c r="AI66" s="104">
        <f t="shared" si="54"/>
        <v>0</v>
      </c>
      <c r="AJ66" s="104">
        <f t="shared" si="54"/>
        <v>0</v>
      </c>
      <c r="AK66" s="104">
        <f t="shared" ref="AK66:AR66" si="55">AK33*$C66</f>
        <v>0</v>
      </c>
      <c r="AL66" s="104">
        <f t="shared" si="55"/>
        <v>0</v>
      </c>
      <c r="AM66" s="104">
        <f t="shared" si="55"/>
        <v>0</v>
      </c>
      <c r="AN66" s="104">
        <f t="shared" si="55"/>
        <v>0</v>
      </c>
      <c r="AO66" s="104">
        <f t="shared" si="55"/>
        <v>0</v>
      </c>
      <c r="AP66" s="104">
        <f t="shared" si="55"/>
        <v>0</v>
      </c>
      <c r="AQ66" s="104">
        <f t="shared" si="55"/>
        <v>0</v>
      </c>
      <c r="AR66" s="104">
        <f t="shared" si="55"/>
        <v>0</v>
      </c>
    </row>
    <row r="67" spans="2:44">
      <c r="B67" s="96" t="s">
        <v>55</v>
      </c>
      <c r="C67" s="111">
        <v>50</v>
      </c>
      <c r="D67" s="97">
        <f t="shared" ref="D67:T67" si="56">D34*$C67</f>
        <v>435950</v>
      </c>
      <c r="E67" s="104">
        <f t="shared" si="56"/>
        <v>0</v>
      </c>
      <c r="F67" s="104">
        <f t="shared" si="56"/>
        <v>0</v>
      </c>
      <c r="G67" s="104">
        <f t="shared" si="56"/>
        <v>0</v>
      </c>
      <c r="H67" s="104">
        <f t="shared" si="56"/>
        <v>0</v>
      </c>
      <c r="I67" s="104">
        <f t="shared" si="56"/>
        <v>0</v>
      </c>
      <c r="J67" s="104">
        <f t="shared" si="56"/>
        <v>0</v>
      </c>
      <c r="K67" s="104">
        <f t="shared" si="56"/>
        <v>0</v>
      </c>
      <c r="L67" s="104">
        <f t="shared" si="56"/>
        <v>0</v>
      </c>
      <c r="M67" s="104">
        <f t="shared" si="56"/>
        <v>0</v>
      </c>
      <c r="N67" s="104">
        <f t="shared" si="56"/>
        <v>0</v>
      </c>
      <c r="O67" s="104">
        <f t="shared" si="56"/>
        <v>96450</v>
      </c>
      <c r="P67" s="104">
        <f t="shared" si="56"/>
        <v>52500</v>
      </c>
      <c r="Q67" s="104">
        <f t="shared" si="56"/>
        <v>28000</v>
      </c>
      <c r="R67" s="104">
        <f t="shared" si="56"/>
        <v>4200</v>
      </c>
      <c r="S67" s="104">
        <f t="shared" si="56"/>
        <v>50650</v>
      </c>
      <c r="T67" s="104">
        <f t="shared" si="56"/>
        <v>8300</v>
      </c>
      <c r="U67" s="104">
        <f t="shared" ref="U67:AJ67" si="57">U34*$C67</f>
        <v>5000</v>
      </c>
      <c r="V67" s="104">
        <f t="shared" si="57"/>
        <v>71850</v>
      </c>
      <c r="W67" s="104">
        <f t="shared" si="57"/>
        <v>17750</v>
      </c>
      <c r="X67" s="104">
        <f t="shared" si="57"/>
        <v>54750</v>
      </c>
      <c r="Y67" s="104">
        <f t="shared" si="57"/>
        <v>14800</v>
      </c>
      <c r="Z67" s="104">
        <f t="shared" si="57"/>
        <v>21050</v>
      </c>
      <c r="AA67" s="104">
        <f t="shared" si="57"/>
        <v>7500</v>
      </c>
      <c r="AB67" s="104">
        <f t="shared" si="57"/>
        <v>0</v>
      </c>
      <c r="AC67" s="104">
        <f t="shared" si="57"/>
        <v>0</v>
      </c>
      <c r="AD67" s="104">
        <f t="shared" si="57"/>
        <v>0</v>
      </c>
      <c r="AE67" s="104">
        <f t="shared" si="57"/>
        <v>3150</v>
      </c>
      <c r="AF67" s="104">
        <f t="shared" si="57"/>
        <v>0</v>
      </c>
      <c r="AG67" s="104">
        <f t="shared" si="57"/>
        <v>0</v>
      </c>
      <c r="AH67" s="104">
        <f t="shared" si="57"/>
        <v>0</v>
      </c>
      <c r="AI67" s="104">
        <f t="shared" si="57"/>
        <v>0</v>
      </c>
      <c r="AJ67" s="104">
        <f t="shared" si="57"/>
        <v>0</v>
      </c>
      <c r="AK67" s="104">
        <f t="shared" ref="AK67:AR67" si="58">AK34*$C67</f>
        <v>0</v>
      </c>
      <c r="AL67" s="104">
        <f t="shared" si="58"/>
        <v>0</v>
      </c>
      <c r="AM67" s="104">
        <f t="shared" si="58"/>
        <v>0</v>
      </c>
      <c r="AN67" s="104">
        <f t="shared" si="58"/>
        <v>0</v>
      </c>
      <c r="AO67" s="104">
        <f t="shared" si="58"/>
        <v>0</v>
      </c>
      <c r="AP67" s="104">
        <f t="shared" si="58"/>
        <v>0</v>
      </c>
      <c r="AQ67" s="104">
        <f t="shared" si="58"/>
        <v>0</v>
      </c>
      <c r="AR67" s="104">
        <f t="shared" si="58"/>
        <v>0</v>
      </c>
    </row>
    <row r="68" spans="2:44">
      <c r="B68" s="96" t="s">
        <v>56</v>
      </c>
      <c r="C68" s="111">
        <v>27.39</v>
      </c>
      <c r="D68" s="97">
        <f t="shared" ref="D68:T68" si="59">D35*$C68</f>
        <v>61572.72</v>
      </c>
      <c r="E68" s="104">
        <f t="shared" si="59"/>
        <v>0</v>
      </c>
      <c r="F68" s="104">
        <f t="shared" si="59"/>
        <v>0</v>
      </c>
      <c r="G68" s="104">
        <f t="shared" si="59"/>
        <v>0</v>
      </c>
      <c r="H68" s="104">
        <f t="shared" si="59"/>
        <v>0</v>
      </c>
      <c r="I68" s="104">
        <f t="shared" si="59"/>
        <v>0</v>
      </c>
      <c r="J68" s="104">
        <f t="shared" si="59"/>
        <v>0</v>
      </c>
      <c r="K68" s="104">
        <f t="shared" si="59"/>
        <v>0</v>
      </c>
      <c r="L68" s="104">
        <f t="shared" si="59"/>
        <v>0</v>
      </c>
      <c r="M68" s="104">
        <f t="shared" si="59"/>
        <v>0</v>
      </c>
      <c r="N68" s="104">
        <f t="shared" si="59"/>
        <v>0</v>
      </c>
      <c r="O68" s="104">
        <f t="shared" si="59"/>
        <v>13174.59</v>
      </c>
      <c r="P68" s="104">
        <f t="shared" si="59"/>
        <v>7641.81</v>
      </c>
      <c r="Q68" s="104">
        <f t="shared" si="59"/>
        <v>4053.7200000000003</v>
      </c>
      <c r="R68" s="104">
        <f t="shared" si="59"/>
        <v>0</v>
      </c>
      <c r="S68" s="104">
        <f t="shared" si="59"/>
        <v>8217</v>
      </c>
      <c r="T68" s="104">
        <f t="shared" si="59"/>
        <v>0</v>
      </c>
      <c r="U68" s="104">
        <f t="shared" ref="U68:AJ68" si="60">U35*$C68</f>
        <v>0</v>
      </c>
      <c r="V68" s="104">
        <f t="shared" si="60"/>
        <v>12051.6</v>
      </c>
      <c r="W68" s="104">
        <f t="shared" si="60"/>
        <v>0</v>
      </c>
      <c r="X68" s="104">
        <f t="shared" si="60"/>
        <v>8764.7999999999993</v>
      </c>
      <c r="Y68" s="104">
        <f t="shared" si="60"/>
        <v>2191.1999999999998</v>
      </c>
      <c r="Z68" s="104">
        <f t="shared" si="60"/>
        <v>3286.8</v>
      </c>
      <c r="AA68" s="104">
        <f t="shared" si="60"/>
        <v>2191.1999999999998</v>
      </c>
      <c r="AB68" s="104">
        <f t="shared" si="60"/>
        <v>0</v>
      </c>
      <c r="AC68" s="104">
        <f t="shared" si="60"/>
        <v>0</v>
      </c>
      <c r="AD68" s="104">
        <f t="shared" si="60"/>
        <v>0</v>
      </c>
      <c r="AE68" s="104">
        <f t="shared" si="60"/>
        <v>0</v>
      </c>
      <c r="AF68" s="104">
        <f t="shared" si="60"/>
        <v>0</v>
      </c>
      <c r="AG68" s="104">
        <f t="shared" si="60"/>
        <v>0</v>
      </c>
      <c r="AH68" s="104">
        <f t="shared" si="60"/>
        <v>0</v>
      </c>
      <c r="AI68" s="104">
        <f t="shared" si="60"/>
        <v>0</v>
      </c>
      <c r="AJ68" s="104">
        <f t="shared" si="60"/>
        <v>0</v>
      </c>
      <c r="AK68" s="104">
        <f t="shared" ref="AK68:AR68" si="61">AK35*$C68</f>
        <v>0</v>
      </c>
      <c r="AL68" s="104">
        <f t="shared" si="61"/>
        <v>0</v>
      </c>
      <c r="AM68" s="104">
        <f t="shared" si="61"/>
        <v>0</v>
      </c>
      <c r="AN68" s="104">
        <f t="shared" si="61"/>
        <v>0</v>
      </c>
      <c r="AO68" s="104">
        <f t="shared" si="61"/>
        <v>0</v>
      </c>
      <c r="AP68" s="104">
        <f t="shared" si="61"/>
        <v>0</v>
      </c>
      <c r="AQ68" s="104">
        <f t="shared" si="61"/>
        <v>0</v>
      </c>
      <c r="AR68" s="104">
        <f t="shared" si="61"/>
        <v>0</v>
      </c>
    </row>
    <row r="69" spans="2:44">
      <c r="B69" s="96" t="s">
        <v>57</v>
      </c>
      <c r="C69" s="111">
        <v>26</v>
      </c>
      <c r="D69" s="97">
        <f t="shared" ref="D69:T69" si="62">D36*$C69</f>
        <v>0</v>
      </c>
      <c r="E69" s="104">
        <f t="shared" si="62"/>
        <v>0</v>
      </c>
      <c r="F69" s="104">
        <f t="shared" si="62"/>
        <v>0</v>
      </c>
      <c r="G69" s="104">
        <f t="shared" si="62"/>
        <v>0</v>
      </c>
      <c r="H69" s="104">
        <f t="shared" si="62"/>
        <v>0</v>
      </c>
      <c r="I69" s="104">
        <f t="shared" si="62"/>
        <v>0</v>
      </c>
      <c r="J69" s="104">
        <f t="shared" si="62"/>
        <v>0</v>
      </c>
      <c r="K69" s="104">
        <f t="shared" si="62"/>
        <v>0</v>
      </c>
      <c r="L69" s="104">
        <f t="shared" si="62"/>
        <v>0</v>
      </c>
      <c r="M69" s="104">
        <f t="shared" si="62"/>
        <v>0</v>
      </c>
      <c r="N69" s="104">
        <f t="shared" si="62"/>
        <v>0</v>
      </c>
      <c r="O69" s="104">
        <f t="shared" si="62"/>
        <v>0</v>
      </c>
      <c r="P69" s="104">
        <f t="shared" si="62"/>
        <v>0</v>
      </c>
      <c r="Q69" s="104">
        <f t="shared" si="62"/>
        <v>0</v>
      </c>
      <c r="R69" s="104">
        <f t="shared" si="62"/>
        <v>0</v>
      </c>
      <c r="S69" s="104">
        <f t="shared" si="62"/>
        <v>0</v>
      </c>
      <c r="T69" s="104">
        <f t="shared" si="62"/>
        <v>0</v>
      </c>
      <c r="U69" s="104">
        <f t="shared" ref="U69:AJ69" si="63">U36*$C69</f>
        <v>0</v>
      </c>
      <c r="V69" s="104">
        <f t="shared" si="63"/>
        <v>0</v>
      </c>
      <c r="W69" s="104">
        <f t="shared" si="63"/>
        <v>0</v>
      </c>
      <c r="X69" s="104">
        <f t="shared" si="63"/>
        <v>0</v>
      </c>
      <c r="Y69" s="104">
        <f t="shared" si="63"/>
        <v>0</v>
      </c>
      <c r="Z69" s="104">
        <f t="shared" si="63"/>
        <v>0</v>
      </c>
      <c r="AA69" s="104">
        <f t="shared" si="63"/>
        <v>0</v>
      </c>
      <c r="AB69" s="104">
        <f t="shared" si="63"/>
        <v>0</v>
      </c>
      <c r="AC69" s="104">
        <f t="shared" si="63"/>
        <v>0</v>
      </c>
      <c r="AD69" s="104">
        <f t="shared" si="63"/>
        <v>0</v>
      </c>
      <c r="AE69" s="104">
        <f t="shared" si="63"/>
        <v>0</v>
      </c>
      <c r="AF69" s="104">
        <f t="shared" si="63"/>
        <v>0</v>
      </c>
      <c r="AG69" s="104">
        <f t="shared" si="63"/>
        <v>0</v>
      </c>
      <c r="AH69" s="104">
        <f t="shared" si="63"/>
        <v>0</v>
      </c>
      <c r="AI69" s="104">
        <f t="shared" si="63"/>
        <v>0</v>
      </c>
      <c r="AJ69" s="104">
        <f t="shared" si="63"/>
        <v>0</v>
      </c>
      <c r="AK69" s="104">
        <f t="shared" ref="AK69:AR69" si="64">AK36*$C69</f>
        <v>0</v>
      </c>
      <c r="AL69" s="104">
        <f t="shared" si="64"/>
        <v>0</v>
      </c>
      <c r="AM69" s="104">
        <f t="shared" si="64"/>
        <v>0</v>
      </c>
      <c r="AN69" s="104">
        <f t="shared" si="64"/>
        <v>0</v>
      </c>
      <c r="AO69" s="104">
        <f t="shared" si="64"/>
        <v>0</v>
      </c>
      <c r="AP69" s="104">
        <f t="shared" si="64"/>
        <v>0</v>
      </c>
      <c r="AQ69" s="104">
        <f t="shared" si="64"/>
        <v>0</v>
      </c>
      <c r="AR69" s="104">
        <f t="shared" si="64"/>
        <v>0</v>
      </c>
    </row>
    <row r="70" spans="2:44">
      <c r="B70" s="96" t="s">
        <v>58</v>
      </c>
      <c r="C70" s="111">
        <v>48</v>
      </c>
      <c r="D70" s="97">
        <f t="shared" ref="D70:T70" si="65">D37*$C70</f>
        <v>0</v>
      </c>
      <c r="E70" s="104">
        <f t="shared" si="65"/>
        <v>0</v>
      </c>
      <c r="F70" s="104">
        <f t="shared" si="65"/>
        <v>0</v>
      </c>
      <c r="G70" s="104">
        <f t="shared" si="65"/>
        <v>0</v>
      </c>
      <c r="H70" s="104">
        <f t="shared" si="65"/>
        <v>0</v>
      </c>
      <c r="I70" s="104">
        <f t="shared" si="65"/>
        <v>0</v>
      </c>
      <c r="J70" s="104">
        <f t="shared" si="65"/>
        <v>0</v>
      </c>
      <c r="K70" s="104">
        <f t="shared" si="65"/>
        <v>0</v>
      </c>
      <c r="L70" s="104">
        <f t="shared" si="65"/>
        <v>0</v>
      </c>
      <c r="M70" s="104">
        <f t="shared" si="65"/>
        <v>0</v>
      </c>
      <c r="N70" s="104">
        <f t="shared" si="65"/>
        <v>0</v>
      </c>
      <c r="O70" s="104">
        <f t="shared" si="65"/>
        <v>0</v>
      </c>
      <c r="P70" s="104">
        <f t="shared" si="65"/>
        <v>0</v>
      </c>
      <c r="Q70" s="104">
        <f t="shared" si="65"/>
        <v>0</v>
      </c>
      <c r="R70" s="104">
        <f t="shared" si="65"/>
        <v>0</v>
      </c>
      <c r="S70" s="104">
        <f t="shared" si="65"/>
        <v>0</v>
      </c>
      <c r="T70" s="104">
        <f t="shared" si="65"/>
        <v>0</v>
      </c>
      <c r="U70" s="104">
        <f t="shared" ref="U70:AJ70" si="66">U37*$C70</f>
        <v>0</v>
      </c>
      <c r="V70" s="104">
        <f t="shared" si="66"/>
        <v>0</v>
      </c>
      <c r="W70" s="104">
        <f t="shared" si="66"/>
        <v>0</v>
      </c>
      <c r="X70" s="104">
        <f t="shared" si="66"/>
        <v>0</v>
      </c>
      <c r="Y70" s="104">
        <f t="shared" si="66"/>
        <v>0</v>
      </c>
      <c r="Z70" s="104">
        <f t="shared" si="66"/>
        <v>0</v>
      </c>
      <c r="AA70" s="104">
        <f t="shared" si="66"/>
        <v>0</v>
      </c>
      <c r="AB70" s="104">
        <f t="shared" si="66"/>
        <v>0</v>
      </c>
      <c r="AC70" s="104">
        <f t="shared" si="66"/>
        <v>0</v>
      </c>
      <c r="AD70" s="104">
        <f t="shared" si="66"/>
        <v>0</v>
      </c>
      <c r="AE70" s="104">
        <f t="shared" si="66"/>
        <v>0</v>
      </c>
      <c r="AF70" s="104">
        <f t="shared" si="66"/>
        <v>0</v>
      </c>
      <c r="AG70" s="104">
        <f t="shared" si="66"/>
        <v>0</v>
      </c>
      <c r="AH70" s="104">
        <f t="shared" si="66"/>
        <v>0</v>
      </c>
      <c r="AI70" s="104">
        <f t="shared" si="66"/>
        <v>0</v>
      </c>
      <c r="AJ70" s="104">
        <f t="shared" si="66"/>
        <v>0</v>
      </c>
      <c r="AK70" s="104">
        <f t="shared" ref="AK70:AR70" si="67">AK37*$C70</f>
        <v>0</v>
      </c>
      <c r="AL70" s="104">
        <f t="shared" si="67"/>
        <v>0</v>
      </c>
      <c r="AM70" s="104">
        <f t="shared" si="67"/>
        <v>0</v>
      </c>
      <c r="AN70" s="104">
        <f t="shared" si="67"/>
        <v>0</v>
      </c>
      <c r="AO70" s="104">
        <f t="shared" si="67"/>
        <v>0</v>
      </c>
      <c r="AP70" s="104">
        <f t="shared" si="67"/>
        <v>0</v>
      </c>
      <c r="AQ70" s="104">
        <f t="shared" si="67"/>
        <v>0</v>
      </c>
      <c r="AR70" s="104">
        <f t="shared" si="67"/>
        <v>0</v>
      </c>
    </row>
    <row r="71" spans="2:44">
      <c r="B71" s="96" t="s">
        <v>59</v>
      </c>
      <c r="C71" s="112">
        <v>8</v>
      </c>
      <c r="D71" s="97">
        <f t="shared" ref="D71:T71" si="68">D38*$C71</f>
        <v>84712</v>
      </c>
      <c r="E71" s="104">
        <f t="shared" si="68"/>
        <v>0</v>
      </c>
      <c r="F71" s="104">
        <f t="shared" si="68"/>
        <v>0</v>
      </c>
      <c r="G71" s="104">
        <f t="shared" si="68"/>
        <v>0</v>
      </c>
      <c r="H71" s="104">
        <f t="shared" si="68"/>
        <v>0</v>
      </c>
      <c r="I71" s="104">
        <f t="shared" si="68"/>
        <v>448</v>
      </c>
      <c r="J71" s="104">
        <f t="shared" si="68"/>
        <v>4832</v>
      </c>
      <c r="K71" s="104">
        <f t="shared" si="68"/>
        <v>3824</v>
      </c>
      <c r="L71" s="104">
        <f t="shared" si="68"/>
        <v>2352</v>
      </c>
      <c r="M71" s="104">
        <f t="shared" si="68"/>
        <v>2736</v>
      </c>
      <c r="N71" s="104">
        <f t="shared" si="68"/>
        <v>528</v>
      </c>
      <c r="O71" s="104">
        <f t="shared" si="68"/>
        <v>0</v>
      </c>
      <c r="P71" s="104">
        <f t="shared" si="68"/>
        <v>400</v>
      </c>
      <c r="Q71" s="104">
        <f t="shared" si="68"/>
        <v>400</v>
      </c>
      <c r="R71" s="104">
        <f t="shared" si="68"/>
        <v>6864</v>
      </c>
      <c r="S71" s="104">
        <f t="shared" si="68"/>
        <v>5400</v>
      </c>
      <c r="T71" s="104">
        <f t="shared" si="68"/>
        <v>11136</v>
      </c>
      <c r="U71" s="104">
        <f t="shared" ref="U71:AJ71" si="69">U38*$C71</f>
        <v>16400</v>
      </c>
      <c r="V71" s="104">
        <f t="shared" si="69"/>
        <v>1200</v>
      </c>
      <c r="W71" s="104">
        <f t="shared" si="69"/>
        <v>800</v>
      </c>
      <c r="X71" s="104">
        <f t="shared" si="69"/>
        <v>400</v>
      </c>
      <c r="Y71" s="104">
        <f t="shared" si="69"/>
        <v>0</v>
      </c>
      <c r="Z71" s="104">
        <f t="shared" si="69"/>
        <v>400</v>
      </c>
      <c r="AA71" s="104">
        <f t="shared" si="69"/>
        <v>1504</v>
      </c>
      <c r="AB71" s="104">
        <f t="shared" si="69"/>
        <v>1328</v>
      </c>
      <c r="AC71" s="104">
        <f t="shared" si="69"/>
        <v>1200</v>
      </c>
      <c r="AD71" s="104">
        <f t="shared" si="69"/>
        <v>2800</v>
      </c>
      <c r="AE71" s="104">
        <f t="shared" si="69"/>
        <v>5408</v>
      </c>
      <c r="AF71" s="104">
        <f t="shared" si="69"/>
        <v>1952</v>
      </c>
      <c r="AG71" s="104">
        <f t="shared" si="69"/>
        <v>2400</v>
      </c>
      <c r="AH71" s="104">
        <f t="shared" si="69"/>
        <v>3600</v>
      </c>
      <c r="AI71" s="104">
        <f t="shared" si="69"/>
        <v>1600</v>
      </c>
      <c r="AJ71" s="104">
        <f t="shared" si="69"/>
        <v>2000</v>
      </c>
      <c r="AK71" s="104">
        <f t="shared" ref="AK71:AR71" si="70">AK38*$C71</f>
        <v>1600</v>
      </c>
      <c r="AL71" s="104">
        <f t="shared" si="70"/>
        <v>1200</v>
      </c>
      <c r="AM71" s="104">
        <f t="shared" si="70"/>
        <v>0</v>
      </c>
      <c r="AN71" s="104">
        <f t="shared" si="70"/>
        <v>0</v>
      </c>
      <c r="AO71" s="104">
        <f t="shared" si="70"/>
        <v>0</v>
      </c>
      <c r="AP71" s="104">
        <f t="shared" si="70"/>
        <v>0</v>
      </c>
      <c r="AQ71" s="104">
        <f t="shared" si="70"/>
        <v>0</v>
      </c>
      <c r="AR71" s="104">
        <f t="shared" si="70"/>
        <v>0</v>
      </c>
    </row>
    <row r="72" spans="2:44">
      <c r="B72" s="35" t="s">
        <v>85</v>
      </c>
      <c r="C72" s="113">
        <v>3.5</v>
      </c>
      <c r="D72" s="98">
        <f t="shared" ref="D72:U72" si="71">D50*C72</f>
        <v>1050000</v>
      </c>
      <c r="E72" s="107">
        <f>E50*$C$72</f>
        <v>0</v>
      </c>
      <c r="F72" s="107">
        <f t="shared" si="71"/>
        <v>0</v>
      </c>
      <c r="G72" s="107">
        <f t="shared" si="71"/>
        <v>0</v>
      </c>
      <c r="H72" s="107">
        <f t="shared" si="71"/>
        <v>0</v>
      </c>
      <c r="I72" s="107">
        <f t="shared" si="71"/>
        <v>0</v>
      </c>
      <c r="J72" s="107">
        <f t="shared" si="71"/>
        <v>0</v>
      </c>
      <c r="K72" s="107">
        <f t="shared" si="71"/>
        <v>0</v>
      </c>
      <c r="L72" s="107">
        <f t="shared" si="71"/>
        <v>0</v>
      </c>
      <c r="M72" s="107">
        <f t="shared" si="71"/>
        <v>0</v>
      </c>
      <c r="N72" s="107">
        <f t="shared" si="71"/>
        <v>0</v>
      </c>
      <c r="O72" s="107">
        <f t="shared" si="71"/>
        <v>0</v>
      </c>
      <c r="P72" s="107">
        <f t="shared" si="71"/>
        <v>0</v>
      </c>
      <c r="Q72" s="107">
        <f t="shared" si="71"/>
        <v>0</v>
      </c>
      <c r="R72" s="107">
        <f t="shared" si="71"/>
        <v>0</v>
      </c>
      <c r="S72" s="107">
        <f t="shared" si="71"/>
        <v>0</v>
      </c>
      <c r="T72" s="107">
        <f t="shared" si="71"/>
        <v>0</v>
      </c>
      <c r="U72" s="107">
        <f t="shared" si="71"/>
        <v>0</v>
      </c>
      <c r="V72" s="107">
        <f t="shared" ref="V72" si="72">V50*U72</f>
        <v>0</v>
      </c>
      <c r="W72" s="107">
        <f t="shared" ref="W72" si="73">W50*V72</f>
        <v>0</v>
      </c>
      <c r="X72" s="107">
        <f t="shared" ref="X72" si="74">X50*W72</f>
        <v>0</v>
      </c>
      <c r="Y72" s="107">
        <f t="shared" ref="Y72" si="75">Y50*X72</f>
        <v>0</v>
      </c>
      <c r="Z72" s="107">
        <f t="shared" ref="Z72" si="76">Z50*Y72</f>
        <v>0</v>
      </c>
      <c r="AA72" s="107">
        <f t="shared" ref="AA72" si="77">AA50*Z72</f>
        <v>0</v>
      </c>
      <c r="AB72" s="107">
        <f t="shared" ref="AB72" si="78">AB50*AA72</f>
        <v>0</v>
      </c>
      <c r="AC72" s="107">
        <f t="shared" ref="AC72" si="79">AC50*AB72</f>
        <v>0</v>
      </c>
      <c r="AD72" s="107">
        <f t="shared" ref="AD72" si="80">AD50*AC72</f>
        <v>0</v>
      </c>
      <c r="AE72" s="107">
        <f t="shared" ref="AE72" si="81">AE50*AD72</f>
        <v>0</v>
      </c>
      <c r="AF72" s="107">
        <f t="shared" ref="AF72" si="82">AF50*AE72</f>
        <v>0</v>
      </c>
      <c r="AG72" s="107">
        <f t="shared" ref="AG72" si="83">AG50*AF72</f>
        <v>0</v>
      </c>
      <c r="AH72" s="107">
        <f t="shared" ref="AH72" si="84">AH50*AG72</f>
        <v>0</v>
      </c>
      <c r="AI72" s="107">
        <f t="shared" ref="AI72" si="85">AI50*AH72</f>
        <v>0</v>
      </c>
      <c r="AJ72" s="107">
        <f t="shared" ref="AJ72" si="86">AJ50*AI72</f>
        <v>0</v>
      </c>
      <c r="AK72" s="107">
        <f t="shared" ref="AK72" si="87">AK50*AJ72</f>
        <v>0</v>
      </c>
      <c r="AL72" s="107">
        <f t="shared" ref="AL72" si="88">AL50*AK72</f>
        <v>0</v>
      </c>
      <c r="AM72" s="107">
        <f t="shared" ref="AM72" si="89">AM50*AL72</f>
        <v>0</v>
      </c>
      <c r="AN72" s="107">
        <f t="shared" ref="AN72" si="90">AN50*AM72</f>
        <v>0</v>
      </c>
      <c r="AO72" s="107">
        <f t="shared" ref="AO72" si="91">AO50*AN72</f>
        <v>0</v>
      </c>
      <c r="AP72" s="107">
        <f t="shared" ref="AP72" si="92">AP50*AO72</f>
        <v>0</v>
      </c>
      <c r="AQ72" s="107">
        <f t="shared" ref="AQ72" si="93">AQ50*AP72</f>
        <v>0</v>
      </c>
      <c r="AR72" s="107">
        <f t="shared" ref="AR72" si="94">AR50*AQ72</f>
        <v>0</v>
      </c>
    </row>
    <row r="74" spans="2:44">
      <c r="B74" s="318" t="s">
        <v>86</v>
      </c>
      <c r="C74" s="319"/>
      <c r="D74" s="108">
        <f>AVERAGEIF(E59:N59, "&gt;0")</f>
        <v>712064.28571428568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6" spans="2:44">
      <c r="B76" s="12" t="s">
        <v>87</v>
      </c>
      <c r="C76" s="13">
        <v>0.28999999999999998</v>
      </c>
      <c r="D76" s="14">
        <f>SUM(E76:N76)</f>
        <v>1445490.4999999998</v>
      </c>
      <c r="E76" s="14">
        <f t="shared" ref="E76:U76" si="95">E59*$C$76</f>
        <v>0</v>
      </c>
      <c r="F76" s="14">
        <f t="shared" si="95"/>
        <v>0</v>
      </c>
      <c r="G76" s="14">
        <f t="shared" si="95"/>
        <v>383545.58999999997</v>
      </c>
      <c r="H76" s="14">
        <f t="shared" si="95"/>
        <v>0</v>
      </c>
      <c r="I76" s="14">
        <f t="shared" si="95"/>
        <v>79327.47</v>
      </c>
      <c r="J76" s="14">
        <f t="shared" si="95"/>
        <v>349912.55</v>
      </c>
      <c r="K76" s="15">
        <f t="shared" si="95"/>
        <v>229462.49999999997</v>
      </c>
      <c r="L76" s="14">
        <f t="shared" si="95"/>
        <v>207179.47999999998</v>
      </c>
      <c r="M76" s="15">
        <f t="shared" si="95"/>
        <v>66220.92</v>
      </c>
      <c r="N76" s="14">
        <f t="shared" si="95"/>
        <v>129841.98999999999</v>
      </c>
      <c r="O76" s="14">
        <f t="shared" si="95"/>
        <v>283281.45109999995</v>
      </c>
      <c r="P76" s="14">
        <f t="shared" si="95"/>
        <v>227309.77489999999</v>
      </c>
      <c r="Q76" s="14">
        <f t="shared" si="95"/>
        <v>232595.28879999998</v>
      </c>
      <c r="R76" s="14">
        <f t="shared" si="95"/>
        <v>143576.68</v>
      </c>
      <c r="S76" s="14">
        <f t="shared" si="95"/>
        <v>233117.08</v>
      </c>
      <c r="T76" s="14">
        <f t="shared" si="95"/>
        <v>129537.2</v>
      </c>
      <c r="U76" s="14">
        <f t="shared" si="95"/>
        <v>142338.66999999998</v>
      </c>
      <c r="V76" s="14">
        <f t="shared" ref="V76:AJ76" si="96">V59*$C$76</f>
        <v>294711.22399999999</v>
      </c>
      <c r="W76" s="14">
        <f t="shared" si="96"/>
        <v>330085.25</v>
      </c>
      <c r="X76" s="14">
        <f t="shared" si="96"/>
        <v>415278.49199999997</v>
      </c>
      <c r="Y76" s="14">
        <f t="shared" si="96"/>
        <v>52367.968000000001</v>
      </c>
      <c r="Z76" s="14">
        <f t="shared" si="96"/>
        <v>307426.91200000001</v>
      </c>
      <c r="AA76" s="14">
        <f t="shared" si="96"/>
        <v>414228.51799999998</v>
      </c>
      <c r="AB76" s="14">
        <f t="shared" si="96"/>
        <v>244663.71999999997</v>
      </c>
      <c r="AC76" s="14">
        <f t="shared" si="96"/>
        <v>122032.29</v>
      </c>
      <c r="AD76" s="14">
        <f t="shared" si="96"/>
        <v>211792.21999999997</v>
      </c>
      <c r="AE76" s="14">
        <f t="shared" si="96"/>
        <v>223337.40999999997</v>
      </c>
      <c r="AF76" s="14">
        <f t="shared" si="96"/>
        <v>274514.87</v>
      </c>
      <c r="AG76" s="14">
        <f t="shared" si="96"/>
        <v>272538.51999999996</v>
      </c>
      <c r="AH76" s="14">
        <f t="shared" si="96"/>
        <v>252743.12</v>
      </c>
      <c r="AI76" s="14">
        <f t="shared" si="96"/>
        <v>183164</v>
      </c>
      <c r="AJ76" s="14">
        <f t="shared" si="96"/>
        <v>164362.13999999998</v>
      </c>
      <c r="AK76" s="14">
        <f t="shared" ref="AK76:AR76" si="97">AK59*$C$76</f>
        <v>182064.31999999998</v>
      </c>
      <c r="AL76" s="14">
        <f t="shared" si="97"/>
        <v>262995.77999999997</v>
      </c>
      <c r="AM76" s="14">
        <f t="shared" si="97"/>
        <v>260596.31999999998</v>
      </c>
      <c r="AN76" s="14">
        <f t="shared" si="97"/>
        <v>67511.42</v>
      </c>
      <c r="AO76" s="14">
        <f t="shared" si="97"/>
        <v>0</v>
      </c>
      <c r="AP76" s="14">
        <f t="shared" si="97"/>
        <v>0</v>
      </c>
      <c r="AQ76" s="14">
        <f t="shared" si="97"/>
        <v>0</v>
      </c>
      <c r="AR76" s="14">
        <f t="shared" si="97"/>
        <v>0</v>
      </c>
    </row>
    <row r="77" spans="2:44">
      <c r="B77" s="16" t="s">
        <v>88</v>
      </c>
      <c r="C77" s="17">
        <f>11800000/322</f>
        <v>36645.962732919252</v>
      </c>
      <c r="D77" s="18">
        <f>SUM(E77:N77)</f>
        <v>366459.62732919253</v>
      </c>
      <c r="E77" s="18">
        <f t="shared" ref="E77:AR77" si="98">$C$77</f>
        <v>36645.962732919252</v>
      </c>
      <c r="F77" s="18">
        <f t="shared" si="98"/>
        <v>36645.962732919252</v>
      </c>
      <c r="G77" s="18">
        <f t="shared" si="98"/>
        <v>36645.962732919252</v>
      </c>
      <c r="H77" s="18">
        <f t="shared" si="98"/>
        <v>36645.962732919252</v>
      </c>
      <c r="I77" s="18">
        <f t="shared" si="98"/>
        <v>36645.962732919252</v>
      </c>
      <c r="J77" s="18">
        <f t="shared" si="98"/>
        <v>36645.962732919252</v>
      </c>
      <c r="K77" s="19">
        <f t="shared" si="98"/>
        <v>36645.962732919252</v>
      </c>
      <c r="L77" s="18">
        <f t="shared" si="98"/>
        <v>36645.962732919252</v>
      </c>
      <c r="M77" s="19">
        <f t="shared" si="98"/>
        <v>36645.962732919252</v>
      </c>
      <c r="N77" s="18">
        <f t="shared" si="98"/>
        <v>36645.962732919252</v>
      </c>
      <c r="O77" s="18">
        <f t="shared" si="98"/>
        <v>36645.962732919252</v>
      </c>
      <c r="P77" s="18">
        <f t="shared" si="98"/>
        <v>36645.962732919252</v>
      </c>
      <c r="Q77" s="18">
        <f t="shared" si="98"/>
        <v>36645.962732919252</v>
      </c>
      <c r="R77" s="18">
        <f t="shared" si="98"/>
        <v>36645.962732919252</v>
      </c>
      <c r="S77" s="18">
        <f t="shared" si="98"/>
        <v>36645.962732919252</v>
      </c>
      <c r="T77" s="18">
        <f t="shared" si="98"/>
        <v>36645.962732919252</v>
      </c>
      <c r="U77" s="18">
        <f t="shared" si="98"/>
        <v>36645.962732919252</v>
      </c>
      <c r="V77" s="18">
        <f t="shared" si="98"/>
        <v>36645.962732919252</v>
      </c>
      <c r="W77" s="18">
        <f t="shared" si="98"/>
        <v>36645.962732919252</v>
      </c>
      <c r="X77" s="18">
        <f t="shared" si="98"/>
        <v>36645.962732919252</v>
      </c>
      <c r="Y77" s="18">
        <f t="shared" si="98"/>
        <v>36645.962732919252</v>
      </c>
      <c r="Z77" s="18">
        <f t="shared" si="98"/>
        <v>36645.962732919252</v>
      </c>
      <c r="AA77" s="18">
        <f t="shared" si="98"/>
        <v>36645.962732919252</v>
      </c>
      <c r="AB77" s="18">
        <f t="shared" si="98"/>
        <v>36645.962732919252</v>
      </c>
      <c r="AC77" s="18">
        <f t="shared" si="98"/>
        <v>36645.962732919252</v>
      </c>
      <c r="AD77" s="18">
        <f t="shared" si="98"/>
        <v>36645.962732919252</v>
      </c>
      <c r="AE77" s="18">
        <f t="shared" si="98"/>
        <v>36645.962732919252</v>
      </c>
      <c r="AF77" s="18">
        <f t="shared" si="98"/>
        <v>36645.962732919252</v>
      </c>
      <c r="AG77" s="18">
        <f t="shared" si="98"/>
        <v>36645.962732919252</v>
      </c>
      <c r="AH77" s="18">
        <f t="shared" si="98"/>
        <v>36645.962732919252</v>
      </c>
      <c r="AI77" s="18">
        <f t="shared" si="98"/>
        <v>36645.962732919252</v>
      </c>
      <c r="AJ77" s="18">
        <f t="shared" si="98"/>
        <v>36645.962732919252</v>
      </c>
      <c r="AK77" s="18">
        <f t="shared" si="98"/>
        <v>36645.962732919252</v>
      </c>
      <c r="AL77" s="18">
        <f t="shared" si="98"/>
        <v>36645.962732919252</v>
      </c>
      <c r="AM77" s="18">
        <f t="shared" si="98"/>
        <v>36645.962732919252</v>
      </c>
      <c r="AN77" s="18">
        <f t="shared" si="98"/>
        <v>36645.962732919252</v>
      </c>
      <c r="AO77" s="18">
        <f t="shared" si="98"/>
        <v>36645.962732919252</v>
      </c>
      <c r="AP77" s="18">
        <f t="shared" si="98"/>
        <v>36645.962732919252</v>
      </c>
      <c r="AQ77" s="18">
        <f t="shared" si="98"/>
        <v>36645.962732919252</v>
      </c>
      <c r="AR77" s="18">
        <f t="shared" si="98"/>
        <v>36645.962732919252</v>
      </c>
    </row>
    <row r="78" spans="2:44">
      <c r="B78" s="16" t="s">
        <v>89</v>
      </c>
      <c r="C78" s="17">
        <f>11400000/322</f>
        <v>35403.726708074537</v>
      </c>
      <c r="D78" s="18">
        <f>SUM(E78:N78)</f>
        <v>354037.26708074543</v>
      </c>
      <c r="E78" s="18">
        <f t="shared" ref="E78:AR78" si="99">$C$78</f>
        <v>35403.726708074537</v>
      </c>
      <c r="F78" s="18">
        <f t="shared" si="99"/>
        <v>35403.726708074537</v>
      </c>
      <c r="G78" s="18">
        <f t="shared" si="99"/>
        <v>35403.726708074537</v>
      </c>
      <c r="H78" s="18">
        <f t="shared" si="99"/>
        <v>35403.726708074537</v>
      </c>
      <c r="I78" s="18">
        <f t="shared" si="99"/>
        <v>35403.726708074537</v>
      </c>
      <c r="J78" s="18">
        <f t="shared" si="99"/>
        <v>35403.726708074537</v>
      </c>
      <c r="K78" s="19">
        <f t="shared" si="99"/>
        <v>35403.726708074537</v>
      </c>
      <c r="L78" s="18">
        <f t="shared" si="99"/>
        <v>35403.726708074537</v>
      </c>
      <c r="M78" s="19">
        <f t="shared" si="99"/>
        <v>35403.726708074537</v>
      </c>
      <c r="N78" s="18">
        <f t="shared" si="99"/>
        <v>35403.726708074537</v>
      </c>
      <c r="O78" s="18">
        <f t="shared" si="99"/>
        <v>35403.726708074537</v>
      </c>
      <c r="P78" s="18">
        <f t="shared" si="99"/>
        <v>35403.726708074537</v>
      </c>
      <c r="Q78" s="18">
        <f t="shared" si="99"/>
        <v>35403.726708074537</v>
      </c>
      <c r="R78" s="18">
        <f t="shared" si="99"/>
        <v>35403.726708074537</v>
      </c>
      <c r="S78" s="18">
        <f t="shared" si="99"/>
        <v>35403.726708074537</v>
      </c>
      <c r="T78" s="18">
        <f t="shared" si="99"/>
        <v>35403.726708074537</v>
      </c>
      <c r="U78" s="18">
        <f t="shared" si="99"/>
        <v>35403.726708074537</v>
      </c>
      <c r="V78" s="18">
        <f t="shared" si="99"/>
        <v>35403.726708074537</v>
      </c>
      <c r="W78" s="18">
        <f t="shared" si="99"/>
        <v>35403.726708074537</v>
      </c>
      <c r="X78" s="18">
        <f t="shared" si="99"/>
        <v>35403.726708074537</v>
      </c>
      <c r="Y78" s="18">
        <f t="shared" si="99"/>
        <v>35403.726708074537</v>
      </c>
      <c r="Z78" s="18">
        <f t="shared" si="99"/>
        <v>35403.726708074537</v>
      </c>
      <c r="AA78" s="18">
        <f t="shared" si="99"/>
        <v>35403.726708074537</v>
      </c>
      <c r="AB78" s="18">
        <f t="shared" si="99"/>
        <v>35403.726708074537</v>
      </c>
      <c r="AC78" s="18">
        <f t="shared" si="99"/>
        <v>35403.726708074537</v>
      </c>
      <c r="AD78" s="18">
        <f t="shared" si="99"/>
        <v>35403.726708074537</v>
      </c>
      <c r="AE78" s="18">
        <f t="shared" si="99"/>
        <v>35403.726708074537</v>
      </c>
      <c r="AF78" s="18">
        <f t="shared" si="99"/>
        <v>35403.726708074537</v>
      </c>
      <c r="AG78" s="18">
        <f t="shared" si="99"/>
        <v>35403.726708074537</v>
      </c>
      <c r="AH78" s="18">
        <f t="shared" si="99"/>
        <v>35403.726708074537</v>
      </c>
      <c r="AI78" s="18">
        <f t="shared" si="99"/>
        <v>35403.726708074537</v>
      </c>
      <c r="AJ78" s="18">
        <f t="shared" si="99"/>
        <v>35403.726708074537</v>
      </c>
      <c r="AK78" s="18">
        <f t="shared" si="99"/>
        <v>35403.726708074537</v>
      </c>
      <c r="AL78" s="18">
        <f t="shared" si="99"/>
        <v>35403.726708074537</v>
      </c>
      <c r="AM78" s="18">
        <f t="shared" si="99"/>
        <v>35403.726708074537</v>
      </c>
      <c r="AN78" s="18">
        <f t="shared" si="99"/>
        <v>35403.726708074537</v>
      </c>
      <c r="AO78" s="18">
        <f t="shared" si="99"/>
        <v>35403.726708074537</v>
      </c>
      <c r="AP78" s="18">
        <f t="shared" si="99"/>
        <v>35403.726708074537</v>
      </c>
      <c r="AQ78" s="18">
        <f t="shared" si="99"/>
        <v>35403.726708074537</v>
      </c>
      <c r="AR78" s="18">
        <f t="shared" si="99"/>
        <v>35403.726708074537</v>
      </c>
    </row>
    <row r="79" spans="2:44">
      <c r="B79" s="20" t="s">
        <v>90</v>
      </c>
      <c r="C79" s="21">
        <v>9.67</v>
      </c>
      <c r="D79" s="23">
        <f>SUM(E79:N79)</f>
        <v>1044360</v>
      </c>
      <c r="E79" s="23">
        <f t="shared" ref="E79:U79" si="100">$C$79*E41</f>
        <v>29010</v>
      </c>
      <c r="F79" s="23">
        <f t="shared" si="100"/>
        <v>29010</v>
      </c>
      <c r="G79" s="23">
        <f t="shared" si="100"/>
        <v>125710</v>
      </c>
      <c r="H79" s="23">
        <f t="shared" si="100"/>
        <v>67690</v>
      </c>
      <c r="I79" s="23">
        <f t="shared" si="100"/>
        <v>125710</v>
      </c>
      <c r="J79" s="23">
        <f t="shared" si="100"/>
        <v>135380</v>
      </c>
      <c r="K79" s="22">
        <f t="shared" si="100"/>
        <v>135380</v>
      </c>
      <c r="L79" s="23">
        <f t="shared" si="100"/>
        <v>125710</v>
      </c>
      <c r="M79" s="22">
        <f t="shared" si="100"/>
        <v>135380</v>
      </c>
      <c r="N79" s="23">
        <f t="shared" si="100"/>
        <v>135380</v>
      </c>
      <c r="O79" s="23">
        <f t="shared" si="100"/>
        <v>145050</v>
      </c>
      <c r="P79" s="23">
        <f t="shared" si="100"/>
        <v>164390</v>
      </c>
      <c r="Q79" s="23">
        <f t="shared" si="100"/>
        <v>164390</v>
      </c>
      <c r="R79" s="23">
        <f t="shared" si="100"/>
        <v>164390</v>
      </c>
      <c r="S79" s="23">
        <f t="shared" si="100"/>
        <v>174060</v>
      </c>
      <c r="T79" s="23">
        <f t="shared" si="100"/>
        <v>154720</v>
      </c>
      <c r="U79" s="23">
        <f t="shared" si="100"/>
        <v>164390</v>
      </c>
      <c r="V79" s="23">
        <f t="shared" ref="V79:AJ79" si="101">$C$79*V41</f>
        <v>164390</v>
      </c>
      <c r="W79" s="23">
        <f t="shared" si="101"/>
        <v>125710</v>
      </c>
      <c r="X79" s="23">
        <f t="shared" si="101"/>
        <v>125710</v>
      </c>
      <c r="Y79" s="23">
        <f t="shared" si="101"/>
        <v>154720</v>
      </c>
      <c r="Z79" s="23">
        <f t="shared" si="101"/>
        <v>125710</v>
      </c>
      <c r="AA79" s="23">
        <f t="shared" si="101"/>
        <v>125710</v>
      </c>
      <c r="AB79" s="23">
        <f t="shared" si="101"/>
        <v>125710</v>
      </c>
      <c r="AC79" s="23">
        <f t="shared" si="101"/>
        <v>135380</v>
      </c>
      <c r="AD79" s="23">
        <f t="shared" si="101"/>
        <v>125710</v>
      </c>
      <c r="AE79" s="23">
        <f t="shared" si="101"/>
        <v>125710</v>
      </c>
      <c r="AF79" s="23">
        <f t="shared" si="101"/>
        <v>125710</v>
      </c>
      <c r="AG79" s="23">
        <f t="shared" si="101"/>
        <v>125710</v>
      </c>
      <c r="AH79" s="23">
        <f t="shared" si="101"/>
        <v>135380</v>
      </c>
      <c r="AI79" s="23">
        <f t="shared" si="101"/>
        <v>125710</v>
      </c>
      <c r="AJ79" s="23">
        <f t="shared" si="101"/>
        <v>125710</v>
      </c>
      <c r="AK79" s="23">
        <f t="shared" ref="AK79:AR79" si="102">$C$79*AK41</f>
        <v>135380</v>
      </c>
      <c r="AL79" s="23">
        <f t="shared" si="102"/>
        <v>125710</v>
      </c>
      <c r="AM79" s="23">
        <f t="shared" si="102"/>
        <v>96700</v>
      </c>
      <c r="AN79" s="23">
        <f t="shared" si="102"/>
        <v>67690</v>
      </c>
      <c r="AO79" s="23">
        <f t="shared" si="102"/>
        <v>0</v>
      </c>
      <c r="AP79" s="23">
        <f t="shared" si="102"/>
        <v>0</v>
      </c>
      <c r="AQ79" s="23">
        <f t="shared" si="102"/>
        <v>0</v>
      </c>
      <c r="AR79" s="23">
        <f t="shared" si="102"/>
        <v>0</v>
      </c>
    </row>
    <row r="80" spans="2:44">
      <c r="B80" s="24" t="s">
        <v>91</v>
      </c>
      <c r="C80" s="25">
        <f>SUM(E80:N80)</f>
        <v>1774102.605590062</v>
      </c>
      <c r="D80" s="174">
        <f>D59-D76-D77-D78-D79</f>
        <v>23266070.325590059</v>
      </c>
      <c r="E80" s="26">
        <f t="shared" ref="E80:O80" si="103">E59-E76-E77-E78-E79</f>
        <v>-101059.6894409938</v>
      </c>
      <c r="F80" s="26">
        <f t="shared" si="103"/>
        <v>-101059.6894409938</v>
      </c>
      <c r="G80" s="26">
        <f t="shared" si="103"/>
        <v>741265.72055900621</v>
      </c>
      <c r="H80" s="26">
        <f t="shared" si="103"/>
        <v>-139739.6894409938</v>
      </c>
      <c r="I80" s="26">
        <f t="shared" si="103"/>
        <v>-3544.159440993797</v>
      </c>
      <c r="J80" s="26">
        <f t="shared" si="103"/>
        <v>649252.76055900613</v>
      </c>
      <c r="K80" s="27">
        <f t="shared" si="103"/>
        <v>354357.81055900618</v>
      </c>
      <c r="L80" s="26">
        <f t="shared" si="103"/>
        <v>309472.83055900619</v>
      </c>
      <c r="M80" s="27">
        <f t="shared" si="103"/>
        <v>-45302.60944099378</v>
      </c>
      <c r="N80" s="26">
        <f t="shared" si="103"/>
        <v>110459.32055900621</v>
      </c>
      <c r="O80" s="26">
        <f t="shared" si="103"/>
        <v>476451.44945900619</v>
      </c>
      <c r="P80" s="26">
        <f t="shared" ref="P80:U80" si="104">P59-P76-P77-P78-P79</f>
        <v>320077.34565900627</v>
      </c>
      <c r="Q80" s="26">
        <f t="shared" si="104"/>
        <v>333017.74175900617</v>
      </c>
      <c r="R80" s="26">
        <f t="shared" si="104"/>
        <v>115075.63055900624</v>
      </c>
      <c r="S80" s="26">
        <f t="shared" si="104"/>
        <v>324625.23055900622</v>
      </c>
      <c r="T80" s="26">
        <f t="shared" si="104"/>
        <v>90373.110559006192</v>
      </c>
      <c r="U80" s="26">
        <f t="shared" si="104"/>
        <v>112044.64055900625</v>
      </c>
      <c r="V80" s="26">
        <f t="shared" ref="V80:AJ80" si="105">V59-V76-V77-V78-V79</f>
        <v>485094.68655900611</v>
      </c>
      <c r="W80" s="26">
        <f t="shared" si="105"/>
        <v>610380.06055900618</v>
      </c>
      <c r="X80" s="26">
        <f t="shared" si="105"/>
        <v>818956.61855900625</v>
      </c>
      <c r="Y80" s="26">
        <f t="shared" si="105"/>
        <v>-98558.457440993778</v>
      </c>
      <c r="Z80" s="26">
        <f t="shared" si="105"/>
        <v>554906.19855900621</v>
      </c>
      <c r="AA80" s="26">
        <f t="shared" si="105"/>
        <v>816385.9925590062</v>
      </c>
      <c r="AB80" s="26">
        <f t="shared" si="105"/>
        <v>401244.5905590062</v>
      </c>
      <c r="AC80" s="26">
        <f t="shared" si="105"/>
        <v>91339.020559006225</v>
      </c>
      <c r="AD80" s="26">
        <f t="shared" si="105"/>
        <v>320766.0905590062</v>
      </c>
      <c r="AE80" s="26">
        <f t="shared" si="105"/>
        <v>349031.90055900626</v>
      </c>
      <c r="AF80" s="26">
        <f t="shared" si="105"/>
        <v>474328.44055900618</v>
      </c>
      <c r="AG80" s="26">
        <f t="shared" si="105"/>
        <v>469489.79055900616</v>
      </c>
      <c r="AH80" s="26">
        <f t="shared" si="105"/>
        <v>411355.19055900618</v>
      </c>
      <c r="AI80" s="26">
        <f t="shared" si="105"/>
        <v>250676.31055900618</v>
      </c>
      <c r="AJ80" s="26">
        <f t="shared" si="105"/>
        <v>204644.17055900616</v>
      </c>
      <c r="AK80" s="26">
        <f t="shared" ref="AK80" si="106">AK59-AK76-AK77-AK78-AK79</f>
        <v>238313.99055900623</v>
      </c>
      <c r="AL80" s="26">
        <f t="shared" ref="AL80" si="107">AL59-AL76-AL77-AL78-AL79</f>
        <v>446126.53055900615</v>
      </c>
      <c r="AM80" s="26">
        <f t="shared" ref="AM80" si="108">AM59-AM76-AM77-AM78-AM79</f>
        <v>469261.99055900623</v>
      </c>
      <c r="AN80" s="26">
        <f t="shared" ref="AN80" si="109">AN59-AN76-AN77-AN78-AN79</f>
        <v>25546.89055900622</v>
      </c>
      <c r="AO80" s="26">
        <f t="shared" ref="AO80" si="110">AO59-AO76-AO77-AO78-AO79</f>
        <v>-72049.689440993796</v>
      </c>
      <c r="AP80" s="26">
        <f t="shared" ref="AP80" si="111">AP59-AP76-AP77-AP78-AP79</f>
        <v>-72049.689440993796</v>
      </c>
      <c r="AQ80" s="26">
        <f t="shared" ref="AQ80" si="112">AQ59-AQ76-AQ77-AQ78-AQ79</f>
        <v>-72049.689440993796</v>
      </c>
      <c r="AR80" s="26">
        <f t="shared" ref="AR80" si="113">AR59-AR76-AR77-AR78-AR79</f>
        <v>-72049.689440993796</v>
      </c>
    </row>
    <row r="81" spans="2:44">
      <c r="B81" s="320" t="s">
        <v>92</v>
      </c>
      <c r="C81" s="321"/>
      <c r="D81" s="326"/>
      <c r="E81" s="29">
        <f>E80</f>
        <v>-101059.6894409938</v>
      </c>
      <c r="F81" s="29">
        <f t="shared" ref="F81:U81" si="114">F80+E81</f>
        <v>-202119.37888198759</v>
      </c>
      <c r="G81" s="29">
        <f t="shared" si="114"/>
        <v>539146.34167701867</v>
      </c>
      <c r="H81" s="29">
        <f t="shared" si="114"/>
        <v>399406.65223602485</v>
      </c>
      <c r="I81" s="29">
        <f t="shared" si="114"/>
        <v>395862.49279503105</v>
      </c>
      <c r="J81" s="29">
        <f t="shared" si="114"/>
        <v>1045115.2533540372</v>
      </c>
      <c r="K81" s="28">
        <f t="shared" si="114"/>
        <v>1399473.0639130434</v>
      </c>
      <c r="L81" s="29">
        <f t="shared" si="114"/>
        <v>1708945.8944720495</v>
      </c>
      <c r="M81" s="28">
        <f t="shared" si="114"/>
        <v>1663643.2850310558</v>
      </c>
      <c r="N81" s="29">
        <f t="shared" si="114"/>
        <v>1774102.605590062</v>
      </c>
      <c r="O81" s="29">
        <f t="shared" si="114"/>
        <v>2250554.0550490683</v>
      </c>
      <c r="P81" s="29">
        <f t="shared" si="114"/>
        <v>2570631.4007080747</v>
      </c>
      <c r="Q81" s="29">
        <f t="shared" si="114"/>
        <v>2903649.1424670806</v>
      </c>
      <c r="R81" s="29">
        <f t="shared" si="114"/>
        <v>3018724.7730260869</v>
      </c>
      <c r="S81" s="29">
        <f t="shared" si="114"/>
        <v>3343350.0035850932</v>
      </c>
      <c r="T81" s="29">
        <f t="shared" si="114"/>
        <v>3433723.1141440994</v>
      </c>
      <c r="U81" s="29">
        <f t="shared" si="114"/>
        <v>3545767.7547031054</v>
      </c>
      <c r="V81" s="29">
        <f t="shared" ref="V81" si="115">V80+U81</f>
        <v>4030862.4412621115</v>
      </c>
      <c r="W81" s="29">
        <f t="shared" ref="W81" si="116">W80+V81</f>
        <v>4641242.5018211175</v>
      </c>
      <c r="X81" s="29">
        <f t="shared" ref="X81" si="117">X80+W81</f>
        <v>5460199.1203801241</v>
      </c>
      <c r="Y81" s="29">
        <f t="shared" ref="Y81" si="118">Y80+X81</f>
        <v>5361640.6629391303</v>
      </c>
      <c r="Z81" s="29">
        <f t="shared" ref="Z81" si="119">Z80+Y81</f>
        <v>5916546.8614981361</v>
      </c>
      <c r="AA81" s="29">
        <f t="shared" ref="AA81" si="120">AA80+Z81</f>
        <v>6732932.8540571425</v>
      </c>
      <c r="AB81" s="29">
        <f t="shared" ref="AB81" si="121">AB80+AA81</f>
        <v>7134177.4446161482</v>
      </c>
      <c r="AC81" s="29">
        <f t="shared" ref="AC81" si="122">AC80+AB81</f>
        <v>7225516.4651751546</v>
      </c>
      <c r="AD81" s="29">
        <f t="shared" ref="AD81" si="123">AD80+AC81</f>
        <v>7546282.5557341613</v>
      </c>
      <c r="AE81" s="29">
        <f t="shared" ref="AE81" si="124">AE80+AD81</f>
        <v>7895314.4562931675</v>
      </c>
      <c r="AF81" s="29">
        <f t="shared" ref="AF81" si="125">AF80+AE81</f>
        <v>8369642.8968521738</v>
      </c>
      <c r="AG81" s="29">
        <f t="shared" ref="AG81" si="126">AG80+AF81</f>
        <v>8839132.6874111798</v>
      </c>
      <c r="AH81" s="29">
        <f t="shared" ref="AH81" si="127">AH80+AG81</f>
        <v>9250487.8779701851</v>
      </c>
      <c r="AI81" s="29">
        <f t="shared" ref="AI81" si="128">AI80+AH81</f>
        <v>9501164.1885291915</v>
      </c>
      <c r="AJ81" s="29">
        <f t="shared" ref="AJ81" si="129">AJ80+AI81</f>
        <v>9705808.3590881974</v>
      </c>
      <c r="AK81" s="29">
        <f t="shared" ref="AK81" si="130">AK80+AJ81</f>
        <v>9944122.3496472035</v>
      </c>
      <c r="AL81" s="29">
        <f t="shared" ref="AL81" si="131">AL80+AK81</f>
        <v>10390248.880206209</v>
      </c>
      <c r="AM81" s="29">
        <f t="shared" ref="AM81" si="132">AM80+AL81</f>
        <v>10859510.870765215</v>
      </c>
      <c r="AN81" s="29">
        <f t="shared" ref="AN81" si="133">AN80+AM81</f>
        <v>10885057.761324221</v>
      </c>
      <c r="AO81" s="29">
        <f t="shared" ref="AO81" si="134">AO80+AN81</f>
        <v>10813008.071883228</v>
      </c>
      <c r="AP81" s="29">
        <f t="shared" ref="AP81" si="135">AP80+AO81</f>
        <v>10740958.382442234</v>
      </c>
      <c r="AQ81" s="29">
        <f t="shared" ref="AQ81" si="136">AQ80+AP81</f>
        <v>10668908.69300124</v>
      </c>
      <c r="AR81" s="29">
        <f t="shared" ref="AR81" si="137">AR80+AQ81</f>
        <v>10596859.003560247</v>
      </c>
    </row>
    <row r="82" spans="2:44">
      <c r="D82">
        <f>D80/D59</f>
        <v>0.87874691250301284</v>
      </c>
    </row>
    <row r="84" spans="2:44">
      <c r="B84" s="30" t="s">
        <v>93</v>
      </c>
      <c r="C84" s="31">
        <f>D41/D26</f>
        <v>0.64980114436438319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R81 B8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44:F44" evalError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AF72-75F3-4EAE-8619-6960A63F2864}">
  <dimension ref="A2:AW93"/>
  <sheetViews>
    <sheetView workbookViewId="0">
      <selection activeCell="E27" sqref="E27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6" max="6" width="9.140625"/>
    <col min="7" max="8" width="11.28515625" bestFit="1" customWidth="1"/>
  </cols>
  <sheetData>
    <row r="2" spans="2:49" ht="15.75">
      <c r="B2" s="54" t="s">
        <v>0</v>
      </c>
      <c r="C2" s="109" t="s">
        <v>1</v>
      </c>
    </row>
    <row r="3" spans="2:49" ht="15.75">
      <c r="B3" s="54" t="s">
        <v>2</v>
      </c>
      <c r="C3" s="109">
        <v>10</v>
      </c>
    </row>
    <row r="4" spans="2:49" ht="15.75">
      <c r="B4" s="54" t="s">
        <v>3</v>
      </c>
      <c r="C4" s="110" t="s">
        <v>246</v>
      </c>
    </row>
    <row r="5" spans="2:49" ht="15.75">
      <c r="B5" s="54" t="s">
        <v>4</v>
      </c>
      <c r="C5" s="110"/>
    </row>
    <row r="6" spans="2:49" ht="15.75">
      <c r="B6" s="179" t="s">
        <v>230</v>
      </c>
      <c r="C6" s="110" t="s">
        <v>247</v>
      </c>
    </row>
    <row r="7" spans="2:49" ht="15.75">
      <c r="B7" s="2"/>
      <c r="C7" s="2"/>
    </row>
    <row r="8" spans="2:49" ht="15.75">
      <c r="B8" s="54" t="s">
        <v>5</v>
      </c>
      <c r="D8" s="41" t="s">
        <v>6</v>
      </c>
      <c r="E8" s="42">
        <v>44858</v>
      </c>
      <c r="F8" s="42">
        <v>44859</v>
      </c>
      <c r="G8" s="42">
        <v>44860</v>
      </c>
      <c r="H8" s="42">
        <v>44861</v>
      </c>
      <c r="I8" s="42">
        <v>44862</v>
      </c>
      <c r="J8" s="42">
        <v>44863</v>
      </c>
      <c r="K8" s="42">
        <v>44864</v>
      </c>
      <c r="L8" s="42">
        <v>44865</v>
      </c>
      <c r="M8" s="42">
        <v>44866</v>
      </c>
      <c r="N8" s="42">
        <v>44867</v>
      </c>
      <c r="O8" s="42">
        <v>44868</v>
      </c>
      <c r="P8" s="42">
        <v>44869</v>
      </c>
      <c r="Q8" s="42">
        <v>44870</v>
      </c>
      <c r="R8" s="42">
        <v>44871</v>
      </c>
      <c r="S8" s="42">
        <v>44872</v>
      </c>
      <c r="T8" s="42">
        <v>44873</v>
      </c>
      <c r="U8" s="42">
        <v>44874</v>
      </c>
      <c r="V8" s="42">
        <v>44875</v>
      </c>
      <c r="W8" s="42">
        <v>44876</v>
      </c>
      <c r="X8" s="42">
        <v>44877</v>
      </c>
      <c r="Y8" s="42">
        <v>44878</v>
      </c>
      <c r="Z8" s="42">
        <v>44879</v>
      </c>
      <c r="AA8" s="42">
        <v>44880</v>
      </c>
      <c r="AB8" s="42">
        <v>44881</v>
      </c>
      <c r="AC8" s="42">
        <v>44882</v>
      </c>
      <c r="AD8" s="42">
        <v>44883</v>
      </c>
      <c r="AE8" s="42">
        <v>44884</v>
      </c>
      <c r="AF8" s="42">
        <v>44885</v>
      </c>
      <c r="AG8" s="42">
        <v>44886</v>
      </c>
      <c r="AH8" s="42">
        <v>44887</v>
      </c>
      <c r="AI8" s="42">
        <v>44888</v>
      </c>
      <c r="AJ8" s="42">
        <v>44889</v>
      </c>
      <c r="AK8" s="42">
        <v>44890</v>
      </c>
      <c r="AL8" s="42">
        <v>44891</v>
      </c>
      <c r="AM8" s="42">
        <v>44892</v>
      </c>
      <c r="AN8" s="42">
        <v>44893</v>
      </c>
      <c r="AO8" s="42">
        <v>44894</v>
      </c>
      <c r="AP8" s="42">
        <v>44895</v>
      </c>
      <c r="AQ8" s="42">
        <v>44896</v>
      </c>
      <c r="AR8" s="42">
        <v>44897</v>
      </c>
      <c r="AS8" s="42">
        <v>44898</v>
      </c>
      <c r="AT8" s="42">
        <v>44899</v>
      </c>
      <c r="AU8" s="42">
        <v>44900</v>
      </c>
      <c r="AV8" s="42">
        <v>44901</v>
      </c>
      <c r="AW8" s="42">
        <v>44902</v>
      </c>
    </row>
    <row r="9" spans="2:49">
      <c r="B9" s="46" t="s">
        <v>7</v>
      </c>
      <c r="C9" s="47" t="s">
        <v>8</v>
      </c>
      <c r="D9" s="71">
        <f>SUM(E9:N9)</f>
        <v>167</v>
      </c>
      <c r="E9" s="114">
        <v>0</v>
      </c>
      <c r="F9" s="114">
        <v>0</v>
      </c>
      <c r="G9" s="114">
        <v>6</v>
      </c>
      <c r="H9" s="114">
        <v>17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24</v>
      </c>
      <c r="O9" s="114">
        <v>14</v>
      </c>
      <c r="P9" s="114">
        <v>24</v>
      </c>
      <c r="Q9" s="114">
        <v>21</v>
      </c>
      <c r="R9" s="114">
        <v>0</v>
      </c>
      <c r="S9" s="114">
        <v>12</v>
      </c>
      <c r="T9" s="114">
        <v>24</v>
      </c>
      <c r="U9" s="114">
        <v>24</v>
      </c>
      <c r="V9" s="114">
        <v>21</v>
      </c>
      <c r="W9" s="114">
        <v>24</v>
      </c>
      <c r="X9" s="114">
        <v>24</v>
      </c>
      <c r="Y9" s="114">
        <v>19</v>
      </c>
      <c r="Z9" s="114">
        <v>24</v>
      </c>
      <c r="AA9" s="114">
        <v>24</v>
      </c>
      <c r="AB9" s="114">
        <v>24</v>
      </c>
      <c r="AC9" s="114">
        <v>24</v>
      </c>
      <c r="AD9" s="114">
        <v>23</v>
      </c>
      <c r="AE9" s="114">
        <v>19</v>
      </c>
      <c r="AF9" s="114">
        <v>24</v>
      </c>
      <c r="AG9" s="114">
        <v>24</v>
      </c>
      <c r="AH9" s="114">
        <v>24</v>
      </c>
      <c r="AI9" s="114">
        <v>24</v>
      </c>
      <c r="AJ9" s="114">
        <v>24</v>
      </c>
      <c r="AK9" s="114">
        <v>24</v>
      </c>
      <c r="AL9" s="114">
        <v>19</v>
      </c>
      <c r="AM9" s="114">
        <v>19</v>
      </c>
      <c r="AN9" s="114" t="s">
        <v>248</v>
      </c>
      <c r="AO9" s="114">
        <v>0</v>
      </c>
      <c r="AP9" s="114">
        <v>0</v>
      </c>
      <c r="AQ9" s="114">
        <v>0</v>
      </c>
      <c r="AR9" s="114">
        <v>12</v>
      </c>
      <c r="AS9" s="114">
        <v>24</v>
      </c>
      <c r="AT9" s="114">
        <v>24</v>
      </c>
      <c r="AU9" s="114">
        <v>0</v>
      </c>
      <c r="AV9" s="114">
        <v>0</v>
      </c>
      <c r="AW9" s="114">
        <v>0</v>
      </c>
    </row>
    <row r="10" spans="2:49">
      <c r="B10" s="48" t="s">
        <v>9</v>
      </c>
      <c r="C10" s="38" t="s">
        <v>8</v>
      </c>
      <c r="D10" s="71">
        <f t="shared" ref="D10:D16" si="0">SUM(E10:K10)</f>
        <v>26</v>
      </c>
      <c r="E10" s="115">
        <v>0</v>
      </c>
      <c r="F10" s="115">
        <v>1</v>
      </c>
      <c r="G10" s="115">
        <v>18</v>
      </c>
      <c r="H10" s="115">
        <v>7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10</v>
      </c>
      <c r="P10" s="115">
        <v>0</v>
      </c>
      <c r="Q10" s="115">
        <v>3</v>
      </c>
      <c r="R10" s="115">
        <v>24</v>
      </c>
      <c r="S10" s="115">
        <v>12</v>
      </c>
      <c r="T10" s="115">
        <v>0</v>
      </c>
      <c r="U10" s="115">
        <v>0</v>
      </c>
      <c r="V10" s="115">
        <v>3</v>
      </c>
      <c r="W10" s="115">
        <v>0</v>
      </c>
      <c r="X10" s="115">
        <v>0</v>
      </c>
      <c r="Y10" s="115">
        <v>5</v>
      </c>
      <c r="Z10" s="115">
        <v>0</v>
      </c>
      <c r="AA10" s="115">
        <v>0</v>
      </c>
      <c r="AB10" s="115">
        <v>0</v>
      </c>
      <c r="AC10" s="115">
        <v>0</v>
      </c>
      <c r="AD10" s="115">
        <v>1</v>
      </c>
      <c r="AE10" s="115">
        <v>5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5</v>
      </c>
      <c r="AM10" s="115">
        <v>5</v>
      </c>
      <c r="AN10" s="115" t="s">
        <v>225</v>
      </c>
      <c r="AO10" s="115">
        <v>0</v>
      </c>
      <c r="AP10" s="115">
        <v>0</v>
      </c>
      <c r="AQ10" s="115">
        <v>0</v>
      </c>
      <c r="AR10" s="115">
        <v>12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</row>
    <row r="11" spans="2:49">
      <c r="B11" s="48" t="s">
        <v>10</v>
      </c>
      <c r="C11" s="38" t="s">
        <v>8</v>
      </c>
      <c r="D11" s="71">
        <f t="shared" si="0"/>
        <v>29</v>
      </c>
      <c r="E11" s="115">
        <v>6</v>
      </c>
      <c r="F11" s="115">
        <v>23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</row>
    <row r="12" spans="2:49">
      <c r="B12" s="48" t="s">
        <v>11</v>
      </c>
      <c r="C12" s="38" t="s">
        <v>8</v>
      </c>
      <c r="D12" s="71">
        <f t="shared" si="0"/>
        <v>5</v>
      </c>
      <c r="E12" s="115">
        <v>5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  <c r="AS12" s="115">
        <v>0</v>
      </c>
      <c r="AT12" s="115">
        <v>0</v>
      </c>
      <c r="AU12" s="115">
        <v>0</v>
      </c>
      <c r="AV12" s="115">
        <v>0</v>
      </c>
      <c r="AW12" s="115">
        <v>0</v>
      </c>
    </row>
    <row r="13" spans="2:49">
      <c r="B13" s="48" t="s">
        <v>12</v>
      </c>
      <c r="C13" s="38" t="s">
        <v>8</v>
      </c>
      <c r="D13" s="71">
        <f t="shared" si="0"/>
        <v>13</v>
      </c>
      <c r="E13" s="115">
        <v>13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  <c r="AS13" s="115">
        <v>0</v>
      </c>
      <c r="AT13" s="115">
        <v>0</v>
      </c>
      <c r="AU13" s="115">
        <v>0</v>
      </c>
      <c r="AV13" s="115">
        <v>0</v>
      </c>
      <c r="AW13" s="115">
        <v>0</v>
      </c>
    </row>
    <row r="14" spans="2:49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  <c r="AS14" s="115">
        <v>0</v>
      </c>
      <c r="AT14" s="115">
        <v>0</v>
      </c>
      <c r="AU14" s="115">
        <v>0</v>
      </c>
      <c r="AV14" s="115">
        <v>0</v>
      </c>
      <c r="AW14" s="115">
        <v>0</v>
      </c>
    </row>
    <row r="15" spans="2:49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  <c r="AS15" s="116">
        <v>0</v>
      </c>
      <c r="AT15" s="116">
        <v>0</v>
      </c>
      <c r="AU15" s="116">
        <v>0</v>
      </c>
      <c r="AV15" s="116">
        <v>0</v>
      </c>
      <c r="AW15" s="116">
        <v>0</v>
      </c>
    </row>
    <row r="16" spans="2:49">
      <c r="B16" s="68" t="s">
        <v>15</v>
      </c>
      <c r="C16" s="69" t="s">
        <v>8</v>
      </c>
      <c r="D16" s="70">
        <f t="shared" si="0"/>
        <v>168</v>
      </c>
      <c r="E16" s="117">
        <f t="shared" ref="E16:AR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24</v>
      </c>
      <c r="AM16" s="117">
        <f t="shared" si="1"/>
        <v>24</v>
      </c>
      <c r="AN16" s="117">
        <f t="shared" si="1"/>
        <v>0</v>
      </c>
      <c r="AO16" s="117">
        <f t="shared" si="1"/>
        <v>0</v>
      </c>
      <c r="AP16" s="117">
        <f t="shared" si="1"/>
        <v>0</v>
      </c>
      <c r="AQ16" s="117">
        <f t="shared" si="1"/>
        <v>0</v>
      </c>
      <c r="AR16" s="117">
        <f t="shared" si="1"/>
        <v>24</v>
      </c>
      <c r="AS16" s="117">
        <f t="shared" ref="AS16:AW16" si="2">SUM(AS9:AS15)</f>
        <v>24</v>
      </c>
      <c r="AT16" s="117">
        <f t="shared" si="2"/>
        <v>24</v>
      </c>
      <c r="AU16" s="117">
        <f t="shared" si="2"/>
        <v>0</v>
      </c>
      <c r="AV16" s="117">
        <f t="shared" si="2"/>
        <v>0</v>
      </c>
      <c r="AW16" s="117">
        <f t="shared" si="2"/>
        <v>0</v>
      </c>
    </row>
    <row r="18" spans="1:49">
      <c r="B18" s="50" t="s">
        <v>16</v>
      </c>
      <c r="C18" s="50" t="s">
        <v>0</v>
      </c>
      <c r="D18" s="58">
        <f>SUM(E18:K18)</f>
        <v>0</v>
      </c>
      <c r="E18" s="127" t="s">
        <v>203</v>
      </c>
      <c r="F18" s="127" t="s">
        <v>203</v>
      </c>
      <c r="G18" s="127" t="s">
        <v>175</v>
      </c>
      <c r="H18" s="127" t="s">
        <v>249</v>
      </c>
      <c r="I18" s="127" t="s">
        <v>249</v>
      </c>
      <c r="J18" s="127" t="s">
        <v>249</v>
      </c>
      <c r="K18" s="127" t="s">
        <v>249</v>
      </c>
      <c r="L18" s="127" t="s">
        <v>249</v>
      </c>
      <c r="M18" s="127" t="s">
        <v>249</v>
      </c>
      <c r="N18" s="127" t="s">
        <v>249</v>
      </c>
      <c r="O18" s="127" t="s">
        <v>249</v>
      </c>
      <c r="P18" s="127" t="s">
        <v>176</v>
      </c>
      <c r="Q18" s="127" t="s">
        <v>176</v>
      </c>
      <c r="R18" s="127">
        <v>0</v>
      </c>
      <c r="S18" s="127" t="s">
        <v>175</v>
      </c>
      <c r="T18" s="127" t="s">
        <v>175</v>
      </c>
      <c r="U18" s="127" t="s">
        <v>175</v>
      </c>
      <c r="V18" s="127" t="s">
        <v>175</v>
      </c>
      <c r="W18" s="127" t="s">
        <v>175</v>
      </c>
      <c r="X18" s="127" t="s">
        <v>175</v>
      </c>
      <c r="Y18" s="127" t="s">
        <v>175</v>
      </c>
      <c r="Z18" s="127" t="s">
        <v>250</v>
      </c>
      <c r="AA18" s="127" t="s">
        <v>250</v>
      </c>
      <c r="AB18" s="127" t="s">
        <v>175</v>
      </c>
      <c r="AC18" s="127" t="s">
        <v>175</v>
      </c>
      <c r="AD18" s="127" t="s">
        <v>250</v>
      </c>
      <c r="AE18" s="127" t="s">
        <v>250</v>
      </c>
      <c r="AF18" s="127" t="s">
        <v>251</v>
      </c>
      <c r="AG18" s="127" t="s">
        <v>251</v>
      </c>
      <c r="AH18" s="127" t="s">
        <v>251</v>
      </c>
      <c r="AI18" s="127" t="s">
        <v>251</v>
      </c>
      <c r="AJ18" s="127" t="s">
        <v>251</v>
      </c>
      <c r="AK18" s="127" t="s">
        <v>251</v>
      </c>
      <c r="AL18" s="127" t="s">
        <v>251</v>
      </c>
      <c r="AM18" s="127" t="s">
        <v>250</v>
      </c>
      <c r="AN18" s="127" t="s">
        <v>176</v>
      </c>
      <c r="AO18" s="127"/>
      <c r="AP18" s="127"/>
      <c r="AQ18" s="127" t="s">
        <v>203</v>
      </c>
      <c r="AR18" s="127" t="s">
        <v>117</v>
      </c>
      <c r="AS18" s="127" t="s">
        <v>252</v>
      </c>
      <c r="AT18" s="127" t="s">
        <v>252</v>
      </c>
      <c r="AU18" s="127" t="s">
        <v>253</v>
      </c>
      <c r="AV18" s="127" t="s">
        <v>252</v>
      </c>
      <c r="AW18" s="127" t="s">
        <v>128</v>
      </c>
    </row>
    <row r="19" spans="1:49">
      <c r="B19" s="37" t="s">
        <v>31</v>
      </c>
      <c r="C19" s="37" t="s">
        <v>32</v>
      </c>
      <c r="D19" s="131">
        <f>SUM(E19:AR19)</f>
        <v>468</v>
      </c>
      <c r="E19" s="162">
        <v>0</v>
      </c>
      <c r="F19" s="162">
        <v>0</v>
      </c>
      <c r="G19" s="162">
        <v>5</v>
      </c>
      <c r="H19" s="162">
        <v>10</v>
      </c>
      <c r="I19" s="162">
        <v>20</v>
      </c>
      <c r="J19" s="162">
        <v>20</v>
      </c>
      <c r="K19" s="162">
        <v>15</v>
      </c>
      <c r="L19" s="162">
        <v>20</v>
      </c>
      <c r="M19" s="162">
        <v>15</v>
      </c>
      <c r="N19" s="162">
        <v>20</v>
      </c>
      <c r="O19" s="162">
        <v>14</v>
      </c>
      <c r="P19" s="162">
        <v>18</v>
      </c>
      <c r="Q19" s="162">
        <v>17</v>
      </c>
      <c r="R19" s="162">
        <v>0</v>
      </c>
      <c r="S19" s="162">
        <v>4.5</v>
      </c>
      <c r="T19" s="162">
        <v>23.5</v>
      </c>
      <c r="U19" s="162" t="s">
        <v>254</v>
      </c>
      <c r="V19" s="162">
        <v>16</v>
      </c>
      <c r="W19" s="162">
        <v>19</v>
      </c>
      <c r="X19" s="162">
        <v>20</v>
      </c>
      <c r="Y19" s="162">
        <v>16</v>
      </c>
      <c r="Z19" s="162">
        <v>22</v>
      </c>
      <c r="AA19" s="162">
        <v>20</v>
      </c>
      <c r="AB19" s="162" t="s">
        <v>183</v>
      </c>
      <c r="AC19" s="162">
        <v>19</v>
      </c>
      <c r="AD19" s="162" t="s">
        <v>33</v>
      </c>
      <c r="AE19" s="162">
        <v>19</v>
      </c>
      <c r="AF19" s="162">
        <v>20</v>
      </c>
      <c r="AG19" s="162">
        <v>18</v>
      </c>
      <c r="AH19" s="162" t="s">
        <v>254</v>
      </c>
      <c r="AI19" s="162" t="s">
        <v>34</v>
      </c>
      <c r="AJ19" s="162">
        <v>19</v>
      </c>
      <c r="AK19" s="162">
        <v>19</v>
      </c>
      <c r="AL19" s="162" t="s">
        <v>187</v>
      </c>
      <c r="AM19" s="162">
        <v>14</v>
      </c>
      <c r="AN19" s="162">
        <v>15</v>
      </c>
      <c r="AO19" s="162">
        <v>0</v>
      </c>
      <c r="AP19" s="162"/>
      <c r="AQ19" s="162" t="s">
        <v>128</v>
      </c>
      <c r="AR19" s="162">
        <v>10</v>
      </c>
      <c r="AS19" s="162">
        <v>20</v>
      </c>
      <c r="AT19" s="162">
        <v>15.5</v>
      </c>
      <c r="AU19" s="162">
        <v>13.5</v>
      </c>
      <c r="AV19" s="162" t="s">
        <v>128</v>
      </c>
      <c r="AW19" s="162" t="s">
        <v>128</v>
      </c>
    </row>
    <row r="20" spans="1:49">
      <c r="B20" s="37" t="s">
        <v>35</v>
      </c>
      <c r="C20" s="37" t="s">
        <v>36</v>
      </c>
      <c r="D20" s="131">
        <f>SUM(E20:AR20)</f>
        <v>122</v>
      </c>
      <c r="E20" s="162">
        <v>0</v>
      </c>
      <c r="F20" s="162">
        <v>0</v>
      </c>
      <c r="G20" s="162">
        <v>1</v>
      </c>
      <c r="H20" s="162">
        <v>2</v>
      </c>
      <c r="I20" s="162">
        <v>4</v>
      </c>
      <c r="J20" s="162">
        <v>4</v>
      </c>
      <c r="K20" s="162">
        <v>3</v>
      </c>
      <c r="L20" s="162">
        <v>4</v>
      </c>
      <c r="M20" s="162">
        <v>3</v>
      </c>
      <c r="N20" s="162">
        <v>4</v>
      </c>
      <c r="O20" s="162">
        <v>3</v>
      </c>
      <c r="P20" s="162">
        <v>4</v>
      </c>
      <c r="Q20" s="162">
        <v>4</v>
      </c>
      <c r="R20" s="162">
        <v>0</v>
      </c>
      <c r="S20" s="162">
        <v>1</v>
      </c>
      <c r="T20" s="162">
        <v>5</v>
      </c>
      <c r="U20" s="162">
        <v>4</v>
      </c>
      <c r="V20" s="162">
        <v>4</v>
      </c>
      <c r="W20" s="162">
        <v>4</v>
      </c>
      <c r="X20" s="162">
        <v>4</v>
      </c>
      <c r="Y20" s="162">
        <v>3</v>
      </c>
      <c r="Z20" s="162">
        <v>5</v>
      </c>
      <c r="AA20" s="162">
        <v>4</v>
      </c>
      <c r="AB20" s="162">
        <v>4</v>
      </c>
      <c r="AC20" s="162">
        <v>4</v>
      </c>
      <c r="AD20" s="162">
        <v>3</v>
      </c>
      <c r="AE20" s="162">
        <v>4</v>
      </c>
      <c r="AF20" s="162">
        <v>4</v>
      </c>
      <c r="AG20" s="162">
        <v>4</v>
      </c>
      <c r="AH20" s="162">
        <v>4</v>
      </c>
      <c r="AI20" s="162">
        <v>4</v>
      </c>
      <c r="AJ20" s="162">
        <v>4</v>
      </c>
      <c r="AK20" s="162">
        <v>4</v>
      </c>
      <c r="AL20" s="162">
        <v>4</v>
      </c>
      <c r="AM20" s="162">
        <v>3</v>
      </c>
      <c r="AN20" s="162">
        <v>4</v>
      </c>
      <c r="AO20" s="162"/>
      <c r="AP20" s="162"/>
      <c r="AQ20" s="162" t="s">
        <v>128</v>
      </c>
      <c r="AR20" s="162">
        <v>2</v>
      </c>
      <c r="AS20" s="162">
        <v>4</v>
      </c>
      <c r="AT20" s="162">
        <v>3</v>
      </c>
      <c r="AU20" s="162">
        <v>3</v>
      </c>
      <c r="AV20" s="162" t="s">
        <v>128</v>
      </c>
      <c r="AW20" s="162" t="s">
        <v>128</v>
      </c>
    </row>
    <row r="21" spans="1:49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 t="s">
        <v>227</v>
      </c>
      <c r="H21" s="129" t="s">
        <v>227</v>
      </c>
      <c r="I21" s="129" t="s">
        <v>227</v>
      </c>
      <c r="J21" s="129" t="s">
        <v>227</v>
      </c>
      <c r="K21" s="129" t="s">
        <v>227</v>
      </c>
      <c r="L21" s="129" t="s">
        <v>227</v>
      </c>
      <c r="M21" s="129" t="s">
        <v>227</v>
      </c>
      <c r="N21" s="129" t="s">
        <v>227</v>
      </c>
      <c r="O21" s="129" t="s">
        <v>227</v>
      </c>
      <c r="P21" s="129" t="s">
        <v>227</v>
      </c>
      <c r="Q21" s="129" t="s">
        <v>227</v>
      </c>
      <c r="R21" s="129">
        <v>0</v>
      </c>
      <c r="S21" s="129" t="s">
        <v>227</v>
      </c>
      <c r="T21" s="129" t="s">
        <v>227</v>
      </c>
      <c r="U21" s="129" t="s">
        <v>227</v>
      </c>
      <c r="V21" s="129" t="s">
        <v>227</v>
      </c>
      <c r="W21" s="129" t="s">
        <v>227</v>
      </c>
      <c r="X21" s="129" t="s">
        <v>40</v>
      </c>
      <c r="Y21" s="129" t="s">
        <v>40</v>
      </c>
      <c r="Z21" s="129" t="s">
        <v>40</v>
      </c>
      <c r="AA21" s="129" t="s">
        <v>40</v>
      </c>
      <c r="AB21" s="129" t="s">
        <v>40</v>
      </c>
      <c r="AC21" s="129" t="s">
        <v>227</v>
      </c>
      <c r="AD21" s="129" t="s">
        <v>40</v>
      </c>
      <c r="AE21" s="129" t="s">
        <v>40</v>
      </c>
      <c r="AF21" s="129" t="s">
        <v>227</v>
      </c>
      <c r="AG21" s="129" t="s">
        <v>227</v>
      </c>
      <c r="AH21" s="129" t="s">
        <v>227</v>
      </c>
      <c r="AI21" s="129" t="s">
        <v>227</v>
      </c>
      <c r="AJ21" s="129" t="s">
        <v>227</v>
      </c>
      <c r="AK21" s="129" t="s">
        <v>227</v>
      </c>
      <c r="AL21" s="129" t="s">
        <v>227</v>
      </c>
      <c r="AM21" s="129" t="s">
        <v>227</v>
      </c>
      <c r="AN21" s="129" t="s">
        <v>227</v>
      </c>
      <c r="AO21" s="129">
        <v>0</v>
      </c>
      <c r="AP21" s="129">
        <v>0</v>
      </c>
      <c r="AQ21" s="129" t="s">
        <v>128</v>
      </c>
      <c r="AR21" s="129" t="s">
        <v>228</v>
      </c>
      <c r="AS21" s="129" t="s">
        <v>40</v>
      </c>
      <c r="AT21" s="129" t="s">
        <v>40</v>
      </c>
      <c r="AU21" s="129" t="s">
        <v>40</v>
      </c>
      <c r="AV21" s="129" t="s">
        <v>128</v>
      </c>
      <c r="AW21" s="129" t="s">
        <v>128</v>
      </c>
    </row>
    <row r="22" spans="1:49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</row>
    <row r="24" spans="1:49">
      <c r="B24" s="167" t="s">
        <v>43</v>
      </c>
      <c r="C24" s="168">
        <f>D26/D19</f>
        <v>1455.7478632478633</v>
      </c>
    </row>
    <row r="25" spans="1:49">
      <c r="D25" s="10"/>
    </row>
    <row r="26" spans="1:49">
      <c r="A26" s="312" t="s">
        <v>44</v>
      </c>
      <c r="B26" s="35" t="s">
        <v>45</v>
      </c>
      <c r="C26" s="35"/>
      <c r="D26" s="175">
        <f>SUM(E26:AR26)</f>
        <v>681290</v>
      </c>
      <c r="E26" s="75">
        <f t="shared" ref="E26:AR26" si="3">SUM(E27:E38)</f>
        <v>0</v>
      </c>
      <c r="F26" s="175">
        <f t="shared" si="3"/>
        <v>0</v>
      </c>
      <c r="G26" s="75">
        <f t="shared" si="3"/>
        <v>2587</v>
      </c>
      <c r="H26" s="175">
        <f t="shared" si="3"/>
        <v>14686</v>
      </c>
      <c r="I26" s="75">
        <f t="shared" si="3"/>
        <v>23117</v>
      </c>
      <c r="J26" s="175">
        <f t="shared" si="3"/>
        <v>26617</v>
      </c>
      <c r="K26" s="75">
        <f t="shared" si="3"/>
        <v>10391</v>
      </c>
      <c r="L26" s="175">
        <f t="shared" si="3"/>
        <v>27915</v>
      </c>
      <c r="M26" s="75">
        <f t="shared" si="3"/>
        <v>18112</v>
      </c>
      <c r="N26" s="175">
        <f t="shared" si="3"/>
        <v>22073</v>
      </c>
      <c r="O26" s="75">
        <f t="shared" si="3"/>
        <v>18632</v>
      </c>
      <c r="P26" s="175">
        <f t="shared" si="3"/>
        <v>42316</v>
      </c>
      <c r="Q26" s="75">
        <f t="shared" si="3"/>
        <v>47563</v>
      </c>
      <c r="R26" s="175">
        <f t="shared" si="3"/>
        <v>0</v>
      </c>
      <c r="S26" s="75">
        <f t="shared" si="3"/>
        <v>4076</v>
      </c>
      <c r="T26" s="175">
        <f t="shared" si="3"/>
        <v>21978</v>
      </c>
      <c r="U26" s="75">
        <f t="shared" si="3"/>
        <v>23355</v>
      </c>
      <c r="V26" s="175">
        <f t="shared" si="3"/>
        <v>11151</v>
      </c>
      <c r="W26" s="75">
        <f t="shared" si="3"/>
        <v>15985</v>
      </c>
      <c r="X26" s="175">
        <f t="shared" si="3"/>
        <v>23204</v>
      </c>
      <c r="Y26" s="75">
        <f t="shared" si="3"/>
        <v>13873</v>
      </c>
      <c r="Z26" s="175">
        <f t="shared" si="3"/>
        <v>23007</v>
      </c>
      <c r="AA26" s="75">
        <f t="shared" si="3"/>
        <v>19572</v>
      </c>
      <c r="AB26" s="175">
        <f t="shared" si="3"/>
        <v>11026</v>
      </c>
      <c r="AC26" s="75">
        <f t="shared" si="3"/>
        <v>26148</v>
      </c>
      <c r="AD26" s="175">
        <f t="shared" si="3"/>
        <v>15743</v>
      </c>
      <c r="AE26" s="75">
        <f t="shared" si="3"/>
        <v>14892</v>
      </c>
      <c r="AF26" s="175">
        <f t="shared" si="3"/>
        <v>26448</v>
      </c>
      <c r="AG26" s="75">
        <f t="shared" si="3"/>
        <v>27626</v>
      </c>
      <c r="AH26" s="175">
        <f t="shared" si="3"/>
        <v>14708</v>
      </c>
      <c r="AI26" s="75">
        <f t="shared" si="3"/>
        <v>22707</v>
      </c>
      <c r="AJ26" s="175">
        <f t="shared" si="3"/>
        <v>21394</v>
      </c>
      <c r="AK26" s="75">
        <f t="shared" si="3"/>
        <v>17608</v>
      </c>
      <c r="AL26" s="175">
        <f t="shared" si="3"/>
        <v>13798</v>
      </c>
      <c r="AM26" s="75">
        <f t="shared" si="3"/>
        <v>10271</v>
      </c>
      <c r="AN26" s="175">
        <f t="shared" si="3"/>
        <v>39211</v>
      </c>
      <c r="AO26" s="75">
        <f t="shared" si="3"/>
        <v>0</v>
      </c>
      <c r="AP26" s="175">
        <f t="shared" si="3"/>
        <v>0</v>
      </c>
      <c r="AQ26" s="75">
        <f t="shared" si="3"/>
        <v>0</v>
      </c>
      <c r="AR26" s="175">
        <f t="shared" si="3"/>
        <v>9500</v>
      </c>
      <c r="AS26" s="175">
        <f t="shared" ref="AS26:AW26" si="4">SUM(AS27:AS38)</f>
        <v>33059</v>
      </c>
      <c r="AT26" s="175">
        <f t="shared" si="4"/>
        <v>13092</v>
      </c>
      <c r="AU26" s="175">
        <f t="shared" si="4"/>
        <v>19280</v>
      </c>
      <c r="AV26" s="175">
        <f t="shared" si="4"/>
        <v>0</v>
      </c>
      <c r="AW26" s="175">
        <f t="shared" si="4"/>
        <v>0</v>
      </c>
    </row>
    <row r="27" spans="1:49">
      <c r="A27" s="313"/>
      <c r="B27" s="37" t="s">
        <v>47</v>
      </c>
      <c r="C27" s="38" t="s">
        <v>48</v>
      </c>
      <c r="D27" s="73">
        <f t="shared" ref="D27:D36" si="5">SUM(E27:AR27)</f>
        <v>482890</v>
      </c>
      <c r="E27" s="55">
        <v>0</v>
      </c>
      <c r="F27" s="55">
        <v>0</v>
      </c>
      <c r="G27" s="55">
        <v>2401</v>
      </c>
      <c r="H27" s="55">
        <v>14165</v>
      </c>
      <c r="I27" s="55">
        <v>21387</v>
      </c>
      <c r="J27" s="55">
        <v>25478</v>
      </c>
      <c r="K27" s="55">
        <v>9801</v>
      </c>
      <c r="L27" s="55">
        <v>27296</v>
      </c>
      <c r="M27" s="55">
        <v>17138</v>
      </c>
      <c r="N27" s="55">
        <v>21449</v>
      </c>
      <c r="O27" s="55">
        <v>18032</v>
      </c>
      <c r="P27" s="55">
        <v>38427</v>
      </c>
      <c r="Q27" s="55">
        <v>46307</v>
      </c>
      <c r="R27" s="55">
        <v>0</v>
      </c>
      <c r="S27" s="55">
        <v>2060</v>
      </c>
      <c r="T27" s="55">
        <v>11934</v>
      </c>
      <c r="U27" s="55">
        <v>13924</v>
      </c>
      <c r="V27" s="55">
        <v>7823</v>
      </c>
      <c r="W27" s="55">
        <v>7753</v>
      </c>
      <c r="X27" s="55">
        <v>16875</v>
      </c>
      <c r="Y27" s="55">
        <v>10632</v>
      </c>
      <c r="Z27" s="55">
        <v>6274</v>
      </c>
      <c r="AA27" s="55">
        <v>13874</v>
      </c>
      <c r="AB27" s="55">
        <v>8526</v>
      </c>
      <c r="AC27" s="55">
        <v>20528</v>
      </c>
      <c r="AD27" s="55">
        <v>5873</v>
      </c>
      <c r="AE27" s="55">
        <v>7474</v>
      </c>
      <c r="AF27" s="55">
        <v>13344</v>
      </c>
      <c r="AG27" s="55">
        <v>9076</v>
      </c>
      <c r="AH27" s="55">
        <v>5733</v>
      </c>
      <c r="AI27" s="55">
        <v>10289</v>
      </c>
      <c r="AJ27" s="55">
        <v>10841</v>
      </c>
      <c r="AK27" s="55">
        <v>7456</v>
      </c>
      <c r="AL27" s="55">
        <v>6110</v>
      </c>
      <c r="AM27" s="55">
        <v>5874</v>
      </c>
      <c r="AN27" s="55">
        <v>37087</v>
      </c>
      <c r="AO27" s="55">
        <v>0</v>
      </c>
      <c r="AP27" s="55">
        <v>0</v>
      </c>
      <c r="AQ27" s="55" t="s">
        <v>128</v>
      </c>
      <c r="AR27" s="55">
        <v>1649</v>
      </c>
      <c r="AS27" s="55">
        <v>4700</v>
      </c>
      <c r="AT27" s="55">
        <v>1069</v>
      </c>
      <c r="AU27" s="55">
        <v>1850</v>
      </c>
      <c r="AV27" s="55">
        <v>0</v>
      </c>
      <c r="AW27" s="55">
        <v>0</v>
      </c>
    </row>
    <row r="28" spans="1:49">
      <c r="A28" s="313"/>
      <c r="B28" s="37" t="s">
        <v>49</v>
      </c>
      <c r="C28" s="38" t="s">
        <v>48</v>
      </c>
      <c r="D28" s="73">
        <f t="shared" si="5"/>
        <v>125016</v>
      </c>
      <c r="E28" s="55">
        <v>0</v>
      </c>
      <c r="F28" s="55">
        <v>0</v>
      </c>
      <c r="G28" s="55">
        <v>0</v>
      </c>
      <c r="H28" s="55">
        <v>0</v>
      </c>
      <c r="I28" s="55">
        <v>96</v>
      </c>
      <c r="J28" s="55">
        <v>96</v>
      </c>
      <c r="K28" s="55">
        <v>144</v>
      </c>
      <c r="L28" s="55">
        <v>48</v>
      </c>
      <c r="M28" s="55">
        <v>0</v>
      </c>
      <c r="N28" s="55">
        <v>0</v>
      </c>
      <c r="O28" s="55">
        <v>0</v>
      </c>
      <c r="P28" s="55">
        <v>432</v>
      </c>
      <c r="Q28" s="55">
        <v>528</v>
      </c>
      <c r="R28" s="55">
        <v>0</v>
      </c>
      <c r="S28" s="55">
        <v>2016</v>
      </c>
      <c r="T28" s="55">
        <v>8880</v>
      </c>
      <c r="U28" s="55">
        <v>5040</v>
      </c>
      <c r="V28" s="55">
        <v>2256</v>
      </c>
      <c r="W28" s="55">
        <v>7152</v>
      </c>
      <c r="X28" s="55">
        <v>5088</v>
      </c>
      <c r="Y28" s="55">
        <v>2544</v>
      </c>
      <c r="Z28" s="55">
        <v>5952</v>
      </c>
      <c r="AA28" s="55">
        <v>4464</v>
      </c>
      <c r="AB28" s="55">
        <v>2016</v>
      </c>
      <c r="AC28" s="55">
        <v>3696</v>
      </c>
      <c r="AD28" s="55">
        <v>9360</v>
      </c>
      <c r="AE28" s="55">
        <v>5040</v>
      </c>
      <c r="AF28" s="55">
        <v>5808</v>
      </c>
      <c r="AG28" s="55">
        <v>16224</v>
      </c>
      <c r="AH28" s="55">
        <v>6960</v>
      </c>
      <c r="AI28" s="55">
        <v>8736</v>
      </c>
      <c r="AJ28" s="55">
        <v>7968</v>
      </c>
      <c r="AK28" s="55">
        <v>7296</v>
      </c>
      <c r="AL28" s="55">
        <v>4752</v>
      </c>
      <c r="AM28" s="55">
        <v>1968</v>
      </c>
      <c r="AN28" s="55">
        <v>264</v>
      </c>
      <c r="AO28" s="55">
        <v>0</v>
      </c>
      <c r="AP28" s="55">
        <v>0</v>
      </c>
      <c r="AQ28" s="55" t="s">
        <v>128</v>
      </c>
      <c r="AR28" s="55">
        <v>192</v>
      </c>
      <c r="AS28" s="55">
        <v>288</v>
      </c>
      <c r="AT28" s="55">
        <v>144</v>
      </c>
      <c r="AU28" s="55">
        <v>0</v>
      </c>
      <c r="AV28" s="55">
        <v>0</v>
      </c>
      <c r="AW28" s="55">
        <v>0</v>
      </c>
    </row>
    <row r="29" spans="1:49">
      <c r="A29" s="313"/>
      <c r="B29" s="37" t="s">
        <v>50</v>
      </c>
      <c r="C29" s="38" t="s">
        <v>48</v>
      </c>
      <c r="D29" s="73">
        <f t="shared" si="5"/>
        <v>8721</v>
      </c>
      <c r="E29" s="55">
        <v>0</v>
      </c>
      <c r="F29" s="55">
        <v>0</v>
      </c>
      <c r="G29" s="55"/>
      <c r="H29" s="55">
        <v>0</v>
      </c>
      <c r="I29" s="55"/>
      <c r="J29" s="55"/>
      <c r="K29" s="55"/>
      <c r="L29" s="55"/>
      <c r="M29" s="55"/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1089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23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 t="s">
        <v>128</v>
      </c>
      <c r="AR29" s="55">
        <v>7609</v>
      </c>
      <c r="AS29" s="55">
        <v>26949</v>
      </c>
      <c r="AT29" s="55">
        <v>11654</v>
      </c>
      <c r="AU29" s="55">
        <v>17149</v>
      </c>
      <c r="AV29" s="55">
        <v>0</v>
      </c>
      <c r="AW29" s="55">
        <v>0</v>
      </c>
    </row>
    <row r="30" spans="1:49">
      <c r="A30" s="313"/>
      <c r="B30" s="37" t="s">
        <v>51</v>
      </c>
      <c r="C30" s="38" t="s">
        <v>48</v>
      </c>
      <c r="D30" s="73">
        <f t="shared" si="5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  <c r="AS30" s="55">
        <v>0</v>
      </c>
      <c r="AT30" s="55">
        <v>0</v>
      </c>
      <c r="AU30" s="55">
        <v>0</v>
      </c>
      <c r="AV30" s="55">
        <v>0</v>
      </c>
      <c r="AW30" s="55">
        <v>0</v>
      </c>
    </row>
    <row r="31" spans="1:49">
      <c r="A31" s="313"/>
      <c r="B31" s="37" t="s">
        <v>52</v>
      </c>
      <c r="C31" s="38" t="s">
        <v>48</v>
      </c>
      <c r="D31" s="73">
        <f t="shared" si="5"/>
        <v>19020</v>
      </c>
      <c r="E31" s="55">
        <v>0</v>
      </c>
      <c r="F31" s="55">
        <v>0</v>
      </c>
      <c r="G31" s="55"/>
      <c r="H31" s="55">
        <v>60</v>
      </c>
      <c r="I31" s="55">
        <v>100</v>
      </c>
      <c r="J31" s="55">
        <v>60</v>
      </c>
      <c r="K31" s="55">
        <v>20</v>
      </c>
      <c r="L31" s="55">
        <v>20</v>
      </c>
      <c r="M31" s="55"/>
      <c r="N31" s="55">
        <v>0</v>
      </c>
      <c r="O31" s="55">
        <v>0</v>
      </c>
      <c r="P31" s="55">
        <v>1400</v>
      </c>
      <c r="Q31" s="55">
        <v>240</v>
      </c>
      <c r="R31" s="55">
        <v>0</v>
      </c>
      <c r="S31" s="55">
        <v>0</v>
      </c>
      <c r="T31" s="55">
        <v>0</v>
      </c>
      <c r="U31" s="55">
        <v>3100</v>
      </c>
      <c r="V31" s="55">
        <v>240</v>
      </c>
      <c r="W31" s="55">
        <v>0</v>
      </c>
      <c r="X31" s="55">
        <v>760</v>
      </c>
      <c r="Y31" s="55">
        <v>320</v>
      </c>
      <c r="Z31" s="55">
        <v>0</v>
      </c>
      <c r="AA31" s="55">
        <v>0</v>
      </c>
      <c r="AB31" s="55">
        <v>0</v>
      </c>
      <c r="AC31" s="55">
        <v>920</v>
      </c>
      <c r="AD31" s="55">
        <v>100</v>
      </c>
      <c r="AE31" s="55">
        <v>0</v>
      </c>
      <c r="AF31" s="55">
        <v>1620</v>
      </c>
      <c r="AG31" s="55">
        <v>660</v>
      </c>
      <c r="AH31" s="55">
        <v>1240</v>
      </c>
      <c r="AI31" s="55">
        <v>1240</v>
      </c>
      <c r="AJ31" s="55">
        <v>800</v>
      </c>
      <c r="AK31" s="55">
        <v>2320</v>
      </c>
      <c r="AL31" s="55">
        <v>2000</v>
      </c>
      <c r="AM31" s="55">
        <v>1320</v>
      </c>
      <c r="AN31" s="55">
        <v>480</v>
      </c>
      <c r="AO31" s="55">
        <v>0</v>
      </c>
      <c r="AP31" s="55">
        <v>0</v>
      </c>
      <c r="AQ31" s="55">
        <v>0</v>
      </c>
      <c r="AR31" s="55">
        <v>0</v>
      </c>
      <c r="AS31" s="55">
        <v>918</v>
      </c>
      <c r="AT31" s="55">
        <v>0</v>
      </c>
      <c r="AU31" s="55">
        <v>36</v>
      </c>
      <c r="AV31" s="55">
        <v>0</v>
      </c>
      <c r="AW31" s="55">
        <v>0</v>
      </c>
    </row>
    <row r="32" spans="1:49">
      <c r="A32" s="313"/>
      <c r="B32" s="37" t="s">
        <v>53</v>
      </c>
      <c r="C32" s="38" t="s">
        <v>48</v>
      </c>
      <c r="D32" s="73">
        <f t="shared" si="5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  <c r="AS32" s="55">
        <v>0</v>
      </c>
      <c r="AT32" s="55">
        <v>0</v>
      </c>
      <c r="AU32" s="55">
        <v>0</v>
      </c>
      <c r="AV32" s="55">
        <v>0</v>
      </c>
      <c r="AW32" s="55">
        <v>0</v>
      </c>
    </row>
    <row r="33" spans="1:49">
      <c r="A33" s="313"/>
      <c r="B33" s="37" t="s">
        <v>54</v>
      </c>
      <c r="C33" s="38" t="s">
        <v>48</v>
      </c>
      <c r="D33" s="73">
        <f t="shared" si="5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  <c r="AS33" s="55">
        <v>0</v>
      </c>
      <c r="AT33" s="55">
        <v>0</v>
      </c>
      <c r="AU33" s="55">
        <v>0</v>
      </c>
      <c r="AV33" s="55">
        <v>0</v>
      </c>
      <c r="AW33" s="55">
        <v>0</v>
      </c>
    </row>
    <row r="34" spans="1:49">
      <c r="A34" s="313"/>
      <c r="B34" s="37" t="s">
        <v>55</v>
      </c>
      <c r="C34" s="38" t="s">
        <v>48</v>
      </c>
      <c r="D34" s="73">
        <f t="shared" si="5"/>
        <v>7949</v>
      </c>
      <c r="E34" s="55">
        <v>0</v>
      </c>
      <c r="F34" s="55">
        <v>0</v>
      </c>
      <c r="G34" s="55">
        <v>0</v>
      </c>
      <c r="H34" s="55">
        <v>145</v>
      </c>
      <c r="I34" s="55">
        <v>764</v>
      </c>
      <c r="J34" s="55">
        <v>250</v>
      </c>
      <c r="K34" s="55">
        <v>104</v>
      </c>
      <c r="L34" s="55">
        <v>208</v>
      </c>
      <c r="M34" s="55">
        <v>749</v>
      </c>
      <c r="N34" s="55">
        <v>399</v>
      </c>
      <c r="O34" s="55">
        <v>475</v>
      </c>
      <c r="P34" s="55">
        <v>1921</v>
      </c>
      <c r="Q34" s="55">
        <v>148</v>
      </c>
      <c r="R34" s="55">
        <v>0</v>
      </c>
      <c r="S34" s="55">
        <v>0</v>
      </c>
      <c r="T34" s="55">
        <v>0</v>
      </c>
      <c r="U34" s="55">
        <v>63</v>
      </c>
      <c r="V34" s="55">
        <v>63</v>
      </c>
      <c r="W34" s="55">
        <v>62</v>
      </c>
      <c r="X34" s="55">
        <v>42</v>
      </c>
      <c r="Y34" s="55">
        <v>21</v>
      </c>
      <c r="Z34" s="55">
        <v>0</v>
      </c>
      <c r="AA34" s="55">
        <v>0</v>
      </c>
      <c r="AB34" s="55">
        <v>0</v>
      </c>
      <c r="AC34" s="55">
        <v>210</v>
      </c>
      <c r="AD34" s="55">
        <v>84</v>
      </c>
      <c r="AE34" s="55">
        <v>0</v>
      </c>
      <c r="AF34" s="55">
        <v>42</v>
      </c>
      <c r="AG34" s="55">
        <v>0</v>
      </c>
      <c r="AH34" s="55">
        <v>229</v>
      </c>
      <c r="AI34" s="55">
        <v>0</v>
      </c>
      <c r="AJ34" s="55">
        <v>0</v>
      </c>
      <c r="AK34" s="55">
        <v>62</v>
      </c>
      <c r="AL34" s="55">
        <v>0</v>
      </c>
      <c r="AM34" s="55">
        <v>621</v>
      </c>
      <c r="AN34" s="55">
        <v>1287</v>
      </c>
      <c r="AO34" s="55">
        <v>0</v>
      </c>
      <c r="AP34" s="55">
        <v>0</v>
      </c>
      <c r="AQ34" s="55">
        <v>0</v>
      </c>
      <c r="AR34" s="55">
        <v>0</v>
      </c>
      <c r="AS34" s="55">
        <v>0</v>
      </c>
      <c r="AT34" s="55">
        <v>0</v>
      </c>
      <c r="AU34" s="55">
        <v>0</v>
      </c>
      <c r="AV34" s="55">
        <v>0</v>
      </c>
      <c r="AW34" s="55">
        <v>0</v>
      </c>
    </row>
    <row r="35" spans="1:49">
      <c r="A35" s="313"/>
      <c r="B35" s="37" t="s">
        <v>56</v>
      </c>
      <c r="C35" s="38" t="s">
        <v>48</v>
      </c>
      <c r="D35" s="73">
        <f t="shared" si="5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  <c r="AS35" s="55">
        <v>0</v>
      </c>
      <c r="AT35" s="55">
        <v>0</v>
      </c>
      <c r="AU35" s="55">
        <v>0</v>
      </c>
      <c r="AV35" s="55">
        <v>0</v>
      </c>
      <c r="AW35" s="55">
        <v>0</v>
      </c>
    </row>
    <row r="36" spans="1:49">
      <c r="A36" s="313"/>
      <c r="B36" s="37" t="s">
        <v>57</v>
      </c>
      <c r="C36" s="38" t="s">
        <v>48</v>
      </c>
      <c r="D36" s="73">
        <f t="shared" si="5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  <c r="AS36" s="55">
        <v>0</v>
      </c>
      <c r="AT36" s="55">
        <v>0</v>
      </c>
      <c r="AU36" s="55">
        <v>0</v>
      </c>
      <c r="AV36" s="55">
        <v>0</v>
      </c>
      <c r="AW36" s="55">
        <v>0</v>
      </c>
    </row>
    <row r="37" spans="1:49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/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  <c r="AS37" s="55">
        <v>0</v>
      </c>
      <c r="AT37" s="55">
        <v>0</v>
      </c>
      <c r="AU37" s="55">
        <v>0</v>
      </c>
      <c r="AV37" s="55">
        <v>0</v>
      </c>
      <c r="AW37" s="55">
        <v>0</v>
      </c>
    </row>
    <row r="38" spans="1:49">
      <c r="A38" s="314"/>
      <c r="B38" s="39" t="s">
        <v>59</v>
      </c>
      <c r="C38" s="40" t="s">
        <v>48</v>
      </c>
      <c r="D38" s="74">
        <f>SUM(E38:AR38)</f>
        <v>37694</v>
      </c>
      <c r="E38" s="55">
        <v>0</v>
      </c>
      <c r="F38" s="55">
        <v>0</v>
      </c>
      <c r="G38" s="55">
        <v>186</v>
      </c>
      <c r="H38" s="55">
        <v>316</v>
      </c>
      <c r="I38" s="55">
        <v>770</v>
      </c>
      <c r="J38" s="55">
        <v>733</v>
      </c>
      <c r="K38" s="55">
        <v>322</v>
      </c>
      <c r="L38" s="55">
        <v>343</v>
      </c>
      <c r="M38" s="55">
        <v>225</v>
      </c>
      <c r="N38" s="55">
        <v>225</v>
      </c>
      <c r="O38" s="55">
        <v>125</v>
      </c>
      <c r="P38" s="55">
        <v>136</v>
      </c>
      <c r="Q38" s="55">
        <v>340</v>
      </c>
      <c r="R38" s="55">
        <v>0</v>
      </c>
      <c r="S38" s="55">
        <v>0</v>
      </c>
      <c r="T38" s="55">
        <v>1164</v>
      </c>
      <c r="U38" s="55">
        <v>1228</v>
      </c>
      <c r="V38" s="55">
        <v>769</v>
      </c>
      <c r="W38" s="55">
        <v>1018</v>
      </c>
      <c r="X38" s="55">
        <v>439</v>
      </c>
      <c r="Y38" s="55">
        <v>356</v>
      </c>
      <c r="Z38" s="55">
        <v>9692</v>
      </c>
      <c r="AA38" s="55">
        <v>1234</v>
      </c>
      <c r="AB38" s="55">
        <v>484</v>
      </c>
      <c r="AC38" s="55">
        <v>794</v>
      </c>
      <c r="AD38" s="55">
        <v>326</v>
      </c>
      <c r="AE38" s="55">
        <v>2378</v>
      </c>
      <c r="AF38" s="55">
        <v>5634</v>
      </c>
      <c r="AG38" s="55">
        <v>1666</v>
      </c>
      <c r="AH38" s="55">
        <v>546</v>
      </c>
      <c r="AI38" s="55">
        <v>2442</v>
      </c>
      <c r="AJ38" s="55">
        <v>1762</v>
      </c>
      <c r="AK38" s="55">
        <v>474</v>
      </c>
      <c r="AL38" s="55">
        <v>936</v>
      </c>
      <c r="AM38" s="55">
        <v>488</v>
      </c>
      <c r="AN38" s="55">
        <v>93</v>
      </c>
      <c r="AO38" s="55">
        <v>0</v>
      </c>
      <c r="AP38" s="55">
        <v>0</v>
      </c>
      <c r="AQ38" s="55" t="s">
        <v>128</v>
      </c>
      <c r="AR38" s="55">
        <v>50</v>
      </c>
      <c r="AS38" s="55">
        <v>204</v>
      </c>
      <c r="AT38" s="55">
        <v>225</v>
      </c>
      <c r="AU38" s="55">
        <v>245</v>
      </c>
      <c r="AV38" s="55">
        <v>0</v>
      </c>
      <c r="AW38" s="55">
        <v>0</v>
      </c>
    </row>
    <row r="39" spans="1:49">
      <c r="A39" s="164"/>
      <c r="B39" s="94" t="s">
        <v>149</v>
      </c>
      <c r="C39" s="189" t="s">
        <v>255</v>
      </c>
      <c r="D39" s="190">
        <f t="shared" ref="D39:AR39" si="6">D37/D26</f>
        <v>0</v>
      </c>
      <c r="E39" s="191" t="e">
        <f t="shared" si="6"/>
        <v>#DIV/0!</v>
      </c>
      <c r="F39" s="191" t="e">
        <f t="shared" si="6"/>
        <v>#DIV/0!</v>
      </c>
      <c r="G39" s="191">
        <f t="shared" si="6"/>
        <v>0</v>
      </c>
      <c r="H39" s="191">
        <f t="shared" si="6"/>
        <v>0</v>
      </c>
      <c r="I39" s="191">
        <f t="shared" si="6"/>
        <v>0</v>
      </c>
      <c r="J39" s="191">
        <f t="shared" si="6"/>
        <v>0</v>
      </c>
      <c r="K39" s="191">
        <f t="shared" si="6"/>
        <v>0</v>
      </c>
      <c r="L39" s="191">
        <f t="shared" si="6"/>
        <v>0</v>
      </c>
      <c r="M39" s="191">
        <f t="shared" si="6"/>
        <v>0</v>
      </c>
      <c r="N39" s="191">
        <f t="shared" si="6"/>
        <v>0</v>
      </c>
      <c r="O39" s="191">
        <f t="shared" si="6"/>
        <v>0</v>
      </c>
      <c r="P39" s="191">
        <f t="shared" si="6"/>
        <v>0</v>
      </c>
      <c r="Q39" s="191">
        <f t="shared" si="6"/>
        <v>0</v>
      </c>
      <c r="R39" s="191" t="e">
        <f t="shared" si="6"/>
        <v>#DIV/0!</v>
      </c>
      <c r="S39" s="191">
        <f t="shared" si="6"/>
        <v>0</v>
      </c>
      <c r="T39" s="191">
        <f t="shared" si="6"/>
        <v>0</v>
      </c>
      <c r="U39" s="191">
        <f t="shared" si="6"/>
        <v>0</v>
      </c>
      <c r="V39" s="191">
        <f t="shared" si="6"/>
        <v>0</v>
      </c>
      <c r="W39" s="191">
        <f t="shared" si="6"/>
        <v>0</v>
      </c>
      <c r="X39" s="191">
        <f t="shared" si="6"/>
        <v>0</v>
      </c>
      <c r="Y39" s="191">
        <f t="shared" si="6"/>
        <v>0</v>
      </c>
      <c r="Z39" s="191">
        <f t="shared" si="6"/>
        <v>0</v>
      </c>
      <c r="AA39" s="191">
        <f t="shared" si="6"/>
        <v>0</v>
      </c>
      <c r="AB39" s="191">
        <f t="shared" si="6"/>
        <v>0</v>
      </c>
      <c r="AC39" s="191">
        <f t="shared" si="6"/>
        <v>0</v>
      </c>
      <c r="AD39" s="191">
        <f t="shared" si="6"/>
        <v>0</v>
      </c>
      <c r="AE39" s="191">
        <f t="shared" si="6"/>
        <v>0</v>
      </c>
      <c r="AF39" s="191">
        <f t="shared" si="6"/>
        <v>0</v>
      </c>
      <c r="AG39" s="191">
        <f t="shared" si="6"/>
        <v>0</v>
      </c>
      <c r="AH39" s="191">
        <f t="shared" si="6"/>
        <v>0</v>
      </c>
      <c r="AI39" s="191">
        <f t="shared" si="6"/>
        <v>0</v>
      </c>
      <c r="AJ39" s="191">
        <f t="shared" si="6"/>
        <v>0</v>
      </c>
      <c r="AK39" s="191">
        <f t="shared" si="6"/>
        <v>0</v>
      </c>
      <c r="AL39" s="191">
        <f t="shared" si="6"/>
        <v>0</v>
      </c>
      <c r="AM39" s="191">
        <f t="shared" si="6"/>
        <v>0</v>
      </c>
      <c r="AN39" s="191">
        <f t="shared" si="6"/>
        <v>0</v>
      </c>
      <c r="AO39" s="191" t="e">
        <f t="shared" si="6"/>
        <v>#DIV/0!</v>
      </c>
      <c r="AP39" s="191" t="e">
        <f t="shared" si="6"/>
        <v>#DIV/0!</v>
      </c>
      <c r="AQ39" s="191" t="e">
        <f t="shared" si="6"/>
        <v>#DIV/0!</v>
      </c>
      <c r="AR39" s="191">
        <f t="shared" si="6"/>
        <v>0</v>
      </c>
      <c r="AS39" s="191">
        <f t="shared" ref="AS39:AW39" si="7">AS37/AS26</f>
        <v>0</v>
      </c>
      <c r="AT39" s="191">
        <f t="shared" si="7"/>
        <v>0</v>
      </c>
      <c r="AU39" s="191">
        <f t="shared" si="7"/>
        <v>0</v>
      </c>
      <c r="AV39" s="191" t="e">
        <f t="shared" si="7"/>
        <v>#DIV/0!</v>
      </c>
      <c r="AW39" s="191" t="e">
        <f t="shared" si="7"/>
        <v>#DIV/0!</v>
      </c>
    </row>
    <row r="40" spans="1:49">
      <c r="A40" s="164"/>
      <c r="B40" s="36" t="s">
        <v>256</v>
      </c>
      <c r="C40" s="69" t="s">
        <v>255</v>
      </c>
      <c r="D40" s="192">
        <f>D28/(D28+D27)</f>
        <v>0.20565021565834191</v>
      </c>
      <c r="E40" s="193" t="e">
        <f>E28/(E28+E27)</f>
        <v>#DIV/0!</v>
      </c>
      <c r="F40" s="193" t="e">
        <f t="shared" ref="F40:AR40" si="8">F28/(F28+F27)</f>
        <v>#DIV/0!</v>
      </c>
      <c r="G40" s="193">
        <f t="shared" si="8"/>
        <v>0</v>
      </c>
      <c r="H40" s="193">
        <f t="shared" si="8"/>
        <v>0</v>
      </c>
      <c r="I40" s="193">
        <f t="shared" si="8"/>
        <v>4.4686496299399525E-3</v>
      </c>
      <c r="J40" s="193">
        <f t="shared" si="8"/>
        <v>3.7538124657855634E-3</v>
      </c>
      <c r="K40" s="193">
        <f t="shared" si="8"/>
        <v>1.4479638009049774E-2</v>
      </c>
      <c r="L40" s="193">
        <f t="shared" si="8"/>
        <v>1.7554125219426564E-3</v>
      </c>
      <c r="M40" s="193">
        <f t="shared" si="8"/>
        <v>0</v>
      </c>
      <c r="N40" s="193">
        <f t="shared" si="8"/>
        <v>0</v>
      </c>
      <c r="O40" s="193">
        <f t="shared" si="8"/>
        <v>0</v>
      </c>
      <c r="P40" s="193">
        <f t="shared" si="8"/>
        <v>1.1117115726086622E-2</v>
      </c>
      <c r="Q40" s="193">
        <f t="shared" si="8"/>
        <v>1.1273620155866339E-2</v>
      </c>
      <c r="R40" s="193" t="e">
        <f t="shared" si="8"/>
        <v>#DIV/0!</v>
      </c>
      <c r="S40" s="193">
        <f t="shared" si="8"/>
        <v>0.49460255152109911</v>
      </c>
      <c r="T40" s="193">
        <f t="shared" si="8"/>
        <v>0.4266359181320265</v>
      </c>
      <c r="U40" s="193">
        <f t="shared" si="8"/>
        <v>0.26576671588272516</v>
      </c>
      <c r="V40" s="193">
        <f t="shared" si="8"/>
        <v>0.22383172933822801</v>
      </c>
      <c r="W40" s="193">
        <f t="shared" si="8"/>
        <v>0.47983898020798388</v>
      </c>
      <c r="X40" s="193">
        <f t="shared" si="8"/>
        <v>0.23166234121021717</v>
      </c>
      <c r="Y40" s="193">
        <f t="shared" si="8"/>
        <v>0.19307832422586521</v>
      </c>
      <c r="Z40" s="193">
        <f t="shared" si="8"/>
        <v>0.48683134303942416</v>
      </c>
      <c r="AA40" s="193">
        <f t="shared" si="8"/>
        <v>0.24342894535936307</v>
      </c>
      <c r="AB40" s="193">
        <f t="shared" si="8"/>
        <v>0.19123505976095617</v>
      </c>
      <c r="AC40" s="193">
        <f t="shared" si="8"/>
        <v>0.15257595772787319</v>
      </c>
      <c r="AD40" s="193">
        <f t="shared" si="8"/>
        <v>0.61445545854395067</v>
      </c>
      <c r="AE40" s="193">
        <f t="shared" si="8"/>
        <v>0.40274892120824679</v>
      </c>
      <c r="AF40" s="193">
        <f t="shared" si="8"/>
        <v>0.3032581453634085</v>
      </c>
      <c r="AG40" s="193">
        <f t="shared" si="8"/>
        <v>0.6412648221343874</v>
      </c>
      <c r="AH40" s="193">
        <f t="shared" si="8"/>
        <v>0.54833372725124085</v>
      </c>
      <c r="AI40" s="193">
        <f t="shared" si="8"/>
        <v>0.45918528252299606</v>
      </c>
      <c r="AJ40" s="193">
        <f t="shared" si="8"/>
        <v>0.42362698708065288</v>
      </c>
      <c r="AK40" s="193">
        <f t="shared" si="8"/>
        <v>0.49457700650759218</v>
      </c>
      <c r="AL40" s="193">
        <f t="shared" si="8"/>
        <v>0.43748849199042533</v>
      </c>
      <c r="AM40" s="193">
        <f t="shared" si="8"/>
        <v>0.25095638867635806</v>
      </c>
      <c r="AN40" s="193">
        <f t="shared" si="8"/>
        <v>7.0680838531766215E-3</v>
      </c>
      <c r="AO40" s="193" t="e">
        <f t="shared" si="8"/>
        <v>#DIV/0!</v>
      </c>
      <c r="AP40" s="193" t="e">
        <f t="shared" si="8"/>
        <v>#DIV/0!</v>
      </c>
      <c r="AQ40" s="193" t="e">
        <f t="shared" si="8"/>
        <v>#VALUE!</v>
      </c>
      <c r="AR40" s="193">
        <f t="shared" si="8"/>
        <v>0.10429114611624117</v>
      </c>
      <c r="AS40" s="193">
        <f t="shared" ref="AS40:AW40" si="9">AS28/(AS28+AS27)</f>
        <v>5.7738572574178026E-2</v>
      </c>
      <c r="AT40" s="193">
        <f t="shared" si="9"/>
        <v>0.11871393239901072</v>
      </c>
      <c r="AU40" s="193">
        <f t="shared" si="9"/>
        <v>0</v>
      </c>
      <c r="AV40" s="193" t="e">
        <f t="shared" si="9"/>
        <v>#DIV/0!</v>
      </c>
      <c r="AW40" s="193" t="e">
        <f t="shared" si="9"/>
        <v>#DIV/0!</v>
      </c>
    </row>
    <row r="41" spans="1:49">
      <c r="A41" s="33"/>
      <c r="C41" s="5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</row>
    <row r="42" spans="1:49" ht="15" customHeight="1">
      <c r="A42" s="327" t="s">
        <v>60</v>
      </c>
      <c r="B42" s="50" t="s">
        <v>61</v>
      </c>
      <c r="C42" s="91" t="s">
        <v>62</v>
      </c>
      <c r="D42" s="81">
        <f>SUM(E42:AR42)</f>
        <v>609000</v>
      </c>
      <c r="E42" s="86">
        <v>4000</v>
      </c>
      <c r="F42" s="86">
        <v>3000</v>
      </c>
      <c r="G42" s="86">
        <v>19000</v>
      </c>
      <c r="H42" s="86">
        <v>18000</v>
      </c>
      <c r="I42" s="86">
        <v>18000</v>
      </c>
      <c r="J42" s="86">
        <v>18000</v>
      </c>
      <c r="K42" s="86">
        <v>19000</v>
      </c>
      <c r="L42" s="86">
        <v>18000</v>
      </c>
      <c r="M42" s="86">
        <v>16000</v>
      </c>
      <c r="N42" s="86">
        <v>19000</v>
      </c>
      <c r="O42" s="86">
        <v>19000</v>
      </c>
      <c r="P42" s="86">
        <v>17000</v>
      </c>
      <c r="Q42" s="86">
        <v>18000</v>
      </c>
      <c r="R42" s="86">
        <v>19000</v>
      </c>
      <c r="S42" s="86">
        <v>19000</v>
      </c>
      <c r="T42" s="86">
        <v>18000</v>
      </c>
      <c r="U42" s="86">
        <v>18000</v>
      </c>
      <c r="V42" s="86">
        <v>18000</v>
      </c>
      <c r="W42" s="86">
        <v>17000</v>
      </c>
      <c r="X42" s="86">
        <v>16000</v>
      </c>
      <c r="Y42" s="86">
        <v>14000</v>
      </c>
      <c r="Z42" s="86">
        <v>14000</v>
      </c>
      <c r="AA42" s="194">
        <v>14000</v>
      </c>
      <c r="AB42" s="86">
        <v>14000</v>
      </c>
      <c r="AC42" s="86">
        <v>18000</v>
      </c>
      <c r="AD42" s="86">
        <v>15000</v>
      </c>
      <c r="AE42" s="86">
        <v>15000</v>
      </c>
      <c r="AF42" s="86">
        <v>16000</v>
      </c>
      <c r="AG42" s="86">
        <v>15000</v>
      </c>
      <c r="AH42" s="86">
        <v>17000</v>
      </c>
      <c r="AI42" s="86">
        <v>17000</v>
      </c>
      <c r="AJ42" s="86">
        <v>15000</v>
      </c>
      <c r="AK42" s="86">
        <v>15000</v>
      </c>
      <c r="AL42" s="86">
        <v>16000</v>
      </c>
      <c r="AM42" s="86">
        <v>17000</v>
      </c>
      <c r="AN42" s="86">
        <v>16000</v>
      </c>
      <c r="AO42" s="86">
        <v>9000</v>
      </c>
      <c r="AP42" s="86">
        <v>6000</v>
      </c>
      <c r="AQ42" s="86">
        <v>3000</v>
      </c>
      <c r="AR42" s="86">
        <v>12000</v>
      </c>
      <c r="AS42" s="86">
        <v>14000</v>
      </c>
      <c r="AT42" s="86">
        <v>0</v>
      </c>
      <c r="AU42" s="86">
        <v>0</v>
      </c>
      <c r="AV42" s="86">
        <v>0</v>
      </c>
      <c r="AW42" s="86">
        <v>0</v>
      </c>
    </row>
    <row r="43" spans="1:49" ht="15" customHeight="1">
      <c r="A43" s="328"/>
      <c r="B43" s="39" t="s">
        <v>63</v>
      </c>
      <c r="C43" s="92" t="s">
        <v>62</v>
      </c>
      <c r="D43" s="82">
        <f>SUM(E43:AR43)</f>
        <v>2300</v>
      </c>
      <c r="E43" s="87">
        <v>0</v>
      </c>
      <c r="F43" s="87">
        <v>0</v>
      </c>
      <c r="G43" s="87">
        <v>0</v>
      </c>
      <c r="H43" s="87">
        <v>200</v>
      </c>
      <c r="I43" s="87"/>
      <c r="J43" s="87">
        <v>0</v>
      </c>
      <c r="K43" s="87">
        <v>300</v>
      </c>
      <c r="L43" s="87">
        <v>0</v>
      </c>
      <c r="M43" s="87">
        <v>0</v>
      </c>
      <c r="N43" s="87">
        <v>0</v>
      </c>
      <c r="O43" s="87">
        <v>200</v>
      </c>
      <c r="P43" s="87">
        <v>0</v>
      </c>
      <c r="Q43" s="87">
        <v>0</v>
      </c>
      <c r="R43" s="87">
        <v>200</v>
      </c>
      <c r="S43" s="87">
        <v>0</v>
      </c>
      <c r="T43" s="87">
        <v>0</v>
      </c>
      <c r="U43" s="87">
        <v>0</v>
      </c>
      <c r="V43" s="87">
        <v>300</v>
      </c>
      <c r="W43" s="87">
        <v>0</v>
      </c>
      <c r="X43" s="87">
        <v>0</v>
      </c>
      <c r="Y43" s="87">
        <v>0</v>
      </c>
      <c r="Z43" s="87">
        <v>300</v>
      </c>
      <c r="AA43" s="87">
        <v>0</v>
      </c>
      <c r="AB43" s="87">
        <v>0</v>
      </c>
      <c r="AC43" s="87">
        <v>0</v>
      </c>
      <c r="AD43" s="87">
        <v>200</v>
      </c>
      <c r="AE43" s="87">
        <v>0</v>
      </c>
      <c r="AF43" s="87">
        <v>0</v>
      </c>
      <c r="AG43" s="87">
        <v>300</v>
      </c>
      <c r="AH43" s="87">
        <v>0</v>
      </c>
      <c r="AI43" s="87">
        <v>0</v>
      </c>
      <c r="AJ43" s="87">
        <v>0</v>
      </c>
      <c r="AK43" s="87">
        <v>0</v>
      </c>
      <c r="AL43" s="87">
        <v>300</v>
      </c>
      <c r="AM43" s="87">
        <v>0</v>
      </c>
      <c r="AN43" s="87">
        <v>0</v>
      </c>
      <c r="AO43" s="87">
        <v>0</v>
      </c>
      <c r="AP43" s="87">
        <v>0</v>
      </c>
      <c r="AQ43" s="87">
        <v>0</v>
      </c>
      <c r="AR43" s="87">
        <v>0</v>
      </c>
      <c r="AS43" s="87">
        <v>200</v>
      </c>
      <c r="AT43" s="87">
        <v>0</v>
      </c>
      <c r="AU43" s="87">
        <v>0</v>
      </c>
      <c r="AV43" s="87">
        <v>0</v>
      </c>
      <c r="AW43" s="87">
        <v>0</v>
      </c>
    </row>
    <row r="44" spans="1:49">
      <c r="A44" s="328"/>
      <c r="B44" s="167" t="s">
        <v>240</v>
      </c>
      <c r="C44" s="184" t="s">
        <v>241</v>
      </c>
      <c r="D44" s="187">
        <f>D42/D26</f>
        <v>0.89389246869908556</v>
      </c>
      <c r="E44" s="185" t="e">
        <f t="shared" ref="E44:AR44" si="10">E42/E26</f>
        <v>#DIV/0!</v>
      </c>
      <c r="F44" s="188" t="e">
        <f t="shared" si="10"/>
        <v>#DIV/0!</v>
      </c>
      <c r="G44" s="186">
        <f t="shared" si="10"/>
        <v>7.3444143795902592</v>
      </c>
      <c r="H44" s="188">
        <f t="shared" si="10"/>
        <v>1.2256570883834945</v>
      </c>
      <c r="I44" s="186">
        <f t="shared" si="10"/>
        <v>0.77864774841026085</v>
      </c>
      <c r="J44" s="188">
        <f t="shared" si="10"/>
        <v>0.67625953338092193</v>
      </c>
      <c r="K44" s="186">
        <f t="shared" si="10"/>
        <v>1.8285054373977481</v>
      </c>
      <c r="L44" s="188">
        <f t="shared" si="10"/>
        <v>0.64481461579795807</v>
      </c>
      <c r="M44" s="186">
        <f t="shared" si="10"/>
        <v>0.88339222614840984</v>
      </c>
      <c r="N44" s="188">
        <f t="shared" si="10"/>
        <v>0.86078013863090652</v>
      </c>
      <c r="O44" s="186">
        <f t="shared" si="10"/>
        <v>1.0197509660798627</v>
      </c>
      <c r="P44" s="188">
        <f t="shared" si="10"/>
        <v>0.40173929482937898</v>
      </c>
      <c r="Q44" s="186">
        <f t="shared" si="10"/>
        <v>0.37844543027142946</v>
      </c>
      <c r="R44" s="188" t="e">
        <f t="shared" si="10"/>
        <v>#DIV/0!</v>
      </c>
      <c r="S44" s="186">
        <f t="shared" si="10"/>
        <v>4.661432777232581</v>
      </c>
      <c r="T44" s="188">
        <f t="shared" si="10"/>
        <v>0.819000819000819</v>
      </c>
      <c r="U44" s="186">
        <f t="shared" si="10"/>
        <v>0.77071290944123316</v>
      </c>
      <c r="V44" s="188">
        <f t="shared" si="10"/>
        <v>1.6142050040355125</v>
      </c>
      <c r="W44" s="186">
        <f t="shared" si="10"/>
        <v>1.0634970284641851</v>
      </c>
      <c r="X44" s="188">
        <f t="shared" si="10"/>
        <v>0.68953628684709534</v>
      </c>
      <c r="Y44" s="186">
        <f t="shared" si="10"/>
        <v>1.009154472716788</v>
      </c>
      <c r="Z44" s="188">
        <f t="shared" si="10"/>
        <v>0.60851045334028775</v>
      </c>
      <c r="AA44" s="186">
        <f t="shared" si="10"/>
        <v>0.71530758226037194</v>
      </c>
      <c r="AB44" s="188">
        <f t="shared" si="10"/>
        <v>1.269726101940867</v>
      </c>
      <c r="AC44" s="186">
        <f t="shared" si="10"/>
        <v>0.68838916934373562</v>
      </c>
      <c r="AD44" s="188">
        <f t="shared" si="10"/>
        <v>0.9528044210125135</v>
      </c>
      <c r="AE44" s="186">
        <f t="shared" si="10"/>
        <v>1.0072522159548751</v>
      </c>
      <c r="AF44" s="188">
        <f t="shared" si="10"/>
        <v>0.60496067755595884</v>
      </c>
      <c r="AG44" s="186">
        <f t="shared" si="10"/>
        <v>0.54296677043364949</v>
      </c>
      <c r="AH44" s="188">
        <f t="shared" si="10"/>
        <v>1.1558335599673648</v>
      </c>
      <c r="AI44" s="186">
        <f t="shared" si="10"/>
        <v>0.74866781168802576</v>
      </c>
      <c r="AJ44" s="188">
        <f t="shared" si="10"/>
        <v>0.70113115826867345</v>
      </c>
      <c r="AK44" s="186">
        <f t="shared" si="10"/>
        <v>0.85188550658791462</v>
      </c>
      <c r="AL44" s="188">
        <f t="shared" si="10"/>
        <v>1.1595883461371213</v>
      </c>
      <c r="AM44" s="186" t="s">
        <v>257</v>
      </c>
      <c r="AN44" s="188">
        <f t="shared" si="10"/>
        <v>0.40804876182703831</v>
      </c>
      <c r="AO44" s="186" t="e">
        <f t="shared" si="10"/>
        <v>#DIV/0!</v>
      </c>
      <c r="AP44" s="188" t="e">
        <f t="shared" si="10"/>
        <v>#DIV/0!</v>
      </c>
      <c r="AQ44" s="186" t="e">
        <f t="shared" si="10"/>
        <v>#DIV/0!</v>
      </c>
      <c r="AR44" s="188">
        <f t="shared" si="10"/>
        <v>1.263157894736842</v>
      </c>
      <c r="AS44" s="188">
        <f t="shared" ref="AS44:AW44" si="11">AS42/AS26</f>
        <v>0.42348528388638496</v>
      </c>
      <c r="AT44" s="188">
        <f t="shared" si="11"/>
        <v>0</v>
      </c>
      <c r="AU44" s="188">
        <f t="shared" si="11"/>
        <v>0</v>
      </c>
      <c r="AV44" s="188" t="e">
        <f t="shared" si="11"/>
        <v>#DIV/0!</v>
      </c>
      <c r="AW44" s="188" t="e">
        <f t="shared" si="11"/>
        <v>#DIV/0!</v>
      </c>
    </row>
    <row r="45" spans="1:49">
      <c r="AM45" t="s">
        <v>257</v>
      </c>
    </row>
    <row r="46" spans="1:49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</row>
    <row r="47" spans="1:49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0</v>
      </c>
    </row>
    <row r="48" spans="1:49">
      <c r="A48" s="313"/>
      <c r="B48" s="94" t="s">
        <v>67</v>
      </c>
      <c r="C48" s="38" t="s">
        <v>8</v>
      </c>
      <c r="D48" s="182">
        <f t="shared" ref="D48:D51" si="12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</row>
    <row r="49" spans="1:49">
      <c r="A49" s="313"/>
      <c r="B49" s="95" t="s">
        <v>68</v>
      </c>
      <c r="C49" s="40" t="s">
        <v>8</v>
      </c>
      <c r="D49" s="182">
        <f t="shared" si="12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  <c r="AS49" s="90">
        <v>0</v>
      </c>
      <c r="AT49" s="90">
        <v>0</v>
      </c>
      <c r="AU49" s="90">
        <v>0</v>
      </c>
      <c r="AV49" s="90">
        <v>0</v>
      </c>
      <c r="AW49" s="90">
        <v>0</v>
      </c>
    </row>
    <row r="50" spans="1:49">
      <c r="A50" s="313"/>
      <c r="B50" s="93" t="s">
        <v>69</v>
      </c>
      <c r="C50" s="91" t="s">
        <v>48</v>
      </c>
      <c r="D50" s="195">
        <f>SUM(E50:AR50)</f>
        <v>125000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/>
      <c r="AD50" s="86">
        <v>0</v>
      </c>
      <c r="AE50" s="86">
        <v>0</v>
      </c>
      <c r="AF50" s="86">
        <v>10000</v>
      </c>
      <c r="AG50" s="86">
        <v>9000</v>
      </c>
      <c r="AH50" s="86">
        <v>16000</v>
      </c>
      <c r="AI50" s="86">
        <v>16000</v>
      </c>
      <c r="AJ50" s="86">
        <v>9000</v>
      </c>
      <c r="AK50" s="86">
        <v>7000</v>
      </c>
      <c r="AL50" s="86">
        <v>15000</v>
      </c>
      <c r="AM50" s="86">
        <v>13000</v>
      </c>
      <c r="AN50" s="86">
        <v>30000</v>
      </c>
      <c r="AO50" s="86">
        <v>0</v>
      </c>
      <c r="AP50" s="86">
        <v>0</v>
      </c>
      <c r="AQ50" s="86">
        <v>0</v>
      </c>
      <c r="AR50" s="86">
        <v>0</v>
      </c>
      <c r="AS50" s="86">
        <v>16000</v>
      </c>
      <c r="AT50" s="86">
        <v>16000</v>
      </c>
      <c r="AU50" s="86">
        <v>16000</v>
      </c>
      <c r="AV50" s="86">
        <v>16000</v>
      </c>
      <c r="AW50" s="86">
        <v>16000</v>
      </c>
    </row>
    <row r="51" spans="1:49">
      <c r="A51" s="314"/>
      <c r="B51" s="95" t="s">
        <v>70</v>
      </c>
      <c r="C51" s="92" t="s">
        <v>48</v>
      </c>
      <c r="D51" s="183">
        <f t="shared" si="12"/>
        <v>7100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500</v>
      </c>
      <c r="AG51" s="87">
        <v>500</v>
      </c>
      <c r="AH51" s="87">
        <v>1000</v>
      </c>
      <c r="AI51" s="87">
        <v>1000</v>
      </c>
      <c r="AJ51" s="87">
        <v>500</v>
      </c>
      <c r="AK51" s="87">
        <v>400</v>
      </c>
      <c r="AL51" s="87">
        <v>1000</v>
      </c>
      <c r="AM51" s="87">
        <v>700</v>
      </c>
      <c r="AN51" s="87">
        <v>1500</v>
      </c>
      <c r="AO51" s="87">
        <v>0</v>
      </c>
      <c r="AP51" s="87">
        <v>0</v>
      </c>
      <c r="AQ51" s="87">
        <v>0</v>
      </c>
      <c r="AR51" s="87">
        <v>0</v>
      </c>
      <c r="AS51" s="87">
        <v>0</v>
      </c>
      <c r="AT51" s="87">
        <v>0</v>
      </c>
      <c r="AU51" s="87">
        <v>0</v>
      </c>
      <c r="AV51" s="87">
        <v>0</v>
      </c>
      <c r="AW51" s="87">
        <v>0</v>
      </c>
    </row>
    <row r="52" spans="1:49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  <c r="AS53" s="7" t="s">
        <v>73</v>
      </c>
      <c r="AT53" s="7" t="s">
        <v>73</v>
      </c>
      <c r="AU53" s="7" t="s">
        <v>73</v>
      </c>
      <c r="AV53" s="7" t="s">
        <v>73</v>
      </c>
      <c r="AW53" s="7" t="s">
        <v>73</v>
      </c>
    </row>
    <row r="54" spans="1:49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  <c r="AS54" s="8" t="s">
        <v>75</v>
      </c>
      <c r="AT54" s="8" t="s">
        <v>75</v>
      </c>
      <c r="AU54" s="8" t="s">
        <v>75</v>
      </c>
      <c r="AV54" s="8" t="s">
        <v>75</v>
      </c>
      <c r="AW54" s="8" t="s">
        <v>75</v>
      </c>
    </row>
    <row r="55" spans="1:49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/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  <c r="AS55" s="8" t="s">
        <v>75</v>
      </c>
      <c r="AT55" s="8" t="s">
        <v>258</v>
      </c>
      <c r="AU55" s="8" t="s">
        <v>259</v>
      </c>
      <c r="AV55" s="8" t="s">
        <v>75</v>
      </c>
      <c r="AW55" s="8" t="s">
        <v>75</v>
      </c>
    </row>
    <row r="56" spans="1:49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/>
      <c r="AM56" s="8"/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  <c r="AS56" s="8" t="s">
        <v>75</v>
      </c>
      <c r="AT56" s="8" t="s">
        <v>75</v>
      </c>
      <c r="AU56" s="8" t="s">
        <v>75</v>
      </c>
      <c r="AV56" s="8" t="s">
        <v>75</v>
      </c>
      <c r="AW56" s="8" t="s">
        <v>75</v>
      </c>
    </row>
    <row r="57" spans="1:49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/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  <c r="AS57" s="9" t="s">
        <v>75</v>
      </c>
      <c r="AT57" s="9" t="s">
        <v>75</v>
      </c>
      <c r="AU57" s="9" t="s">
        <v>75</v>
      </c>
      <c r="AV57" s="9" t="s">
        <v>75</v>
      </c>
      <c r="AW57" s="9" t="s">
        <v>75</v>
      </c>
    </row>
    <row r="59" spans="1:49" ht="15.75">
      <c r="B59" s="53" t="s">
        <v>83</v>
      </c>
      <c r="C59" s="99" t="s">
        <v>84</v>
      </c>
      <c r="D59" s="100">
        <f>SUM(D60:D72)</f>
        <v>31573295</v>
      </c>
      <c r="E59" s="101">
        <f>SUM(E60:E72)</f>
        <v>0</v>
      </c>
      <c r="F59" s="101">
        <f t="shared" ref="F59:AR59" si="13">SUM(F60:F72)</f>
        <v>0</v>
      </c>
      <c r="G59" s="101">
        <f>SUM(G60:G72)</f>
        <v>130973</v>
      </c>
      <c r="H59" s="101">
        <f t="shared" si="13"/>
        <v>764915</v>
      </c>
      <c r="I59" s="101">
        <f t="shared" si="13"/>
        <v>1191183</v>
      </c>
      <c r="J59" s="101">
        <f t="shared" si="13"/>
        <v>1381166</v>
      </c>
      <c r="K59" s="101">
        <f t="shared" si="13"/>
        <v>535901</v>
      </c>
      <c r="L59" s="101">
        <f t="shared" si="13"/>
        <v>1465684</v>
      </c>
      <c r="M59" s="101">
        <f t="shared" si="13"/>
        <v>950264</v>
      </c>
      <c r="N59" s="101">
        <f t="shared" si="13"/>
        <v>1161247</v>
      </c>
      <c r="O59" s="101">
        <f t="shared" si="13"/>
        <v>981946</v>
      </c>
      <c r="P59" s="101">
        <f t="shared" si="13"/>
        <v>2163225</v>
      </c>
      <c r="Q59" s="101">
        <f t="shared" si="13"/>
        <v>2487767</v>
      </c>
      <c r="R59" s="101">
        <f t="shared" si="13"/>
        <v>0</v>
      </c>
      <c r="S59" s="101">
        <f t="shared" si="13"/>
        <v>173692</v>
      </c>
      <c r="T59" s="101">
        <f t="shared" si="13"/>
        <v>939942</v>
      </c>
      <c r="U59" s="101">
        <f t="shared" si="13"/>
        <v>957962</v>
      </c>
      <c r="V59" s="101">
        <f t="shared" si="13"/>
        <v>507741</v>
      </c>
      <c r="W59" s="101">
        <f t="shared" si="13"/>
        <v>663233</v>
      </c>
      <c r="X59" s="101">
        <f t="shared" si="13"/>
        <v>1075671</v>
      </c>
      <c r="Y59" s="101">
        <f t="shared" si="13"/>
        <v>656274</v>
      </c>
      <c r="Z59" s="101">
        <f t="shared" si="13"/>
        <v>741873</v>
      </c>
      <c r="AA59" s="101">
        <f t="shared" si="13"/>
        <v>902850</v>
      </c>
      <c r="AB59" s="101">
        <f t="shared" si="13"/>
        <v>526070</v>
      </c>
      <c r="AC59" s="101">
        <f t="shared" si="13"/>
        <v>1241836</v>
      </c>
      <c r="AD59" s="101">
        <f t="shared" si="13"/>
        <v>622509</v>
      </c>
      <c r="AE59" s="101">
        <f t="shared" si="13"/>
        <v>604962</v>
      </c>
      <c r="AF59" s="101">
        <f t="shared" si="13"/>
        <v>1024068</v>
      </c>
      <c r="AG59" s="101">
        <f t="shared" si="13"/>
        <v>1040116</v>
      </c>
      <c r="AH59" s="101">
        <f t="shared" si="13"/>
        <v>561339</v>
      </c>
      <c r="AI59" s="101">
        <f t="shared" si="13"/>
        <v>886109</v>
      </c>
      <c r="AJ59" s="101">
        <f t="shared" si="13"/>
        <v>873318</v>
      </c>
      <c r="AK59" s="101">
        <f t="shared" si="13"/>
        <v>664420</v>
      </c>
      <c r="AL59" s="101">
        <f t="shared" si="13"/>
        <v>514614</v>
      </c>
      <c r="AM59" s="101">
        <f t="shared" si="13"/>
        <v>428308</v>
      </c>
      <c r="AN59" s="101">
        <f t="shared" si="13"/>
        <v>2045069</v>
      </c>
      <c r="AO59" s="101">
        <f t="shared" si="13"/>
        <v>0</v>
      </c>
      <c r="AP59" s="101">
        <f t="shared" si="13"/>
        <v>0</v>
      </c>
      <c r="AQ59" s="101" t="e">
        <f t="shared" si="13"/>
        <v>#VALUE!</v>
      </c>
      <c r="AR59" s="101">
        <f t="shared" si="13"/>
        <v>269548</v>
      </c>
      <c r="AS59" s="101">
        <f t="shared" ref="AS59:AW59" si="14">SUM(AS60:AS72)</f>
        <v>891403</v>
      </c>
      <c r="AT59" s="101">
        <f t="shared" si="14"/>
        <v>333807</v>
      </c>
      <c r="AU59" s="101">
        <f t="shared" si="14"/>
        <v>497737</v>
      </c>
      <c r="AV59" s="101">
        <f t="shared" si="14"/>
        <v>0</v>
      </c>
      <c r="AW59" s="101">
        <f t="shared" si="14"/>
        <v>0</v>
      </c>
    </row>
    <row r="60" spans="1:49">
      <c r="B60" s="96" t="s">
        <v>47</v>
      </c>
      <c r="C60" s="111">
        <v>53</v>
      </c>
      <c r="D60" s="97">
        <f t="shared" ref="D60:AR60" si="15">D27*$C60</f>
        <v>25593170</v>
      </c>
      <c r="E60" s="104">
        <f t="shared" si="15"/>
        <v>0</v>
      </c>
      <c r="F60" s="104">
        <f t="shared" si="15"/>
        <v>0</v>
      </c>
      <c r="G60" s="104">
        <f t="shared" si="15"/>
        <v>127253</v>
      </c>
      <c r="H60" s="104">
        <f t="shared" si="15"/>
        <v>750745</v>
      </c>
      <c r="I60" s="104">
        <f t="shared" si="15"/>
        <v>1133511</v>
      </c>
      <c r="J60" s="104">
        <f t="shared" si="15"/>
        <v>1350334</v>
      </c>
      <c r="K60" s="104">
        <f t="shared" si="15"/>
        <v>519453</v>
      </c>
      <c r="L60" s="104">
        <f t="shared" si="15"/>
        <v>1446688</v>
      </c>
      <c r="M60" s="104">
        <f t="shared" si="15"/>
        <v>908314</v>
      </c>
      <c r="N60" s="104">
        <f t="shared" si="15"/>
        <v>1136797</v>
      </c>
      <c r="O60" s="104">
        <f t="shared" si="15"/>
        <v>955696</v>
      </c>
      <c r="P60" s="104">
        <f t="shared" si="15"/>
        <v>2036631</v>
      </c>
      <c r="Q60" s="104">
        <f t="shared" si="15"/>
        <v>2454271</v>
      </c>
      <c r="R60" s="104">
        <f t="shared" si="15"/>
        <v>0</v>
      </c>
      <c r="S60" s="104">
        <f t="shared" si="15"/>
        <v>109180</v>
      </c>
      <c r="T60" s="104">
        <f t="shared" si="15"/>
        <v>632502</v>
      </c>
      <c r="U60" s="104">
        <f t="shared" si="15"/>
        <v>737972</v>
      </c>
      <c r="V60" s="104">
        <f t="shared" si="15"/>
        <v>414619</v>
      </c>
      <c r="W60" s="104">
        <f t="shared" si="15"/>
        <v>410909</v>
      </c>
      <c r="X60" s="104">
        <f t="shared" si="15"/>
        <v>894375</v>
      </c>
      <c r="Y60" s="104">
        <f t="shared" si="15"/>
        <v>563496</v>
      </c>
      <c r="Z60" s="104">
        <f t="shared" si="15"/>
        <v>332522</v>
      </c>
      <c r="AA60" s="104">
        <f t="shared" si="15"/>
        <v>735322</v>
      </c>
      <c r="AB60" s="104">
        <f t="shared" si="15"/>
        <v>451878</v>
      </c>
      <c r="AC60" s="104">
        <f t="shared" si="15"/>
        <v>1087984</v>
      </c>
      <c r="AD60" s="104">
        <f t="shared" si="15"/>
        <v>311269</v>
      </c>
      <c r="AE60" s="104">
        <f t="shared" si="15"/>
        <v>396122</v>
      </c>
      <c r="AF60" s="104">
        <f t="shared" si="15"/>
        <v>707232</v>
      </c>
      <c r="AG60" s="104">
        <f t="shared" si="15"/>
        <v>481028</v>
      </c>
      <c r="AH60" s="104">
        <f t="shared" si="15"/>
        <v>303849</v>
      </c>
      <c r="AI60" s="104">
        <f t="shared" si="15"/>
        <v>545317</v>
      </c>
      <c r="AJ60" s="104">
        <f t="shared" si="15"/>
        <v>574573</v>
      </c>
      <c r="AK60" s="104">
        <f t="shared" si="15"/>
        <v>395168</v>
      </c>
      <c r="AL60" s="104">
        <f t="shared" si="15"/>
        <v>323830</v>
      </c>
      <c r="AM60" s="104">
        <f t="shared" si="15"/>
        <v>311322</v>
      </c>
      <c r="AN60" s="104">
        <f t="shared" si="15"/>
        <v>1965611</v>
      </c>
      <c r="AO60" s="104">
        <f t="shared" si="15"/>
        <v>0</v>
      </c>
      <c r="AP60" s="104">
        <f t="shared" si="15"/>
        <v>0</v>
      </c>
      <c r="AQ60" s="104" t="e">
        <f t="shared" si="15"/>
        <v>#VALUE!</v>
      </c>
      <c r="AR60" s="104">
        <f t="shared" si="15"/>
        <v>87397</v>
      </c>
      <c r="AS60" s="104">
        <f t="shared" ref="AS60:AW60" si="16">AS27*$C60</f>
        <v>249100</v>
      </c>
      <c r="AT60" s="104">
        <f t="shared" si="16"/>
        <v>56657</v>
      </c>
      <c r="AU60" s="104">
        <f t="shared" si="16"/>
        <v>98050</v>
      </c>
      <c r="AV60" s="104">
        <f t="shared" si="16"/>
        <v>0</v>
      </c>
      <c r="AW60" s="104">
        <f t="shared" si="16"/>
        <v>0</v>
      </c>
    </row>
    <row r="61" spans="1:49">
      <c r="B61" s="96" t="s">
        <v>49</v>
      </c>
      <c r="C61" s="111">
        <v>32</v>
      </c>
      <c r="D61" s="97">
        <f t="shared" ref="D61:AR61" si="17">D28*$C61</f>
        <v>4000512</v>
      </c>
      <c r="E61" s="104">
        <f t="shared" si="17"/>
        <v>0</v>
      </c>
      <c r="F61" s="104">
        <f t="shared" si="17"/>
        <v>0</v>
      </c>
      <c r="G61" s="104">
        <f t="shared" si="17"/>
        <v>0</v>
      </c>
      <c r="H61" s="104">
        <f t="shared" si="17"/>
        <v>0</v>
      </c>
      <c r="I61" s="104">
        <f t="shared" si="17"/>
        <v>3072</v>
      </c>
      <c r="J61" s="104">
        <f t="shared" si="17"/>
        <v>3072</v>
      </c>
      <c r="K61" s="104">
        <f t="shared" si="17"/>
        <v>4608</v>
      </c>
      <c r="L61" s="104">
        <f t="shared" si="17"/>
        <v>1536</v>
      </c>
      <c r="M61" s="104">
        <f t="shared" si="17"/>
        <v>0</v>
      </c>
      <c r="N61" s="104">
        <f t="shared" si="17"/>
        <v>0</v>
      </c>
      <c r="O61" s="104">
        <f t="shared" si="17"/>
        <v>0</v>
      </c>
      <c r="P61" s="104">
        <f t="shared" si="17"/>
        <v>13824</v>
      </c>
      <c r="Q61" s="104">
        <f t="shared" si="17"/>
        <v>16896</v>
      </c>
      <c r="R61" s="104">
        <f t="shared" si="17"/>
        <v>0</v>
      </c>
      <c r="S61" s="104">
        <f t="shared" si="17"/>
        <v>64512</v>
      </c>
      <c r="T61" s="104">
        <f t="shared" si="17"/>
        <v>284160</v>
      </c>
      <c r="U61" s="104">
        <f t="shared" si="17"/>
        <v>161280</v>
      </c>
      <c r="V61" s="104">
        <f t="shared" si="17"/>
        <v>72192</v>
      </c>
      <c r="W61" s="104">
        <f t="shared" si="17"/>
        <v>228864</v>
      </c>
      <c r="X61" s="104">
        <f t="shared" si="17"/>
        <v>162816</v>
      </c>
      <c r="Y61" s="104">
        <f t="shared" si="17"/>
        <v>81408</v>
      </c>
      <c r="Z61" s="104">
        <f t="shared" si="17"/>
        <v>190464</v>
      </c>
      <c r="AA61" s="104">
        <f t="shared" si="17"/>
        <v>142848</v>
      </c>
      <c r="AB61" s="104">
        <f t="shared" si="17"/>
        <v>64512</v>
      </c>
      <c r="AC61" s="104">
        <f t="shared" si="17"/>
        <v>118272</v>
      </c>
      <c r="AD61" s="104">
        <f t="shared" si="17"/>
        <v>299520</v>
      </c>
      <c r="AE61" s="104">
        <f t="shared" si="17"/>
        <v>161280</v>
      </c>
      <c r="AF61" s="104">
        <f t="shared" si="17"/>
        <v>185856</v>
      </c>
      <c r="AG61" s="104">
        <f t="shared" si="17"/>
        <v>519168</v>
      </c>
      <c r="AH61" s="104">
        <f t="shared" si="17"/>
        <v>222720</v>
      </c>
      <c r="AI61" s="104">
        <f t="shared" si="17"/>
        <v>279552</v>
      </c>
      <c r="AJ61" s="104">
        <f t="shared" si="17"/>
        <v>254976</v>
      </c>
      <c r="AK61" s="104">
        <f t="shared" si="17"/>
        <v>233472</v>
      </c>
      <c r="AL61" s="104">
        <f t="shared" si="17"/>
        <v>152064</v>
      </c>
      <c r="AM61" s="104">
        <f t="shared" si="17"/>
        <v>62976</v>
      </c>
      <c r="AN61" s="104">
        <f t="shared" si="17"/>
        <v>8448</v>
      </c>
      <c r="AO61" s="104">
        <f t="shared" si="17"/>
        <v>0</v>
      </c>
      <c r="AP61" s="104">
        <f t="shared" si="17"/>
        <v>0</v>
      </c>
      <c r="AQ61" s="104" t="e">
        <f t="shared" si="17"/>
        <v>#VALUE!</v>
      </c>
      <c r="AR61" s="104">
        <f t="shared" si="17"/>
        <v>6144</v>
      </c>
      <c r="AS61" s="104">
        <f t="shared" ref="AS61:AW61" si="18">AS28*$C61</f>
        <v>9216</v>
      </c>
      <c r="AT61" s="104">
        <f t="shared" si="18"/>
        <v>4608</v>
      </c>
      <c r="AU61" s="104">
        <f t="shared" si="18"/>
        <v>0</v>
      </c>
      <c r="AV61" s="104">
        <f t="shared" si="18"/>
        <v>0</v>
      </c>
      <c r="AW61" s="104">
        <f t="shared" si="18"/>
        <v>0</v>
      </c>
    </row>
    <row r="62" spans="1:49">
      <c r="B62" s="96" t="s">
        <v>50</v>
      </c>
      <c r="C62" s="111">
        <v>23</v>
      </c>
      <c r="D62" s="97">
        <f t="shared" ref="D62:AR62" si="19">D29*$C62</f>
        <v>200583</v>
      </c>
      <c r="E62" s="104">
        <f t="shared" si="19"/>
        <v>0</v>
      </c>
      <c r="F62" s="104">
        <f t="shared" si="19"/>
        <v>0</v>
      </c>
      <c r="G62" s="104">
        <f t="shared" si="19"/>
        <v>0</v>
      </c>
      <c r="H62" s="104">
        <f t="shared" si="19"/>
        <v>0</v>
      </c>
      <c r="I62" s="104">
        <f t="shared" si="19"/>
        <v>0</v>
      </c>
      <c r="J62" s="104">
        <f t="shared" si="19"/>
        <v>0</v>
      </c>
      <c r="K62" s="104">
        <f t="shared" si="19"/>
        <v>0</v>
      </c>
      <c r="L62" s="104">
        <f t="shared" si="19"/>
        <v>0</v>
      </c>
      <c r="M62" s="104">
        <f t="shared" si="19"/>
        <v>0</v>
      </c>
      <c r="N62" s="104">
        <f t="shared" si="19"/>
        <v>0</v>
      </c>
      <c r="O62" s="104">
        <f t="shared" si="19"/>
        <v>0</v>
      </c>
      <c r="P62" s="104">
        <f t="shared" si="19"/>
        <v>0</v>
      </c>
      <c r="Q62" s="104">
        <f t="shared" si="19"/>
        <v>0</v>
      </c>
      <c r="R62" s="104">
        <f t="shared" si="19"/>
        <v>0</v>
      </c>
      <c r="S62" s="104">
        <f t="shared" si="19"/>
        <v>0</v>
      </c>
      <c r="T62" s="104">
        <f t="shared" si="19"/>
        <v>0</v>
      </c>
      <c r="U62" s="104">
        <f t="shared" si="19"/>
        <v>0</v>
      </c>
      <c r="V62" s="104">
        <f t="shared" si="19"/>
        <v>0</v>
      </c>
      <c r="W62" s="104">
        <f t="shared" si="19"/>
        <v>0</v>
      </c>
      <c r="X62" s="104">
        <f t="shared" si="19"/>
        <v>0</v>
      </c>
      <c r="Y62" s="104">
        <f t="shared" si="19"/>
        <v>0</v>
      </c>
      <c r="Z62" s="104">
        <f t="shared" si="19"/>
        <v>25047</v>
      </c>
      <c r="AA62" s="104">
        <f t="shared" si="19"/>
        <v>0</v>
      </c>
      <c r="AB62" s="104">
        <f t="shared" si="19"/>
        <v>0</v>
      </c>
      <c r="AC62" s="104">
        <f t="shared" si="19"/>
        <v>0</v>
      </c>
      <c r="AD62" s="104">
        <f t="shared" si="19"/>
        <v>0</v>
      </c>
      <c r="AE62" s="104">
        <f t="shared" si="19"/>
        <v>0</v>
      </c>
      <c r="AF62" s="104">
        <f t="shared" si="19"/>
        <v>0</v>
      </c>
      <c r="AG62" s="104">
        <f t="shared" si="19"/>
        <v>0</v>
      </c>
      <c r="AH62" s="104">
        <f t="shared" si="19"/>
        <v>0</v>
      </c>
      <c r="AI62" s="104">
        <f t="shared" si="19"/>
        <v>0</v>
      </c>
      <c r="AJ62" s="104">
        <f t="shared" si="19"/>
        <v>529</v>
      </c>
      <c r="AK62" s="104">
        <f t="shared" si="19"/>
        <v>0</v>
      </c>
      <c r="AL62" s="104">
        <f t="shared" si="19"/>
        <v>0</v>
      </c>
      <c r="AM62" s="104">
        <f t="shared" si="19"/>
        <v>0</v>
      </c>
      <c r="AN62" s="104">
        <f t="shared" si="19"/>
        <v>0</v>
      </c>
      <c r="AO62" s="104">
        <f t="shared" si="19"/>
        <v>0</v>
      </c>
      <c r="AP62" s="104">
        <f t="shared" si="19"/>
        <v>0</v>
      </c>
      <c r="AQ62" s="104" t="e">
        <f t="shared" si="19"/>
        <v>#VALUE!</v>
      </c>
      <c r="AR62" s="104">
        <f t="shared" si="19"/>
        <v>175007</v>
      </c>
      <c r="AS62" s="104">
        <f t="shared" ref="AS62:AW62" si="20">AS29*$C62</f>
        <v>619827</v>
      </c>
      <c r="AT62" s="104">
        <f t="shared" si="20"/>
        <v>268042</v>
      </c>
      <c r="AU62" s="104">
        <f t="shared" si="20"/>
        <v>394427</v>
      </c>
      <c r="AV62" s="104">
        <f t="shared" si="20"/>
        <v>0</v>
      </c>
      <c r="AW62" s="104">
        <f t="shared" si="20"/>
        <v>0</v>
      </c>
    </row>
    <row r="63" spans="1:49">
      <c r="B63" s="96" t="s">
        <v>51</v>
      </c>
      <c r="C63" s="111">
        <v>15</v>
      </c>
      <c r="D63" s="97">
        <f t="shared" ref="D63:AR63" si="21">D30*$C63</f>
        <v>0</v>
      </c>
      <c r="E63" s="104">
        <f t="shared" si="21"/>
        <v>0</v>
      </c>
      <c r="F63" s="104">
        <f t="shared" si="21"/>
        <v>0</v>
      </c>
      <c r="G63" s="104">
        <f t="shared" si="21"/>
        <v>0</v>
      </c>
      <c r="H63" s="104">
        <f t="shared" si="21"/>
        <v>0</v>
      </c>
      <c r="I63" s="104">
        <f t="shared" si="21"/>
        <v>0</v>
      </c>
      <c r="J63" s="104">
        <f t="shared" si="21"/>
        <v>0</v>
      </c>
      <c r="K63" s="104">
        <f t="shared" si="21"/>
        <v>0</v>
      </c>
      <c r="L63" s="104">
        <f t="shared" si="21"/>
        <v>0</v>
      </c>
      <c r="M63" s="104">
        <f t="shared" si="21"/>
        <v>0</v>
      </c>
      <c r="N63" s="104">
        <f t="shared" si="21"/>
        <v>0</v>
      </c>
      <c r="O63" s="104">
        <f t="shared" si="21"/>
        <v>0</v>
      </c>
      <c r="P63" s="104">
        <f t="shared" si="21"/>
        <v>0</v>
      </c>
      <c r="Q63" s="104">
        <f t="shared" si="21"/>
        <v>0</v>
      </c>
      <c r="R63" s="104">
        <f t="shared" si="21"/>
        <v>0</v>
      </c>
      <c r="S63" s="104">
        <f t="shared" si="21"/>
        <v>0</v>
      </c>
      <c r="T63" s="104">
        <f t="shared" si="21"/>
        <v>0</v>
      </c>
      <c r="U63" s="104">
        <f t="shared" si="21"/>
        <v>0</v>
      </c>
      <c r="V63" s="104">
        <f t="shared" si="21"/>
        <v>0</v>
      </c>
      <c r="W63" s="104">
        <f t="shared" si="21"/>
        <v>0</v>
      </c>
      <c r="X63" s="104">
        <f t="shared" si="21"/>
        <v>0</v>
      </c>
      <c r="Y63" s="104">
        <f t="shared" si="21"/>
        <v>0</v>
      </c>
      <c r="Z63" s="104">
        <f t="shared" si="21"/>
        <v>0</v>
      </c>
      <c r="AA63" s="104">
        <f t="shared" si="21"/>
        <v>0</v>
      </c>
      <c r="AB63" s="104">
        <f t="shared" si="21"/>
        <v>0</v>
      </c>
      <c r="AC63" s="104">
        <f t="shared" si="21"/>
        <v>0</v>
      </c>
      <c r="AD63" s="104">
        <f t="shared" si="21"/>
        <v>0</v>
      </c>
      <c r="AE63" s="104">
        <f t="shared" si="21"/>
        <v>0</v>
      </c>
      <c r="AF63" s="104">
        <f t="shared" si="21"/>
        <v>0</v>
      </c>
      <c r="AG63" s="104">
        <f t="shared" si="21"/>
        <v>0</v>
      </c>
      <c r="AH63" s="104">
        <f t="shared" si="21"/>
        <v>0</v>
      </c>
      <c r="AI63" s="104">
        <f t="shared" si="21"/>
        <v>0</v>
      </c>
      <c r="AJ63" s="104">
        <f t="shared" si="21"/>
        <v>0</v>
      </c>
      <c r="AK63" s="104">
        <f t="shared" si="21"/>
        <v>0</v>
      </c>
      <c r="AL63" s="104">
        <f t="shared" si="21"/>
        <v>0</v>
      </c>
      <c r="AM63" s="104">
        <f t="shared" si="21"/>
        <v>0</v>
      </c>
      <c r="AN63" s="104">
        <f t="shared" si="21"/>
        <v>0</v>
      </c>
      <c r="AO63" s="104">
        <f t="shared" si="21"/>
        <v>0</v>
      </c>
      <c r="AP63" s="104">
        <f t="shared" si="21"/>
        <v>0</v>
      </c>
      <c r="AQ63" s="104">
        <f t="shared" si="21"/>
        <v>0</v>
      </c>
      <c r="AR63" s="104">
        <f t="shared" si="21"/>
        <v>0</v>
      </c>
      <c r="AS63" s="104">
        <f t="shared" ref="AS63:AW63" si="22">AS30*$C63</f>
        <v>0</v>
      </c>
      <c r="AT63" s="104">
        <f t="shared" si="22"/>
        <v>0</v>
      </c>
      <c r="AU63" s="104">
        <f t="shared" si="22"/>
        <v>0</v>
      </c>
      <c r="AV63" s="104">
        <f t="shared" si="22"/>
        <v>0</v>
      </c>
      <c r="AW63" s="104">
        <f t="shared" si="22"/>
        <v>0</v>
      </c>
    </row>
    <row r="64" spans="1:49">
      <c r="B64" s="96" t="s">
        <v>52</v>
      </c>
      <c r="C64" s="111">
        <v>10</v>
      </c>
      <c r="D64" s="97">
        <f t="shared" ref="D64:AR64" si="23">D31*$C64</f>
        <v>190200</v>
      </c>
      <c r="E64" s="104">
        <f t="shared" si="23"/>
        <v>0</v>
      </c>
      <c r="F64" s="104">
        <f t="shared" si="23"/>
        <v>0</v>
      </c>
      <c r="G64" s="104">
        <f t="shared" si="23"/>
        <v>0</v>
      </c>
      <c r="H64" s="104">
        <f t="shared" si="23"/>
        <v>600</v>
      </c>
      <c r="I64" s="104">
        <f t="shared" si="23"/>
        <v>1000</v>
      </c>
      <c r="J64" s="104">
        <f t="shared" si="23"/>
        <v>600</v>
      </c>
      <c r="K64" s="104">
        <f t="shared" si="23"/>
        <v>200</v>
      </c>
      <c r="L64" s="104">
        <f t="shared" si="23"/>
        <v>200</v>
      </c>
      <c r="M64" s="104">
        <f t="shared" si="23"/>
        <v>0</v>
      </c>
      <c r="N64" s="104">
        <f t="shared" si="23"/>
        <v>0</v>
      </c>
      <c r="O64" s="104">
        <f t="shared" si="23"/>
        <v>0</v>
      </c>
      <c r="P64" s="104">
        <f t="shared" si="23"/>
        <v>14000</v>
      </c>
      <c r="Q64" s="104">
        <f t="shared" si="23"/>
        <v>2400</v>
      </c>
      <c r="R64" s="104">
        <f t="shared" si="23"/>
        <v>0</v>
      </c>
      <c r="S64" s="104">
        <f t="shared" si="23"/>
        <v>0</v>
      </c>
      <c r="T64" s="104">
        <f t="shared" si="23"/>
        <v>0</v>
      </c>
      <c r="U64" s="104">
        <f t="shared" si="23"/>
        <v>31000</v>
      </c>
      <c r="V64" s="104">
        <f t="shared" si="23"/>
        <v>2400</v>
      </c>
      <c r="W64" s="104">
        <f t="shared" si="23"/>
        <v>0</v>
      </c>
      <c r="X64" s="104">
        <f t="shared" si="23"/>
        <v>7600</v>
      </c>
      <c r="Y64" s="104">
        <f t="shared" si="23"/>
        <v>3200</v>
      </c>
      <c r="Z64" s="104">
        <f t="shared" si="23"/>
        <v>0</v>
      </c>
      <c r="AA64" s="104">
        <f t="shared" si="23"/>
        <v>0</v>
      </c>
      <c r="AB64" s="104">
        <f t="shared" si="23"/>
        <v>0</v>
      </c>
      <c r="AC64" s="104">
        <f t="shared" si="23"/>
        <v>9200</v>
      </c>
      <c r="AD64" s="104">
        <f t="shared" si="23"/>
        <v>1000</v>
      </c>
      <c r="AE64" s="104">
        <f t="shared" si="23"/>
        <v>0</v>
      </c>
      <c r="AF64" s="104">
        <f t="shared" si="23"/>
        <v>16200</v>
      </c>
      <c r="AG64" s="104">
        <f t="shared" si="23"/>
        <v>6600</v>
      </c>
      <c r="AH64" s="104">
        <f t="shared" si="23"/>
        <v>12400</v>
      </c>
      <c r="AI64" s="104">
        <f t="shared" si="23"/>
        <v>12400</v>
      </c>
      <c r="AJ64" s="104">
        <f t="shared" si="23"/>
        <v>8000</v>
      </c>
      <c r="AK64" s="104">
        <f t="shared" si="23"/>
        <v>23200</v>
      </c>
      <c r="AL64" s="104">
        <f t="shared" si="23"/>
        <v>20000</v>
      </c>
      <c r="AM64" s="104">
        <f t="shared" si="23"/>
        <v>13200</v>
      </c>
      <c r="AN64" s="104">
        <f t="shared" si="23"/>
        <v>4800</v>
      </c>
      <c r="AO64" s="104">
        <f t="shared" si="23"/>
        <v>0</v>
      </c>
      <c r="AP64" s="104">
        <f t="shared" si="23"/>
        <v>0</v>
      </c>
      <c r="AQ64" s="104">
        <f t="shared" si="23"/>
        <v>0</v>
      </c>
      <c r="AR64" s="104">
        <f t="shared" si="23"/>
        <v>0</v>
      </c>
      <c r="AS64" s="104">
        <f t="shared" ref="AS64:AW64" si="24">AS31*$C64</f>
        <v>9180</v>
      </c>
      <c r="AT64" s="104">
        <f t="shared" si="24"/>
        <v>0</v>
      </c>
      <c r="AU64" s="104">
        <f t="shared" si="24"/>
        <v>360</v>
      </c>
      <c r="AV64" s="104">
        <f t="shared" si="24"/>
        <v>0</v>
      </c>
      <c r="AW64" s="104">
        <f t="shared" si="24"/>
        <v>0</v>
      </c>
    </row>
    <row r="65" spans="2:49">
      <c r="B65" s="96" t="s">
        <v>53</v>
      </c>
      <c r="C65" s="111">
        <v>19</v>
      </c>
      <c r="D65" s="97">
        <f t="shared" ref="D65:AR65" si="25">D32*$C65</f>
        <v>0</v>
      </c>
      <c r="E65" s="104">
        <f t="shared" si="25"/>
        <v>0</v>
      </c>
      <c r="F65" s="104">
        <f t="shared" si="25"/>
        <v>0</v>
      </c>
      <c r="G65" s="104">
        <f t="shared" si="25"/>
        <v>0</v>
      </c>
      <c r="H65" s="104">
        <f t="shared" si="25"/>
        <v>0</v>
      </c>
      <c r="I65" s="104">
        <f t="shared" si="25"/>
        <v>0</v>
      </c>
      <c r="J65" s="104">
        <f t="shared" si="25"/>
        <v>0</v>
      </c>
      <c r="K65" s="104">
        <f t="shared" si="25"/>
        <v>0</v>
      </c>
      <c r="L65" s="104">
        <f t="shared" si="25"/>
        <v>0</v>
      </c>
      <c r="M65" s="104">
        <f t="shared" si="25"/>
        <v>0</v>
      </c>
      <c r="N65" s="104">
        <f t="shared" si="25"/>
        <v>0</v>
      </c>
      <c r="O65" s="104">
        <f t="shared" si="25"/>
        <v>0</v>
      </c>
      <c r="P65" s="104">
        <f t="shared" si="25"/>
        <v>0</v>
      </c>
      <c r="Q65" s="104">
        <f t="shared" si="25"/>
        <v>0</v>
      </c>
      <c r="R65" s="104">
        <f t="shared" si="25"/>
        <v>0</v>
      </c>
      <c r="S65" s="104">
        <f t="shared" si="25"/>
        <v>0</v>
      </c>
      <c r="T65" s="104">
        <f t="shared" si="25"/>
        <v>0</v>
      </c>
      <c r="U65" s="104">
        <f t="shared" si="25"/>
        <v>0</v>
      </c>
      <c r="V65" s="104">
        <f t="shared" si="25"/>
        <v>0</v>
      </c>
      <c r="W65" s="104">
        <f t="shared" si="25"/>
        <v>0</v>
      </c>
      <c r="X65" s="104">
        <f t="shared" si="25"/>
        <v>0</v>
      </c>
      <c r="Y65" s="104">
        <f t="shared" si="25"/>
        <v>0</v>
      </c>
      <c r="Z65" s="104">
        <f t="shared" si="25"/>
        <v>0</v>
      </c>
      <c r="AA65" s="104">
        <f t="shared" si="25"/>
        <v>0</v>
      </c>
      <c r="AB65" s="104">
        <f t="shared" si="25"/>
        <v>0</v>
      </c>
      <c r="AC65" s="104">
        <f t="shared" si="25"/>
        <v>0</v>
      </c>
      <c r="AD65" s="104">
        <f t="shared" si="25"/>
        <v>0</v>
      </c>
      <c r="AE65" s="104">
        <f t="shared" si="25"/>
        <v>0</v>
      </c>
      <c r="AF65" s="104">
        <f t="shared" si="25"/>
        <v>0</v>
      </c>
      <c r="AG65" s="104">
        <f t="shared" si="25"/>
        <v>0</v>
      </c>
      <c r="AH65" s="104">
        <f t="shared" si="25"/>
        <v>0</v>
      </c>
      <c r="AI65" s="104">
        <f t="shared" si="25"/>
        <v>0</v>
      </c>
      <c r="AJ65" s="104">
        <f t="shared" si="25"/>
        <v>0</v>
      </c>
      <c r="AK65" s="104">
        <f t="shared" si="25"/>
        <v>0</v>
      </c>
      <c r="AL65" s="104">
        <f t="shared" si="25"/>
        <v>0</v>
      </c>
      <c r="AM65" s="104">
        <f t="shared" si="25"/>
        <v>0</v>
      </c>
      <c r="AN65" s="104">
        <f t="shared" si="25"/>
        <v>0</v>
      </c>
      <c r="AO65" s="104">
        <f t="shared" si="25"/>
        <v>0</v>
      </c>
      <c r="AP65" s="104">
        <f t="shared" si="25"/>
        <v>0</v>
      </c>
      <c r="AQ65" s="104">
        <f t="shared" si="25"/>
        <v>0</v>
      </c>
      <c r="AR65" s="104">
        <f t="shared" si="25"/>
        <v>0</v>
      </c>
      <c r="AS65" s="104">
        <f t="shared" ref="AS65:AW65" si="26">AS32*$C65</f>
        <v>0</v>
      </c>
      <c r="AT65" s="104">
        <f t="shared" si="26"/>
        <v>0</v>
      </c>
      <c r="AU65" s="104">
        <f t="shared" si="26"/>
        <v>0</v>
      </c>
      <c r="AV65" s="104">
        <f t="shared" si="26"/>
        <v>0</v>
      </c>
      <c r="AW65" s="104">
        <f t="shared" si="26"/>
        <v>0</v>
      </c>
    </row>
    <row r="66" spans="2:49">
      <c r="B66" s="96" t="s">
        <v>54</v>
      </c>
      <c r="C66" s="111">
        <v>10</v>
      </c>
      <c r="D66" s="97">
        <f t="shared" ref="D66:AR66" si="27">D33*$C66</f>
        <v>0</v>
      </c>
      <c r="E66" s="104">
        <f t="shared" si="27"/>
        <v>0</v>
      </c>
      <c r="F66" s="104">
        <f t="shared" si="27"/>
        <v>0</v>
      </c>
      <c r="G66" s="104">
        <f t="shared" si="27"/>
        <v>0</v>
      </c>
      <c r="H66" s="104">
        <f t="shared" si="27"/>
        <v>0</v>
      </c>
      <c r="I66" s="104">
        <f t="shared" si="27"/>
        <v>0</v>
      </c>
      <c r="J66" s="104">
        <f t="shared" si="27"/>
        <v>0</v>
      </c>
      <c r="K66" s="104">
        <f t="shared" si="27"/>
        <v>0</v>
      </c>
      <c r="L66" s="104">
        <f t="shared" si="27"/>
        <v>0</v>
      </c>
      <c r="M66" s="104">
        <f t="shared" si="27"/>
        <v>0</v>
      </c>
      <c r="N66" s="104">
        <f t="shared" si="27"/>
        <v>0</v>
      </c>
      <c r="O66" s="104">
        <f t="shared" si="27"/>
        <v>0</v>
      </c>
      <c r="P66" s="104">
        <f t="shared" si="27"/>
        <v>0</v>
      </c>
      <c r="Q66" s="104">
        <f t="shared" si="27"/>
        <v>0</v>
      </c>
      <c r="R66" s="104">
        <f t="shared" si="27"/>
        <v>0</v>
      </c>
      <c r="S66" s="104">
        <f t="shared" si="27"/>
        <v>0</v>
      </c>
      <c r="T66" s="104">
        <f t="shared" si="27"/>
        <v>0</v>
      </c>
      <c r="U66" s="104">
        <f t="shared" si="27"/>
        <v>0</v>
      </c>
      <c r="V66" s="104">
        <f t="shared" si="27"/>
        <v>0</v>
      </c>
      <c r="W66" s="104">
        <f t="shared" si="27"/>
        <v>0</v>
      </c>
      <c r="X66" s="104">
        <f t="shared" si="27"/>
        <v>0</v>
      </c>
      <c r="Y66" s="104">
        <f t="shared" si="27"/>
        <v>0</v>
      </c>
      <c r="Z66" s="104">
        <f t="shared" si="27"/>
        <v>0</v>
      </c>
      <c r="AA66" s="104">
        <f t="shared" si="27"/>
        <v>0</v>
      </c>
      <c r="AB66" s="104">
        <f t="shared" si="27"/>
        <v>0</v>
      </c>
      <c r="AC66" s="104">
        <f t="shared" si="27"/>
        <v>0</v>
      </c>
      <c r="AD66" s="104">
        <f t="shared" si="27"/>
        <v>0</v>
      </c>
      <c r="AE66" s="104">
        <f t="shared" si="27"/>
        <v>0</v>
      </c>
      <c r="AF66" s="104">
        <f t="shared" si="27"/>
        <v>0</v>
      </c>
      <c r="AG66" s="104">
        <f t="shared" si="27"/>
        <v>0</v>
      </c>
      <c r="AH66" s="104">
        <f t="shared" si="27"/>
        <v>0</v>
      </c>
      <c r="AI66" s="104">
        <f t="shared" si="27"/>
        <v>0</v>
      </c>
      <c r="AJ66" s="104">
        <f t="shared" si="27"/>
        <v>0</v>
      </c>
      <c r="AK66" s="104">
        <f t="shared" si="27"/>
        <v>0</v>
      </c>
      <c r="AL66" s="104">
        <f t="shared" si="27"/>
        <v>0</v>
      </c>
      <c r="AM66" s="104">
        <f t="shared" si="27"/>
        <v>0</v>
      </c>
      <c r="AN66" s="104">
        <f t="shared" si="27"/>
        <v>0</v>
      </c>
      <c r="AO66" s="104">
        <f t="shared" si="27"/>
        <v>0</v>
      </c>
      <c r="AP66" s="104">
        <f t="shared" si="27"/>
        <v>0</v>
      </c>
      <c r="AQ66" s="104">
        <f t="shared" si="27"/>
        <v>0</v>
      </c>
      <c r="AR66" s="104">
        <f t="shared" si="27"/>
        <v>0</v>
      </c>
      <c r="AS66" s="104">
        <f t="shared" ref="AS66:AW66" si="28">AS33*$C66</f>
        <v>0</v>
      </c>
      <c r="AT66" s="104">
        <f t="shared" si="28"/>
        <v>0</v>
      </c>
      <c r="AU66" s="104">
        <f t="shared" si="28"/>
        <v>0</v>
      </c>
      <c r="AV66" s="104">
        <f t="shared" si="28"/>
        <v>0</v>
      </c>
      <c r="AW66" s="104">
        <f t="shared" si="28"/>
        <v>0</v>
      </c>
    </row>
    <row r="67" spans="2:49">
      <c r="B67" s="96" t="s">
        <v>55</v>
      </c>
      <c r="C67" s="111">
        <v>50</v>
      </c>
      <c r="D67" s="97">
        <f t="shared" ref="D67:AR67" si="29">D34*$C67</f>
        <v>397450</v>
      </c>
      <c r="E67" s="104">
        <f t="shared" si="29"/>
        <v>0</v>
      </c>
      <c r="F67" s="104">
        <f t="shared" si="29"/>
        <v>0</v>
      </c>
      <c r="G67" s="104">
        <f t="shared" si="29"/>
        <v>0</v>
      </c>
      <c r="H67" s="104">
        <f t="shared" si="29"/>
        <v>7250</v>
      </c>
      <c r="I67" s="104">
        <f t="shared" si="29"/>
        <v>38200</v>
      </c>
      <c r="J67" s="104">
        <f t="shared" si="29"/>
        <v>12500</v>
      </c>
      <c r="K67" s="104">
        <f t="shared" si="29"/>
        <v>5200</v>
      </c>
      <c r="L67" s="104">
        <f t="shared" si="29"/>
        <v>10400</v>
      </c>
      <c r="M67" s="104">
        <f t="shared" si="29"/>
        <v>37450</v>
      </c>
      <c r="N67" s="104">
        <f t="shared" si="29"/>
        <v>19950</v>
      </c>
      <c r="O67" s="104">
        <f t="shared" si="29"/>
        <v>23750</v>
      </c>
      <c r="P67" s="104">
        <f t="shared" si="29"/>
        <v>96050</v>
      </c>
      <c r="Q67" s="104">
        <f t="shared" si="29"/>
        <v>7400</v>
      </c>
      <c r="R67" s="104">
        <f t="shared" si="29"/>
        <v>0</v>
      </c>
      <c r="S67" s="104">
        <f t="shared" si="29"/>
        <v>0</v>
      </c>
      <c r="T67" s="104">
        <f t="shared" si="29"/>
        <v>0</v>
      </c>
      <c r="U67" s="104">
        <f t="shared" si="29"/>
        <v>3150</v>
      </c>
      <c r="V67" s="104">
        <f t="shared" si="29"/>
        <v>3150</v>
      </c>
      <c r="W67" s="104">
        <f t="shared" si="29"/>
        <v>3100</v>
      </c>
      <c r="X67" s="104">
        <f t="shared" si="29"/>
        <v>2100</v>
      </c>
      <c r="Y67" s="104">
        <f t="shared" si="29"/>
        <v>1050</v>
      </c>
      <c r="Z67" s="104">
        <f t="shared" si="29"/>
        <v>0</v>
      </c>
      <c r="AA67" s="104">
        <f t="shared" si="29"/>
        <v>0</v>
      </c>
      <c r="AB67" s="104">
        <f t="shared" si="29"/>
        <v>0</v>
      </c>
      <c r="AC67" s="104">
        <f t="shared" si="29"/>
        <v>10500</v>
      </c>
      <c r="AD67" s="104">
        <f t="shared" si="29"/>
        <v>4200</v>
      </c>
      <c r="AE67" s="104">
        <f t="shared" si="29"/>
        <v>0</v>
      </c>
      <c r="AF67" s="104">
        <f t="shared" si="29"/>
        <v>2100</v>
      </c>
      <c r="AG67" s="104">
        <f t="shared" si="29"/>
        <v>0</v>
      </c>
      <c r="AH67" s="104">
        <f t="shared" si="29"/>
        <v>11450</v>
      </c>
      <c r="AI67" s="104">
        <f t="shared" si="29"/>
        <v>0</v>
      </c>
      <c r="AJ67" s="104">
        <f t="shared" si="29"/>
        <v>0</v>
      </c>
      <c r="AK67" s="104">
        <f t="shared" si="29"/>
        <v>3100</v>
      </c>
      <c r="AL67" s="104">
        <f t="shared" si="29"/>
        <v>0</v>
      </c>
      <c r="AM67" s="104">
        <f t="shared" si="29"/>
        <v>31050</v>
      </c>
      <c r="AN67" s="104">
        <f t="shared" si="29"/>
        <v>64350</v>
      </c>
      <c r="AO67" s="104">
        <f t="shared" si="29"/>
        <v>0</v>
      </c>
      <c r="AP67" s="104">
        <f t="shared" si="29"/>
        <v>0</v>
      </c>
      <c r="AQ67" s="104">
        <f t="shared" si="29"/>
        <v>0</v>
      </c>
      <c r="AR67" s="104">
        <f t="shared" si="29"/>
        <v>0</v>
      </c>
      <c r="AS67" s="104">
        <f t="shared" ref="AS67:AW67" si="30">AS34*$C67</f>
        <v>0</v>
      </c>
      <c r="AT67" s="104">
        <f t="shared" si="30"/>
        <v>0</v>
      </c>
      <c r="AU67" s="104">
        <f t="shared" si="30"/>
        <v>0</v>
      </c>
      <c r="AV67" s="104">
        <f t="shared" si="30"/>
        <v>0</v>
      </c>
      <c r="AW67" s="104">
        <f t="shared" si="30"/>
        <v>0</v>
      </c>
    </row>
    <row r="68" spans="2:49">
      <c r="B68" s="96" t="s">
        <v>56</v>
      </c>
      <c r="C68" s="111">
        <v>27.39</v>
      </c>
      <c r="D68" s="97">
        <f t="shared" ref="D68:AR68" si="31">D35*$C68</f>
        <v>0</v>
      </c>
      <c r="E68" s="104">
        <f t="shared" si="31"/>
        <v>0</v>
      </c>
      <c r="F68" s="104">
        <f t="shared" si="31"/>
        <v>0</v>
      </c>
      <c r="G68" s="104">
        <f t="shared" si="31"/>
        <v>0</v>
      </c>
      <c r="H68" s="104">
        <f t="shared" si="31"/>
        <v>0</v>
      </c>
      <c r="I68" s="104">
        <f t="shared" si="31"/>
        <v>0</v>
      </c>
      <c r="J68" s="104">
        <f t="shared" si="31"/>
        <v>0</v>
      </c>
      <c r="K68" s="104">
        <f t="shared" si="31"/>
        <v>0</v>
      </c>
      <c r="L68" s="104">
        <f t="shared" si="31"/>
        <v>0</v>
      </c>
      <c r="M68" s="104">
        <f t="shared" si="31"/>
        <v>0</v>
      </c>
      <c r="N68" s="104">
        <f t="shared" si="31"/>
        <v>0</v>
      </c>
      <c r="O68" s="104">
        <f t="shared" si="31"/>
        <v>0</v>
      </c>
      <c r="P68" s="104">
        <f t="shared" si="31"/>
        <v>0</v>
      </c>
      <c r="Q68" s="104">
        <f t="shared" si="31"/>
        <v>0</v>
      </c>
      <c r="R68" s="104">
        <f t="shared" si="31"/>
        <v>0</v>
      </c>
      <c r="S68" s="104">
        <f t="shared" si="31"/>
        <v>0</v>
      </c>
      <c r="T68" s="104">
        <f t="shared" si="31"/>
        <v>0</v>
      </c>
      <c r="U68" s="104">
        <f t="shared" si="31"/>
        <v>0</v>
      </c>
      <c r="V68" s="104">
        <f t="shared" si="31"/>
        <v>0</v>
      </c>
      <c r="W68" s="104">
        <f t="shared" si="31"/>
        <v>0</v>
      </c>
      <c r="X68" s="104">
        <f t="shared" si="31"/>
        <v>0</v>
      </c>
      <c r="Y68" s="104">
        <f t="shared" si="31"/>
        <v>0</v>
      </c>
      <c r="Z68" s="104">
        <f t="shared" si="31"/>
        <v>0</v>
      </c>
      <c r="AA68" s="104">
        <f t="shared" si="31"/>
        <v>0</v>
      </c>
      <c r="AB68" s="104">
        <f t="shared" si="31"/>
        <v>0</v>
      </c>
      <c r="AC68" s="104">
        <f t="shared" si="31"/>
        <v>0</v>
      </c>
      <c r="AD68" s="104">
        <f t="shared" si="31"/>
        <v>0</v>
      </c>
      <c r="AE68" s="104">
        <f t="shared" si="31"/>
        <v>0</v>
      </c>
      <c r="AF68" s="104">
        <f t="shared" si="31"/>
        <v>0</v>
      </c>
      <c r="AG68" s="104">
        <f t="shared" si="31"/>
        <v>0</v>
      </c>
      <c r="AH68" s="104">
        <f t="shared" si="31"/>
        <v>0</v>
      </c>
      <c r="AI68" s="104">
        <f t="shared" si="31"/>
        <v>0</v>
      </c>
      <c r="AJ68" s="104">
        <f t="shared" si="31"/>
        <v>0</v>
      </c>
      <c r="AK68" s="104">
        <f t="shared" si="31"/>
        <v>0</v>
      </c>
      <c r="AL68" s="104">
        <f t="shared" si="31"/>
        <v>0</v>
      </c>
      <c r="AM68" s="104">
        <f t="shared" si="31"/>
        <v>0</v>
      </c>
      <c r="AN68" s="104">
        <f t="shared" si="31"/>
        <v>0</v>
      </c>
      <c r="AO68" s="104">
        <f t="shared" si="31"/>
        <v>0</v>
      </c>
      <c r="AP68" s="104">
        <f t="shared" si="31"/>
        <v>0</v>
      </c>
      <c r="AQ68" s="104">
        <f t="shared" si="31"/>
        <v>0</v>
      </c>
      <c r="AR68" s="104">
        <f t="shared" si="31"/>
        <v>0</v>
      </c>
      <c r="AS68" s="104">
        <f t="shared" ref="AS68:AW68" si="32">AS35*$C68</f>
        <v>0</v>
      </c>
      <c r="AT68" s="104">
        <f t="shared" si="32"/>
        <v>0</v>
      </c>
      <c r="AU68" s="104">
        <f t="shared" si="32"/>
        <v>0</v>
      </c>
      <c r="AV68" s="104">
        <f t="shared" si="32"/>
        <v>0</v>
      </c>
      <c r="AW68" s="104">
        <f t="shared" si="32"/>
        <v>0</v>
      </c>
    </row>
    <row r="69" spans="2:49">
      <c r="B69" s="96" t="s">
        <v>57</v>
      </c>
      <c r="C69" s="111">
        <v>26</v>
      </c>
      <c r="D69" s="97">
        <f t="shared" ref="D69:AR69" si="33">D36*$C69</f>
        <v>0</v>
      </c>
      <c r="E69" s="104">
        <f t="shared" si="33"/>
        <v>0</v>
      </c>
      <c r="F69" s="104">
        <f t="shared" si="33"/>
        <v>0</v>
      </c>
      <c r="G69" s="104">
        <f t="shared" si="33"/>
        <v>0</v>
      </c>
      <c r="H69" s="104">
        <f t="shared" si="33"/>
        <v>0</v>
      </c>
      <c r="I69" s="104">
        <f t="shared" si="33"/>
        <v>0</v>
      </c>
      <c r="J69" s="104">
        <f t="shared" si="33"/>
        <v>0</v>
      </c>
      <c r="K69" s="104">
        <f t="shared" si="33"/>
        <v>0</v>
      </c>
      <c r="L69" s="104">
        <f t="shared" si="33"/>
        <v>0</v>
      </c>
      <c r="M69" s="104">
        <f t="shared" si="33"/>
        <v>0</v>
      </c>
      <c r="N69" s="104">
        <f t="shared" si="33"/>
        <v>0</v>
      </c>
      <c r="O69" s="104">
        <f t="shared" si="33"/>
        <v>0</v>
      </c>
      <c r="P69" s="104">
        <f t="shared" si="33"/>
        <v>0</v>
      </c>
      <c r="Q69" s="104">
        <f t="shared" si="33"/>
        <v>0</v>
      </c>
      <c r="R69" s="104">
        <f t="shared" si="33"/>
        <v>0</v>
      </c>
      <c r="S69" s="104">
        <f t="shared" si="33"/>
        <v>0</v>
      </c>
      <c r="T69" s="104">
        <f t="shared" si="33"/>
        <v>0</v>
      </c>
      <c r="U69" s="104">
        <f t="shared" si="33"/>
        <v>0</v>
      </c>
      <c r="V69" s="104">
        <f t="shared" si="33"/>
        <v>0</v>
      </c>
      <c r="W69" s="104">
        <f t="shared" si="33"/>
        <v>0</v>
      </c>
      <c r="X69" s="104">
        <f t="shared" si="33"/>
        <v>0</v>
      </c>
      <c r="Y69" s="104">
        <f t="shared" si="33"/>
        <v>0</v>
      </c>
      <c r="Z69" s="104">
        <f t="shared" si="33"/>
        <v>0</v>
      </c>
      <c r="AA69" s="104">
        <f t="shared" si="33"/>
        <v>0</v>
      </c>
      <c r="AB69" s="104">
        <f t="shared" si="33"/>
        <v>0</v>
      </c>
      <c r="AC69" s="104">
        <f t="shared" si="33"/>
        <v>0</v>
      </c>
      <c r="AD69" s="104">
        <f t="shared" si="33"/>
        <v>0</v>
      </c>
      <c r="AE69" s="104">
        <f t="shared" si="33"/>
        <v>0</v>
      </c>
      <c r="AF69" s="104">
        <f t="shared" si="33"/>
        <v>0</v>
      </c>
      <c r="AG69" s="104">
        <f t="shared" si="33"/>
        <v>0</v>
      </c>
      <c r="AH69" s="104">
        <f t="shared" si="33"/>
        <v>0</v>
      </c>
      <c r="AI69" s="104">
        <f t="shared" si="33"/>
        <v>0</v>
      </c>
      <c r="AJ69" s="104">
        <f t="shared" si="33"/>
        <v>0</v>
      </c>
      <c r="AK69" s="104">
        <f t="shared" si="33"/>
        <v>0</v>
      </c>
      <c r="AL69" s="104">
        <f t="shared" si="33"/>
        <v>0</v>
      </c>
      <c r="AM69" s="104">
        <f t="shared" si="33"/>
        <v>0</v>
      </c>
      <c r="AN69" s="104">
        <f t="shared" si="33"/>
        <v>0</v>
      </c>
      <c r="AO69" s="104">
        <f t="shared" si="33"/>
        <v>0</v>
      </c>
      <c r="AP69" s="104">
        <f t="shared" si="33"/>
        <v>0</v>
      </c>
      <c r="AQ69" s="104">
        <f t="shared" si="33"/>
        <v>0</v>
      </c>
      <c r="AR69" s="104">
        <f t="shared" si="33"/>
        <v>0</v>
      </c>
      <c r="AS69" s="104">
        <f t="shared" ref="AS69:AW69" si="34">AS36*$C69</f>
        <v>0</v>
      </c>
      <c r="AT69" s="104">
        <f t="shared" si="34"/>
        <v>0</v>
      </c>
      <c r="AU69" s="104">
        <f t="shared" si="34"/>
        <v>0</v>
      </c>
      <c r="AV69" s="104">
        <f t="shared" si="34"/>
        <v>0</v>
      </c>
      <c r="AW69" s="104">
        <f t="shared" si="34"/>
        <v>0</v>
      </c>
    </row>
    <row r="70" spans="2:49">
      <c r="B70" s="96" t="s">
        <v>58</v>
      </c>
      <c r="C70" s="111">
        <v>48</v>
      </c>
      <c r="D70" s="97">
        <f t="shared" ref="D70:AR70" si="35">D37*$C70</f>
        <v>0</v>
      </c>
      <c r="E70" s="104">
        <f t="shared" si="35"/>
        <v>0</v>
      </c>
      <c r="F70" s="104">
        <f t="shared" si="35"/>
        <v>0</v>
      </c>
      <c r="G70" s="104">
        <f t="shared" si="35"/>
        <v>0</v>
      </c>
      <c r="H70" s="104">
        <f t="shared" si="35"/>
        <v>0</v>
      </c>
      <c r="I70" s="104">
        <f t="shared" si="35"/>
        <v>0</v>
      </c>
      <c r="J70" s="104">
        <f t="shared" si="35"/>
        <v>0</v>
      </c>
      <c r="K70" s="104">
        <f t="shared" si="35"/>
        <v>0</v>
      </c>
      <c r="L70" s="104">
        <f t="shared" si="35"/>
        <v>0</v>
      </c>
      <c r="M70" s="104">
        <f t="shared" si="35"/>
        <v>0</v>
      </c>
      <c r="N70" s="104">
        <f t="shared" si="35"/>
        <v>0</v>
      </c>
      <c r="O70" s="104">
        <f t="shared" si="35"/>
        <v>0</v>
      </c>
      <c r="P70" s="104">
        <f t="shared" si="35"/>
        <v>0</v>
      </c>
      <c r="Q70" s="104">
        <f t="shared" si="35"/>
        <v>0</v>
      </c>
      <c r="R70" s="104">
        <f t="shared" si="35"/>
        <v>0</v>
      </c>
      <c r="S70" s="104">
        <f t="shared" si="35"/>
        <v>0</v>
      </c>
      <c r="T70" s="104">
        <f t="shared" si="35"/>
        <v>0</v>
      </c>
      <c r="U70" s="104">
        <f t="shared" si="35"/>
        <v>0</v>
      </c>
      <c r="V70" s="104">
        <f t="shared" si="35"/>
        <v>0</v>
      </c>
      <c r="W70" s="104">
        <f t="shared" si="35"/>
        <v>0</v>
      </c>
      <c r="X70" s="104">
        <f t="shared" si="35"/>
        <v>0</v>
      </c>
      <c r="Y70" s="104">
        <f t="shared" si="35"/>
        <v>0</v>
      </c>
      <c r="Z70" s="104">
        <f t="shared" si="35"/>
        <v>0</v>
      </c>
      <c r="AA70" s="104">
        <f t="shared" si="35"/>
        <v>0</v>
      </c>
      <c r="AB70" s="104">
        <f t="shared" si="35"/>
        <v>0</v>
      </c>
      <c r="AC70" s="104">
        <f t="shared" si="35"/>
        <v>0</v>
      </c>
      <c r="AD70" s="104">
        <f t="shared" si="35"/>
        <v>0</v>
      </c>
      <c r="AE70" s="104">
        <f t="shared" si="35"/>
        <v>0</v>
      </c>
      <c r="AF70" s="104">
        <f t="shared" si="35"/>
        <v>0</v>
      </c>
      <c r="AG70" s="104">
        <f t="shared" si="35"/>
        <v>0</v>
      </c>
      <c r="AH70" s="104">
        <f t="shared" si="35"/>
        <v>0</v>
      </c>
      <c r="AI70" s="104">
        <f t="shared" si="35"/>
        <v>0</v>
      </c>
      <c r="AJ70" s="104">
        <f t="shared" si="35"/>
        <v>0</v>
      </c>
      <c r="AK70" s="104">
        <f t="shared" si="35"/>
        <v>0</v>
      </c>
      <c r="AL70" s="104">
        <f t="shared" si="35"/>
        <v>0</v>
      </c>
      <c r="AM70" s="104">
        <f t="shared" si="35"/>
        <v>0</v>
      </c>
      <c r="AN70" s="104">
        <f t="shared" si="35"/>
        <v>0</v>
      </c>
      <c r="AO70" s="104">
        <f t="shared" si="35"/>
        <v>0</v>
      </c>
      <c r="AP70" s="104">
        <f t="shared" si="35"/>
        <v>0</v>
      </c>
      <c r="AQ70" s="104">
        <f t="shared" si="35"/>
        <v>0</v>
      </c>
      <c r="AR70" s="104">
        <f t="shared" si="35"/>
        <v>0</v>
      </c>
      <c r="AS70" s="104">
        <f t="shared" ref="AS70:AW70" si="36">AS37*$C70</f>
        <v>0</v>
      </c>
      <c r="AT70" s="104">
        <f t="shared" si="36"/>
        <v>0</v>
      </c>
      <c r="AU70" s="104">
        <f t="shared" si="36"/>
        <v>0</v>
      </c>
      <c r="AV70" s="104">
        <f t="shared" si="36"/>
        <v>0</v>
      </c>
      <c r="AW70" s="104">
        <f t="shared" si="36"/>
        <v>0</v>
      </c>
    </row>
    <row r="71" spans="2:49">
      <c r="B71" s="96" t="s">
        <v>59</v>
      </c>
      <c r="C71" s="112">
        <v>20</v>
      </c>
      <c r="D71" s="97">
        <f t="shared" ref="D71:AR71" si="37">D38*$C71</f>
        <v>753880</v>
      </c>
      <c r="E71" s="104">
        <f t="shared" si="37"/>
        <v>0</v>
      </c>
      <c r="F71" s="104">
        <f t="shared" si="37"/>
        <v>0</v>
      </c>
      <c r="G71" s="104">
        <f t="shared" si="37"/>
        <v>3720</v>
      </c>
      <c r="H71" s="104">
        <f t="shared" si="37"/>
        <v>6320</v>
      </c>
      <c r="I71" s="104">
        <f t="shared" si="37"/>
        <v>15400</v>
      </c>
      <c r="J71" s="104">
        <f t="shared" si="37"/>
        <v>14660</v>
      </c>
      <c r="K71" s="104">
        <f t="shared" si="37"/>
        <v>6440</v>
      </c>
      <c r="L71" s="104">
        <f t="shared" si="37"/>
        <v>6860</v>
      </c>
      <c r="M71" s="104">
        <f t="shared" si="37"/>
        <v>4500</v>
      </c>
      <c r="N71" s="104">
        <f t="shared" si="37"/>
        <v>4500</v>
      </c>
      <c r="O71" s="104">
        <f t="shared" si="37"/>
        <v>2500</v>
      </c>
      <c r="P71" s="104">
        <f t="shared" si="37"/>
        <v>2720</v>
      </c>
      <c r="Q71" s="104">
        <f t="shared" si="37"/>
        <v>6800</v>
      </c>
      <c r="R71" s="104">
        <f t="shared" si="37"/>
        <v>0</v>
      </c>
      <c r="S71" s="104">
        <f t="shared" si="37"/>
        <v>0</v>
      </c>
      <c r="T71" s="104">
        <f t="shared" si="37"/>
        <v>23280</v>
      </c>
      <c r="U71" s="104">
        <f t="shared" si="37"/>
        <v>24560</v>
      </c>
      <c r="V71" s="104">
        <f t="shared" si="37"/>
        <v>15380</v>
      </c>
      <c r="W71" s="104">
        <f t="shared" si="37"/>
        <v>20360</v>
      </c>
      <c r="X71" s="104">
        <f t="shared" si="37"/>
        <v>8780</v>
      </c>
      <c r="Y71" s="104">
        <f t="shared" si="37"/>
        <v>7120</v>
      </c>
      <c r="Z71" s="104">
        <f t="shared" si="37"/>
        <v>193840</v>
      </c>
      <c r="AA71" s="104">
        <f t="shared" si="37"/>
        <v>24680</v>
      </c>
      <c r="AB71" s="104">
        <f t="shared" si="37"/>
        <v>9680</v>
      </c>
      <c r="AC71" s="104">
        <f t="shared" si="37"/>
        <v>15880</v>
      </c>
      <c r="AD71" s="104">
        <f t="shared" si="37"/>
        <v>6520</v>
      </c>
      <c r="AE71" s="104">
        <f t="shared" si="37"/>
        <v>47560</v>
      </c>
      <c r="AF71" s="104">
        <f t="shared" si="37"/>
        <v>112680</v>
      </c>
      <c r="AG71" s="104">
        <f t="shared" si="37"/>
        <v>33320</v>
      </c>
      <c r="AH71" s="104">
        <f t="shared" si="37"/>
        <v>10920</v>
      </c>
      <c r="AI71" s="104">
        <f t="shared" si="37"/>
        <v>48840</v>
      </c>
      <c r="AJ71" s="104">
        <f t="shared" si="37"/>
        <v>35240</v>
      </c>
      <c r="AK71" s="104">
        <f t="shared" si="37"/>
        <v>9480</v>
      </c>
      <c r="AL71" s="104">
        <f t="shared" si="37"/>
        <v>18720</v>
      </c>
      <c r="AM71" s="104">
        <f t="shared" si="37"/>
        <v>9760</v>
      </c>
      <c r="AN71" s="104">
        <f t="shared" si="37"/>
        <v>1860</v>
      </c>
      <c r="AO71" s="104">
        <f t="shared" si="37"/>
        <v>0</v>
      </c>
      <c r="AP71" s="104">
        <f t="shared" si="37"/>
        <v>0</v>
      </c>
      <c r="AQ71" s="104" t="e">
        <f t="shared" si="37"/>
        <v>#VALUE!</v>
      </c>
      <c r="AR71" s="104">
        <f t="shared" si="37"/>
        <v>1000</v>
      </c>
      <c r="AS71" s="104">
        <f t="shared" ref="AS71:AW71" si="38">AS38*$C71</f>
        <v>4080</v>
      </c>
      <c r="AT71" s="104">
        <f t="shared" si="38"/>
        <v>4500</v>
      </c>
      <c r="AU71" s="104">
        <f t="shared" si="38"/>
        <v>4900</v>
      </c>
      <c r="AV71" s="104">
        <f t="shared" si="38"/>
        <v>0</v>
      </c>
      <c r="AW71" s="104">
        <f t="shared" si="38"/>
        <v>0</v>
      </c>
    </row>
    <row r="72" spans="2:49">
      <c r="B72" s="35" t="s">
        <v>85</v>
      </c>
      <c r="C72" s="113">
        <v>3.5</v>
      </c>
      <c r="D72" s="98">
        <f t="shared" ref="D72:AS72" si="39">D50*C72</f>
        <v>437500</v>
      </c>
      <c r="E72" s="107">
        <f>E50*$C$72</f>
        <v>0</v>
      </c>
      <c r="F72" s="107">
        <f t="shared" si="39"/>
        <v>0</v>
      </c>
      <c r="G72" s="107">
        <f t="shared" si="39"/>
        <v>0</v>
      </c>
      <c r="H72" s="107">
        <f t="shared" si="39"/>
        <v>0</v>
      </c>
      <c r="I72" s="107">
        <f t="shared" si="39"/>
        <v>0</v>
      </c>
      <c r="J72" s="107">
        <f t="shared" si="39"/>
        <v>0</v>
      </c>
      <c r="K72" s="107">
        <f t="shared" si="39"/>
        <v>0</v>
      </c>
      <c r="L72" s="107">
        <f t="shared" si="39"/>
        <v>0</v>
      </c>
      <c r="M72" s="107">
        <f t="shared" si="39"/>
        <v>0</v>
      </c>
      <c r="N72" s="107">
        <f t="shared" si="39"/>
        <v>0</v>
      </c>
      <c r="O72" s="107">
        <f t="shared" si="39"/>
        <v>0</v>
      </c>
      <c r="P72" s="107">
        <f t="shared" si="39"/>
        <v>0</v>
      </c>
      <c r="Q72" s="107">
        <f t="shared" si="39"/>
        <v>0</v>
      </c>
      <c r="R72" s="107">
        <f t="shared" si="39"/>
        <v>0</v>
      </c>
      <c r="S72" s="107">
        <f t="shared" si="39"/>
        <v>0</v>
      </c>
      <c r="T72" s="107">
        <f t="shared" si="39"/>
        <v>0</v>
      </c>
      <c r="U72" s="107">
        <f t="shared" si="39"/>
        <v>0</v>
      </c>
      <c r="V72" s="107">
        <f t="shared" si="39"/>
        <v>0</v>
      </c>
      <c r="W72" s="107">
        <f t="shared" si="39"/>
        <v>0</v>
      </c>
      <c r="X72" s="107">
        <f t="shared" si="39"/>
        <v>0</v>
      </c>
      <c r="Y72" s="107">
        <f t="shared" si="39"/>
        <v>0</v>
      </c>
      <c r="Z72" s="107">
        <f t="shared" si="39"/>
        <v>0</v>
      </c>
      <c r="AA72" s="107">
        <f t="shared" si="39"/>
        <v>0</v>
      </c>
      <c r="AB72" s="107">
        <f t="shared" si="39"/>
        <v>0</v>
      </c>
      <c r="AC72" s="107">
        <f t="shared" si="39"/>
        <v>0</v>
      </c>
      <c r="AD72" s="107">
        <f t="shared" si="39"/>
        <v>0</v>
      </c>
      <c r="AE72" s="107">
        <f>AE50*AD72</f>
        <v>0</v>
      </c>
      <c r="AF72" s="107"/>
      <c r="AG72" s="107">
        <f t="shared" si="39"/>
        <v>0</v>
      </c>
      <c r="AH72" s="107">
        <f t="shared" si="39"/>
        <v>0</v>
      </c>
      <c r="AI72" s="107">
        <f t="shared" si="39"/>
        <v>0</v>
      </c>
      <c r="AJ72" s="107">
        <f t="shared" si="39"/>
        <v>0</v>
      </c>
      <c r="AK72" s="107">
        <f t="shared" si="39"/>
        <v>0</v>
      </c>
      <c r="AL72" s="107">
        <f t="shared" si="39"/>
        <v>0</v>
      </c>
      <c r="AM72" s="107">
        <f t="shared" si="39"/>
        <v>0</v>
      </c>
      <c r="AN72" s="107">
        <f t="shared" si="39"/>
        <v>0</v>
      </c>
      <c r="AO72" s="107">
        <f t="shared" si="39"/>
        <v>0</v>
      </c>
      <c r="AP72" s="107">
        <f t="shared" si="39"/>
        <v>0</v>
      </c>
      <c r="AQ72" s="107">
        <f t="shared" si="39"/>
        <v>0</v>
      </c>
      <c r="AR72" s="107">
        <f t="shared" si="39"/>
        <v>0</v>
      </c>
      <c r="AS72" s="107">
        <f t="shared" si="39"/>
        <v>0</v>
      </c>
      <c r="AT72" s="107">
        <f t="shared" ref="AT72" si="40">AT50*AS72</f>
        <v>0</v>
      </c>
      <c r="AU72" s="107">
        <f t="shared" ref="AU72" si="41">AU50*AT72</f>
        <v>0</v>
      </c>
      <c r="AV72" s="107">
        <f t="shared" ref="AV72" si="42">AV50*AU72</f>
        <v>0</v>
      </c>
      <c r="AW72" s="107">
        <f t="shared" ref="AW72" si="43">AW50*AV72</f>
        <v>0</v>
      </c>
    </row>
    <row r="74" spans="2:49">
      <c r="B74" s="318" t="s">
        <v>86</v>
      </c>
      <c r="C74" s="319"/>
      <c r="D74" s="108">
        <f>AVERAGEIF(E59:N59, "&gt;0")</f>
        <v>947666.625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 t="s">
        <v>128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6" spans="2:49">
      <c r="B76" s="12" t="s">
        <v>87</v>
      </c>
      <c r="C76" s="13">
        <v>0.28999999999999998</v>
      </c>
      <c r="D76" s="14">
        <f>SUM(E76:N76)</f>
        <v>2198586.5699999998</v>
      </c>
      <c r="E76" s="14">
        <f t="shared" ref="E76:AR76" si="44">E59*$C$76</f>
        <v>0</v>
      </c>
      <c r="F76" s="14">
        <f t="shared" si="44"/>
        <v>0</v>
      </c>
      <c r="G76" s="14">
        <f t="shared" si="44"/>
        <v>37982.17</v>
      </c>
      <c r="H76" s="14">
        <f t="shared" si="44"/>
        <v>221825.34999999998</v>
      </c>
      <c r="I76" s="14">
        <f t="shared" si="44"/>
        <v>345443.06999999995</v>
      </c>
      <c r="J76" s="14">
        <f t="shared" si="44"/>
        <v>400538.13999999996</v>
      </c>
      <c r="K76" s="15">
        <f t="shared" si="44"/>
        <v>155411.28999999998</v>
      </c>
      <c r="L76" s="14">
        <f t="shared" si="44"/>
        <v>425048.36</v>
      </c>
      <c r="M76" s="15">
        <f t="shared" si="44"/>
        <v>275576.56</v>
      </c>
      <c r="N76" s="14">
        <f t="shared" si="44"/>
        <v>336761.63</v>
      </c>
      <c r="O76" s="14">
        <f t="shared" si="44"/>
        <v>284764.33999999997</v>
      </c>
      <c r="P76" s="14">
        <f t="shared" si="44"/>
        <v>627335.25</v>
      </c>
      <c r="Q76" s="14">
        <f t="shared" si="44"/>
        <v>721452.42999999993</v>
      </c>
      <c r="R76" s="14">
        <f t="shared" si="44"/>
        <v>0</v>
      </c>
      <c r="S76" s="14">
        <f t="shared" si="44"/>
        <v>50370.679999999993</v>
      </c>
      <c r="T76" s="14">
        <f t="shared" si="44"/>
        <v>272583.18</v>
      </c>
      <c r="U76" s="14">
        <f t="shared" si="44"/>
        <v>277808.98</v>
      </c>
      <c r="V76" s="14">
        <f t="shared" si="44"/>
        <v>147244.88999999998</v>
      </c>
      <c r="W76" s="14">
        <f t="shared" si="44"/>
        <v>192337.56999999998</v>
      </c>
      <c r="X76" s="14">
        <f t="shared" si="44"/>
        <v>311944.58999999997</v>
      </c>
      <c r="Y76" s="14">
        <f t="shared" si="44"/>
        <v>190319.46</v>
      </c>
      <c r="Z76" s="14">
        <f t="shared" si="44"/>
        <v>215143.16999999998</v>
      </c>
      <c r="AA76" s="14">
        <f t="shared" si="44"/>
        <v>261826.49999999997</v>
      </c>
      <c r="AB76" s="14">
        <f t="shared" si="44"/>
        <v>152560.29999999999</v>
      </c>
      <c r="AC76" s="14">
        <f t="shared" si="44"/>
        <v>360132.44</v>
      </c>
      <c r="AD76" s="14">
        <f t="shared" si="44"/>
        <v>180527.61</v>
      </c>
      <c r="AE76" s="14">
        <f t="shared" si="44"/>
        <v>175438.97999999998</v>
      </c>
      <c r="AF76" s="14">
        <f t="shared" si="44"/>
        <v>296979.71999999997</v>
      </c>
      <c r="AG76" s="14">
        <f t="shared" si="44"/>
        <v>301633.63999999996</v>
      </c>
      <c r="AH76" s="14">
        <f t="shared" si="44"/>
        <v>162788.31</v>
      </c>
      <c r="AI76" s="14">
        <f t="shared" si="44"/>
        <v>256971.61</v>
      </c>
      <c r="AJ76" s="14">
        <f t="shared" si="44"/>
        <v>253262.21999999997</v>
      </c>
      <c r="AK76" s="14">
        <f t="shared" si="44"/>
        <v>192681.8</v>
      </c>
      <c r="AL76" s="14">
        <f t="shared" si="44"/>
        <v>149238.06</v>
      </c>
      <c r="AM76" s="14">
        <f t="shared" si="44"/>
        <v>124209.31999999999</v>
      </c>
      <c r="AN76" s="14">
        <f t="shared" si="44"/>
        <v>593070.01</v>
      </c>
      <c r="AO76" s="14">
        <f t="shared" si="44"/>
        <v>0</v>
      </c>
      <c r="AP76" s="14">
        <f t="shared" si="44"/>
        <v>0</v>
      </c>
      <c r="AQ76" s="14" t="e">
        <f t="shared" si="44"/>
        <v>#VALUE!</v>
      </c>
      <c r="AR76" s="14">
        <f t="shared" si="44"/>
        <v>78168.92</v>
      </c>
      <c r="AS76" s="14">
        <f t="shared" ref="AS76:AW76" si="45">AS59*$C$76</f>
        <v>258506.87</v>
      </c>
      <c r="AT76" s="14">
        <f t="shared" si="45"/>
        <v>96804.03</v>
      </c>
      <c r="AU76" s="14">
        <f t="shared" si="45"/>
        <v>144343.72999999998</v>
      </c>
      <c r="AV76" s="14">
        <f t="shared" si="45"/>
        <v>0</v>
      </c>
      <c r="AW76" s="14">
        <f t="shared" si="45"/>
        <v>0</v>
      </c>
    </row>
    <row r="77" spans="2:49">
      <c r="B77" s="16" t="s">
        <v>88</v>
      </c>
      <c r="C77" s="17">
        <f>11800000/300</f>
        <v>39333.333333333336</v>
      </c>
      <c r="D77" s="18">
        <f>SUM(E77:N77)</f>
        <v>393333.33333333331</v>
      </c>
      <c r="E77" s="18">
        <f t="shared" ref="E77:AW77" si="46">$C$77</f>
        <v>39333.333333333336</v>
      </c>
      <c r="F77" s="18">
        <f t="shared" si="46"/>
        <v>39333.333333333336</v>
      </c>
      <c r="G77" s="18">
        <f t="shared" si="46"/>
        <v>39333.333333333336</v>
      </c>
      <c r="H77" s="18">
        <f t="shared" si="46"/>
        <v>39333.333333333336</v>
      </c>
      <c r="I77" s="18">
        <f t="shared" si="46"/>
        <v>39333.333333333336</v>
      </c>
      <c r="J77" s="18">
        <f t="shared" si="46"/>
        <v>39333.333333333336</v>
      </c>
      <c r="K77" s="19">
        <f t="shared" si="46"/>
        <v>39333.333333333336</v>
      </c>
      <c r="L77" s="18">
        <f t="shared" si="46"/>
        <v>39333.333333333336</v>
      </c>
      <c r="M77" s="19">
        <f t="shared" si="46"/>
        <v>39333.333333333336</v>
      </c>
      <c r="N77" s="18">
        <f t="shared" si="46"/>
        <v>39333.333333333336</v>
      </c>
      <c r="O77" s="18">
        <f t="shared" si="46"/>
        <v>39333.333333333336</v>
      </c>
      <c r="P77" s="18">
        <f t="shared" si="46"/>
        <v>39333.333333333336</v>
      </c>
      <c r="Q77" s="18">
        <f t="shared" si="46"/>
        <v>39333.333333333336</v>
      </c>
      <c r="R77" s="18">
        <f t="shared" si="46"/>
        <v>39333.333333333336</v>
      </c>
      <c r="S77" s="18">
        <f t="shared" si="46"/>
        <v>39333.333333333336</v>
      </c>
      <c r="T77" s="18">
        <f t="shared" si="46"/>
        <v>39333.333333333336</v>
      </c>
      <c r="U77" s="18">
        <f t="shared" si="46"/>
        <v>39333.333333333336</v>
      </c>
      <c r="V77" s="18">
        <f t="shared" si="46"/>
        <v>39333.333333333336</v>
      </c>
      <c r="W77" s="18">
        <f t="shared" si="46"/>
        <v>39333.333333333336</v>
      </c>
      <c r="X77" s="18">
        <f t="shared" si="46"/>
        <v>39333.333333333336</v>
      </c>
      <c r="Y77" s="18">
        <f t="shared" si="46"/>
        <v>39333.333333333336</v>
      </c>
      <c r="Z77" s="18">
        <f t="shared" si="46"/>
        <v>39333.333333333336</v>
      </c>
      <c r="AA77" s="18">
        <f t="shared" si="46"/>
        <v>39333.333333333336</v>
      </c>
      <c r="AB77" s="18">
        <f t="shared" si="46"/>
        <v>39333.333333333336</v>
      </c>
      <c r="AC77" s="18">
        <f t="shared" si="46"/>
        <v>39333.333333333336</v>
      </c>
      <c r="AD77" s="18">
        <f t="shared" si="46"/>
        <v>39333.333333333336</v>
      </c>
      <c r="AE77" s="18">
        <f t="shared" si="46"/>
        <v>39333.333333333336</v>
      </c>
      <c r="AF77" s="18">
        <f t="shared" si="46"/>
        <v>39333.333333333336</v>
      </c>
      <c r="AG77" s="18">
        <f t="shared" si="46"/>
        <v>39333.333333333336</v>
      </c>
      <c r="AH77" s="18">
        <f t="shared" si="46"/>
        <v>39333.333333333336</v>
      </c>
      <c r="AI77" s="18">
        <f t="shared" si="46"/>
        <v>39333.333333333336</v>
      </c>
      <c r="AJ77" s="18">
        <f t="shared" si="46"/>
        <v>39333.333333333336</v>
      </c>
      <c r="AK77" s="18">
        <f t="shared" si="46"/>
        <v>39333.333333333336</v>
      </c>
      <c r="AL77" s="18">
        <f t="shared" si="46"/>
        <v>39333.333333333336</v>
      </c>
      <c r="AM77" s="18">
        <f t="shared" si="46"/>
        <v>39333.333333333336</v>
      </c>
      <c r="AN77" s="18">
        <f t="shared" si="46"/>
        <v>39333.333333333336</v>
      </c>
      <c r="AO77" s="18">
        <f t="shared" si="46"/>
        <v>39333.333333333336</v>
      </c>
      <c r="AP77" s="18">
        <f t="shared" si="46"/>
        <v>39333.333333333336</v>
      </c>
      <c r="AQ77" s="18">
        <f t="shared" si="46"/>
        <v>39333.333333333336</v>
      </c>
      <c r="AR77" s="18">
        <f t="shared" si="46"/>
        <v>39333.333333333336</v>
      </c>
      <c r="AS77" s="18">
        <f t="shared" si="46"/>
        <v>39333.333333333336</v>
      </c>
      <c r="AT77" s="18">
        <f t="shared" si="46"/>
        <v>39333.333333333336</v>
      </c>
      <c r="AU77" s="18">
        <f t="shared" si="46"/>
        <v>39333.333333333336</v>
      </c>
      <c r="AV77" s="18">
        <f t="shared" si="46"/>
        <v>39333.333333333336</v>
      </c>
      <c r="AW77" s="18">
        <f t="shared" si="46"/>
        <v>39333.333333333336</v>
      </c>
    </row>
    <row r="78" spans="2:49">
      <c r="B78" s="16" t="s">
        <v>89</v>
      </c>
      <c r="C78" s="17">
        <f>11400000/300</f>
        <v>38000</v>
      </c>
      <c r="D78" s="18">
        <f>SUM(E78:N78)</f>
        <v>380000</v>
      </c>
      <c r="E78" s="18">
        <f t="shared" ref="E78:AW78" si="47">$C$78</f>
        <v>38000</v>
      </c>
      <c r="F78" s="18">
        <f t="shared" si="47"/>
        <v>38000</v>
      </c>
      <c r="G78" s="18">
        <f t="shared" si="47"/>
        <v>38000</v>
      </c>
      <c r="H78" s="18">
        <f t="shared" si="47"/>
        <v>38000</v>
      </c>
      <c r="I78" s="18">
        <f t="shared" si="47"/>
        <v>38000</v>
      </c>
      <c r="J78" s="18">
        <f t="shared" si="47"/>
        <v>38000</v>
      </c>
      <c r="K78" s="19">
        <f t="shared" si="47"/>
        <v>38000</v>
      </c>
      <c r="L78" s="18">
        <f t="shared" si="47"/>
        <v>38000</v>
      </c>
      <c r="M78" s="19">
        <f t="shared" si="47"/>
        <v>38000</v>
      </c>
      <c r="N78" s="18">
        <f t="shared" si="47"/>
        <v>38000</v>
      </c>
      <c r="O78" s="18">
        <f t="shared" si="47"/>
        <v>38000</v>
      </c>
      <c r="P78" s="18">
        <f t="shared" si="47"/>
        <v>38000</v>
      </c>
      <c r="Q78" s="18">
        <f t="shared" si="47"/>
        <v>38000</v>
      </c>
      <c r="R78" s="18">
        <f t="shared" si="47"/>
        <v>38000</v>
      </c>
      <c r="S78" s="18">
        <f t="shared" si="47"/>
        <v>38000</v>
      </c>
      <c r="T78" s="18">
        <f t="shared" si="47"/>
        <v>38000</v>
      </c>
      <c r="U78" s="18">
        <f t="shared" si="47"/>
        <v>38000</v>
      </c>
      <c r="V78" s="18">
        <f t="shared" si="47"/>
        <v>38000</v>
      </c>
      <c r="W78" s="18">
        <f t="shared" si="47"/>
        <v>38000</v>
      </c>
      <c r="X78" s="18">
        <f t="shared" si="47"/>
        <v>38000</v>
      </c>
      <c r="Y78" s="18">
        <f t="shared" si="47"/>
        <v>38000</v>
      </c>
      <c r="Z78" s="18">
        <f t="shared" si="47"/>
        <v>38000</v>
      </c>
      <c r="AA78" s="18">
        <f t="shared" si="47"/>
        <v>38000</v>
      </c>
      <c r="AB78" s="18">
        <f t="shared" si="47"/>
        <v>38000</v>
      </c>
      <c r="AC78" s="18">
        <f t="shared" si="47"/>
        <v>38000</v>
      </c>
      <c r="AD78" s="18">
        <f t="shared" si="47"/>
        <v>38000</v>
      </c>
      <c r="AE78" s="18">
        <f t="shared" si="47"/>
        <v>38000</v>
      </c>
      <c r="AF78" s="18">
        <f t="shared" si="47"/>
        <v>38000</v>
      </c>
      <c r="AG78" s="18">
        <f t="shared" si="47"/>
        <v>38000</v>
      </c>
      <c r="AH78" s="18">
        <f t="shared" si="47"/>
        <v>38000</v>
      </c>
      <c r="AI78" s="18">
        <f t="shared" si="47"/>
        <v>38000</v>
      </c>
      <c r="AJ78" s="18">
        <f t="shared" si="47"/>
        <v>38000</v>
      </c>
      <c r="AK78" s="18">
        <f t="shared" si="47"/>
        <v>38000</v>
      </c>
      <c r="AL78" s="18">
        <f t="shared" si="47"/>
        <v>38000</v>
      </c>
      <c r="AM78" s="18">
        <f t="shared" si="47"/>
        <v>38000</v>
      </c>
      <c r="AN78" s="18">
        <f t="shared" si="47"/>
        <v>38000</v>
      </c>
      <c r="AO78" s="18">
        <f t="shared" si="47"/>
        <v>38000</v>
      </c>
      <c r="AP78" s="18">
        <f t="shared" si="47"/>
        <v>38000</v>
      </c>
      <c r="AQ78" s="18">
        <f t="shared" si="47"/>
        <v>38000</v>
      </c>
      <c r="AR78" s="18">
        <f t="shared" si="47"/>
        <v>38000</v>
      </c>
      <c r="AS78" s="18">
        <f t="shared" si="47"/>
        <v>38000</v>
      </c>
      <c r="AT78" s="18">
        <f t="shared" si="47"/>
        <v>38000</v>
      </c>
      <c r="AU78" s="18">
        <f t="shared" si="47"/>
        <v>38000</v>
      </c>
      <c r="AV78" s="18">
        <f t="shared" si="47"/>
        <v>38000</v>
      </c>
      <c r="AW78" s="18">
        <f t="shared" si="47"/>
        <v>38000</v>
      </c>
    </row>
    <row r="79" spans="2:49">
      <c r="B79" s="20" t="s">
        <v>90</v>
      </c>
      <c r="C79" s="21">
        <v>9.48</v>
      </c>
      <c r="D79" s="23">
        <f>SUM(E79:N79)</f>
        <v>1440960</v>
      </c>
      <c r="E79" s="23">
        <f t="shared" ref="E79:AR79" si="48">$C$79*E42</f>
        <v>37920</v>
      </c>
      <c r="F79" s="23">
        <f t="shared" si="48"/>
        <v>28440</v>
      </c>
      <c r="G79" s="23">
        <f t="shared" si="48"/>
        <v>180120</v>
      </c>
      <c r="H79" s="23">
        <f t="shared" si="48"/>
        <v>170640</v>
      </c>
      <c r="I79" s="23">
        <f t="shared" si="48"/>
        <v>170640</v>
      </c>
      <c r="J79" s="23">
        <f t="shared" si="48"/>
        <v>170640</v>
      </c>
      <c r="K79" s="22">
        <f t="shared" si="48"/>
        <v>180120</v>
      </c>
      <c r="L79" s="23">
        <f t="shared" si="48"/>
        <v>170640</v>
      </c>
      <c r="M79" s="22">
        <f t="shared" si="48"/>
        <v>151680</v>
      </c>
      <c r="N79" s="23">
        <f t="shared" si="48"/>
        <v>180120</v>
      </c>
      <c r="O79" s="23">
        <f t="shared" si="48"/>
        <v>180120</v>
      </c>
      <c r="P79" s="23">
        <f t="shared" si="48"/>
        <v>161160</v>
      </c>
      <c r="Q79" s="23">
        <f t="shared" si="48"/>
        <v>170640</v>
      </c>
      <c r="R79" s="23">
        <f t="shared" si="48"/>
        <v>180120</v>
      </c>
      <c r="S79" s="23">
        <f t="shared" si="48"/>
        <v>180120</v>
      </c>
      <c r="T79" s="23">
        <f t="shared" si="48"/>
        <v>170640</v>
      </c>
      <c r="U79" s="23">
        <f t="shared" si="48"/>
        <v>170640</v>
      </c>
      <c r="V79" s="23">
        <f t="shared" si="48"/>
        <v>170640</v>
      </c>
      <c r="W79" s="23">
        <f t="shared" si="48"/>
        <v>161160</v>
      </c>
      <c r="X79" s="23">
        <f t="shared" si="48"/>
        <v>151680</v>
      </c>
      <c r="Y79" s="23">
        <f t="shared" si="48"/>
        <v>132720</v>
      </c>
      <c r="Z79" s="23">
        <f t="shared" si="48"/>
        <v>132720</v>
      </c>
      <c r="AA79" s="23">
        <f t="shared" si="48"/>
        <v>132720</v>
      </c>
      <c r="AB79" s="23">
        <f t="shared" si="48"/>
        <v>132720</v>
      </c>
      <c r="AC79" s="23">
        <f t="shared" si="48"/>
        <v>170640</v>
      </c>
      <c r="AD79" s="23">
        <f t="shared" si="48"/>
        <v>142200</v>
      </c>
      <c r="AE79" s="23">
        <f t="shared" si="48"/>
        <v>142200</v>
      </c>
      <c r="AF79" s="23">
        <f t="shared" si="48"/>
        <v>151680</v>
      </c>
      <c r="AG79" s="23">
        <f t="shared" si="48"/>
        <v>142200</v>
      </c>
      <c r="AH79" s="23">
        <f t="shared" si="48"/>
        <v>161160</v>
      </c>
      <c r="AI79" s="23">
        <f t="shared" si="48"/>
        <v>161160</v>
      </c>
      <c r="AJ79" s="23">
        <f t="shared" si="48"/>
        <v>142200</v>
      </c>
      <c r="AK79" s="23">
        <f t="shared" si="48"/>
        <v>142200</v>
      </c>
      <c r="AL79" s="23">
        <f t="shared" si="48"/>
        <v>151680</v>
      </c>
      <c r="AM79" s="23">
        <f t="shared" si="48"/>
        <v>161160</v>
      </c>
      <c r="AN79" s="23">
        <f t="shared" si="48"/>
        <v>151680</v>
      </c>
      <c r="AO79" s="23">
        <f t="shared" si="48"/>
        <v>85320</v>
      </c>
      <c r="AP79" s="23">
        <f t="shared" si="48"/>
        <v>56880</v>
      </c>
      <c r="AQ79" s="23">
        <f t="shared" si="48"/>
        <v>28440</v>
      </c>
      <c r="AR79" s="23">
        <f t="shared" si="48"/>
        <v>113760</v>
      </c>
      <c r="AS79" s="23">
        <f t="shared" ref="AS79:AW79" si="49">$C$79*AS42</f>
        <v>132720</v>
      </c>
      <c r="AT79" s="23">
        <f t="shared" si="49"/>
        <v>0</v>
      </c>
      <c r="AU79" s="23">
        <f t="shared" si="49"/>
        <v>0</v>
      </c>
      <c r="AV79" s="23">
        <f t="shared" si="49"/>
        <v>0</v>
      </c>
      <c r="AW79" s="23">
        <f t="shared" si="49"/>
        <v>0</v>
      </c>
    </row>
    <row r="80" spans="2:49">
      <c r="B80" s="24" t="s">
        <v>91</v>
      </c>
      <c r="C80" s="25">
        <f>SUM(E80:N80)</f>
        <v>3168453.0966666662</v>
      </c>
      <c r="D80" s="174">
        <f>D59-D76-D77-D78-D79</f>
        <v>27160415.096666668</v>
      </c>
      <c r="E80" s="26">
        <f t="shared" ref="E80:AR80" si="50">E59-E76-E77-E78-E79</f>
        <v>-115253.33333333334</v>
      </c>
      <c r="F80" s="26">
        <f t="shared" si="50"/>
        <v>-105773.33333333334</v>
      </c>
      <c r="G80" s="26">
        <f t="shared" si="50"/>
        <v>-164462.50333333333</v>
      </c>
      <c r="H80" s="26">
        <f t="shared" si="50"/>
        <v>295116.31666666671</v>
      </c>
      <c r="I80" s="26">
        <f t="shared" si="50"/>
        <v>597766.59666666668</v>
      </c>
      <c r="J80" s="26">
        <f t="shared" si="50"/>
        <v>732654.52666666673</v>
      </c>
      <c r="K80" s="27">
        <f t="shared" si="50"/>
        <v>123036.37666666671</v>
      </c>
      <c r="L80" s="26">
        <f t="shared" si="50"/>
        <v>792662.30666666664</v>
      </c>
      <c r="M80" s="27">
        <f t="shared" si="50"/>
        <v>445674.10666666657</v>
      </c>
      <c r="N80" s="26">
        <f t="shared" si="50"/>
        <v>567032.03666666662</v>
      </c>
      <c r="O80" s="26">
        <f t="shared" si="50"/>
        <v>439728.32666666666</v>
      </c>
      <c r="P80" s="26">
        <f t="shared" si="50"/>
        <v>1297396.4166666667</v>
      </c>
      <c r="Q80" s="26">
        <f t="shared" si="50"/>
        <v>1518341.2366666668</v>
      </c>
      <c r="R80" s="26">
        <f t="shared" si="50"/>
        <v>-257453.33333333334</v>
      </c>
      <c r="S80" s="26">
        <f t="shared" si="50"/>
        <v>-134132.01333333334</v>
      </c>
      <c r="T80" s="26">
        <f t="shared" si="50"/>
        <v>419385.48666666669</v>
      </c>
      <c r="U80" s="26">
        <f t="shared" si="50"/>
        <v>432179.68666666665</v>
      </c>
      <c r="V80" s="26">
        <f t="shared" si="50"/>
        <v>112522.77666666667</v>
      </c>
      <c r="W80" s="26">
        <f t="shared" si="50"/>
        <v>232402.09666666674</v>
      </c>
      <c r="X80" s="26">
        <f t="shared" si="50"/>
        <v>534713.07666666666</v>
      </c>
      <c r="Y80" s="26">
        <f t="shared" si="50"/>
        <v>255901.20666666672</v>
      </c>
      <c r="Z80" s="26">
        <f t="shared" si="50"/>
        <v>316676.49666666676</v>
      </c>
      <c r="AA80" s="26">
        <f t="shared" si="50"/>
        <v>430970.16666666663</v>
      </c>
      <c r="AB80" s="26">
        <f t="shared" si="50"/>
        <v>163456.3666666667</v>
      </c>
      <c r="AC80" s="26">
        <f t="shared" si="50"/>
        <v>633730.22666666668</v>
      </c>
      <c r="AD80" s="26">
        <f t="shared" si="50"/>
        <v>222448.0566666667</v>
      </c>
      <c r="AE80" s="26">
        <f t="shared" si="50"/>
        <v>209989.6866666667</v>
      </c>
      <c r="AF80" s="26">
        <f t="shared" si="50"/>
        <v>498074.94666666666</v>
      </c>
      <c r="AG80" s="26">
        <f t="shared" si="50"/>
        <v>518949.02666666673</v>
      </c>
      <c r="AH80" s="26">
        <f t="shared" si="50"/>
        <v>160057.35666666669</v>
      </c>
      <c r="AI80" s="26">
        <f t="shared" si="50"/>
        <v>390644.05666666664</v>
      </c>
      <c r="AJ80" s="26">
        <f t="shared" si="50"/>
        <v>400522.44666666666</v>
      </c>
      <c r="AK80" s="26">
        <f t="shared" si="50"/>
        <v>252204.8666666667</v>
      </c>
      <c r="AL80" s="26">
        <f t="shared" si="50"/>
        <v>136362.60666666669</v>
      </c>
      <c r="AM80" s="26">
        <f t="shared" si="50"/>
        <v>65605.346666666679</v>
      </c>
      <c r="AN80" s="26">
        <f t="shared" si="50"/>
        <v>1222985.6566666667</v>
      </c>
      <c r="AO80" s="26">
        <f t="shared" si="50"/>
        <v>-162653.33333333334</v>
      </c>
      <c r="AP80" s="26">
        <f t="shared" si="50"/>
        <v>-134213.33333333334</v>
      </c>
      <c r="AQ80" s="26" t="e">
        <f t="shared" si="50"/>
        <v>#VALUE!</v>
      </c>
      <c r="AR80" s="26">
        <f t="shared" si="50"/>
        <v>285.74666666667326</v>
      </c>
      <c r="AS80" s="26">
        <f t="shared" ref="AS80:AW80" si="51">AS59-AS76-AS77-AS78-AS79</f>
        <v>422842.79666666663</v>
      </c>
      <c r="AT80" s="26">
        <f t="shared" si="51"/>
        <v>159669.63666666666</v>
      </c>
      <c r="AU80" s="26">
        <f t="shared" si="51"/>
        <v>276059.9366666667</v>
      </c>
      <c r="AV80" s="26">
        <f t="shared" si="51"/>
        <v>-77333.333333333343</v>
      </c>
      <c r="AW80" s="26">
        <f t="shared" si="51"/>
        <v>-77333.333333333343</v>
      </c>
    </row>
    <row r="81" spans="2:49">
      <c r="B81" s="320" t="s">
        <v>92</v>
      </c>
      <c r="C81" s="321"/>
      <c r="D81" s="326"/>
      <c r="E81" s="29">
        <f>E80</f>
        <v>-115253.33333333334</v>
      </c>
      <c r="F81" s="29">
        <f t="shared" ref="F81:AS81" si="52">F80+E81</f>
        <v>-221026.66666666669</v>
      </c>
      <c r="G81" s="29">
        <f t="shared" si="52"/>
        <v>-385489.17000000004</v>
      </c>
      <c r="H81" s="29">
        <f t="shared" si="52"/>
        <v>-90372.853333333333</v>
      </c>
      <c r="I81" s="29">
        <f t="shared" si="52"/>
        <v>507393.74333333335</v>
      </c>
      <c r="J81" s="29">
        <f t="shared" si="52"/>
        <v>1240048.27</v>
      </c>
      <c r="K81" s="28">
        <f t="shared" si="52"/>
        <v>1363084.6466666667</v>
      </c>
      <c r="L81" s="29">
        <f t="shared" si="52"/>
        <v>2155746.9533333331</v>
      </c>
      <c r="M81" s="28">
        <f t="shared" si="52"/>
        <v>2601421.0599999996</v>
      </c>
      <c r="N81" s="29">
        <f t="shared" si="52"/>
        <v>3168453.0966666662</v>
      </c>
      <c r="O81" s="29">
        <f t="shared" si="52"/>
        <v>3608181.4233333329</v>
      </c>
      <c r="P81" s="29">
        <f t="shared" si="52"/>
        <v>4905577.84</v>
      </c>
      <c r="Q81" s="29">
        <f t="shared" si="52"/>
        <v>6423919.0766666662</v>
      </c>
      <c r="R81" s="29">
        <f t="shared" si="52"/>
        <v>6166465.7433333332</v>
      </c>
      <c r="S81" s="29">
        <f t="shared" si="52"/>
        <v>6032333.7299999995</v>
      </c>
      <c r="T81" s="29">
        <f t="shared" si="52"/>
        <v>6451719.2166666659</v>
      </c>
      <c r="U81" s="29">
        <f t="shared" si="52"/>
        <v>6883898.9033333324</v>
      </c>
      <c r="V81" s="29">
        <f t="shared" si="52"/>
        <v>6996421.6799999988</v>
      </c>
      <c r="W81" s="29">
        <f t="shared" si="52"/>
        <v>7228823.7766666654</v>
      </c>
      <c r="X81" s="29">
        <f t="shared" si="52"/>
        <v>7763536.8533333316</v>
      </c>
      <c r="Y81" s="29">
        <f t="shared" si="52"/>
        <v>8019438.0599999987</v>
      </c>
      <c r="Z81" s="29">
        <f t="shared" si="52"/>
        <v>8336114.5566666657</v>
      </c>
      <c r="AA81" s="29">
        <f t="shared" si="52"/>
        <v>8767084.7233333327</v>
      </c>
      <c r="AB81" s="29">
        <f t="shared" si="52"/>
        <v>8930541.0899999999</v>
      </c>
      <c r="AC81" s="29">
        <f t="shared" si="52"/>
        <v>9564271.3166666664</v>
      </c>
      <c r="AD81" s="29">
        <f t="shared" si="52"/>
        <v>9786719.3733333331</v>
      </c>
      <c r="AE81" s="29">
        <f t="shared" si="52"/>
        <v>9996709.0600000005</v>
      </c>
      <c r="AF81" s="29">
        <f t="shared" si="52"/>
        <v>10494784.006666668</v>
      </c>
      <c r="AG81" s="29">
        <f t="shared" si="52"/>
        <v>11013733.033333335</v>
      </c>
      <c r="AH81" s="29">
        <f t="shared" si="52"/>
        <v>11173790.390000002</v>
      </c>
      <c r="AI81" s="29">
        <f t="shared" si="52"/>
        <v>11564434.446666669</v>
      </c>
      <c r="AJ81" s="29">
        <f t="shared" si="52"/>
        <v>11964956.893333336</v>
      </c>
      <c r="AK81" s="29">
        <f t="shared" si="52"/>
        <v>12217161.760000004</v>
      </c>
      <c r="AL81" s="29">
        <f t="shared" si="52"/>
        <v>12353524.366666671</v>
      </c>
      <c r="AM81" s="29">
        <f t="shared" si="52"/>
        <v>12419129.713333338</v>
      </c>
      <c r="AN81" s="29">
        <f t="shared" si="52"/>
        <v>13642115.370000005</v>
      </c>
      <c r="AO81" s="29">
        <f t="shared" si="52"/>
        <v>13479462.036666671</v>
      </c>
      <c r="AP81" s="29">
        <f t="shared" si="52"/>
        <v>13345248.703333337</v>
      </c>
      <c r="AQ81" s="29" t="e">
        <f t="shared" si="52"/>
        <v>#VALUE!</v>
      </c>
      <c r="AR81" s="29" t="e">
        <f t="shared" si="52"/>
        <v>#VALUE!</v>
      </c>
      <c r="AS81" s="29" t="e">
        <f t="shared" si="52"/>
        <v>#VALUE!</v>
      </c>
      <c r="AT81" s="29" t="e">
        <f t="shared" ref="AT81" si="53">AT80+AS81</f>
        <v>#VALUE!</v>
      </c>
      <c r="AU81" s="29" t="e">
        <f t="shared" ref="AU81" si="54">AU80+AT81</f>
        <v>#VALUE!</v>
      </c>
      <c r="AV81" s="29" t="e">
        <f t="shared" ref="AV81" si="55">AV80+AU81</f>
        <v>#VALUE!</v>
      </c>
      <c r="AW81" s="29" t="e">
        <f t="shared" ref="AW81" si="56">AW80+AV81</f>
        <v>#VALUE!</v>
      </c>
    </row>
    <row r="82" spans="2:49">
      <c r="D82">
        <f>D80/D59</f>
        <v>0.86023378607353673</v>
      </c>
    </row>
    <row r="84" spans="2:49">
      <c r="B84" s="30" t="s">
        <v>93</v>
      </c>
      <c r="C84" s="31">
        <f>D42/D26</f>
        <v>0.89389246869908556</v>
      </c>
    </row>
    <row r="88" spans="2:49">
      <c r="I88">
        <v>157</v>
      </c>
      <c r="K88">
        <v>152</v>
      </c>
    </row>
    <row r="93" spans="2:49">
      <c r="I93">
        <f>200/13</f>
        <v>15.384615384615385</v>
      </c>
      <c r="J93">
        <f>140/13</f>
        <v>10.76923076923077</v>
      </c>
    </row>
  </sheetData>
  <mergeCells count="6">
    <mergeCell ref="B81:D81"/>
    <mergeCell ref="A26:A38"/>
    <mergeCell ref="A46:A51"/>
    <mergeCell ref="A53:A57"/>
    <mergeCell ref="B74:C74"/>
    <mergeCell ref="A42:A44"/>
  </mergeCells>
  <phoneticPr fontId="19" type="noConversion"/>
  <conditionalFormatting sqref="D44:AW44">
    <cfRule type="cellIs" dxfId="3" priority="1" operator="lessThan">
      <formula>0.6</formula>
    </cfRule>
    <cfRule type="cellIs" dxfId="2" priority="2" operator="greaterThan">
      <formula>0.6</formula>
    </cfRule>
  </conditionalFormatting>
  <conditionalFormatting sqref="E81:AW81 B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528C-4ADE-48BD-B8FA-B824A45F10CC}">
  <dimension ref="A2:AW93"/>
  <sheetViews>
    <sheetView topLeftCell="A20" workbookViewId="0">
      <selection activeCell="E42" sqref="E42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" bestFit="1" customWidth="1"/>
    <col min="7" max="8" width="11.28515625" bestFit="1" customWidth="1"/>
  </cols>
  <sheetData>
    <row r="2" spans="2:49" ht="15.75">
      <c r="B2" s="54" t="s">
        <v>0</v>
      </c>
      <c r="C2" s="109" t="s">
        <v>1</v>
      </c>
    </row>
    <row r="3" spans="2:49" ht="15.75">
      <c r="B3" s="54" t="s">
        <v>2</v>
      </c>
      <c r="C3" s="109">
        <v>12</v>
      </c>
    </row>
    <row r="4" spans="2:49" ht="15.75">
      <c r="B4" s="54" t="s">
        <v>3</v>
      </c>
      <c r="C4" s="110" t="s">
        <v>260</v>
      </c>
    </row>
    <row r="5" spans="2:49" ht="15.75">
      <c r="B5" s="54" t="s">
        <v>4</v>
      </c>
      <c r="C5" s="110"/>
    </row>
    <row r="6" spans="2:49" ht="15.75">
      <c r="B6" s="179" t="s">
        <v>230</v>
      </c>
      <c r="C6" s="110" t="s">
        <v>247</v>
      </c>
    </row>
    <row r="7" spans="2:49" ht="15.75">
      <c r="B7" s="2"/>
      <c r="C7" s="2"/>
    </row>
    <row r="8" spans="2:49" ht="15.75">
      <c r="B8" s="54" t="s">
        <v>5</v>
      </c>
      <c r="D8" s="41" t="s">
        <v>6</v>
      </c>
      <c r="E8" s="42">
        <v>45197</v>
      </c>
      <c r="F8" s="42">
        <f>+E8+1</f>
        <v>45198</v>
      </c>
      <c r="G8" s="42">
        <f t="shared" ref="G8:AW8" si="0">+F8+1</f>
        <v>45199</v>
      </c>
      <c r="H8" s="42">
        <f t="shared" si="0"/>
        <v>45200</v>
      </c>
      <c r="I8" s="42">
        <f t="shared" si="0"/>
        <v>45201</v>
      </c>
      <c r="J8" s="42">
        <f t="shared" si="0"/>
        <v>45202</v>
      </c>
      <c r="K8" s="42">
        <f t="shared" si="0"/>
        <v>45203</v>
      </c>
      <c r="L8" s="42">
        <f t="shared" si="0"/>
        <v>45204</v>
      </c>
      <c r="M8" s="42">
        <f t="shared" si="0"/>
        <v>45205</v>
      </c>
      <c r="N8" s="42">
        <f t="shared" si="0"/>
        <v>45206</v>
      </c>
      <c r="O8" s="42">
        <f t="shared" si="0"/>
        <v>45207</v>
      </c>
      <c r="P8" s="42">
        <f t="shared" si="0"/>
        <v>45208</v>
      </c>
      <c r="Q8" s="42">
        <f t="shared" si="0"/>
        <v>45209</v>
      </c>
      <c r="R8" s="42">
        <f t="shared" si="0"/>
        <v>45210</v>
      </c>
      <c r="S8" s="42">
        <f t="shared" si="0"/>
        <v>45211</v>
      </c>
      <c r="T8" s="42">
        <f t="shared" si="0"/>
        <v>45212</v>
      </c>
      <c r="U8" s="42">
        <f t="shared" si="0"/>
        <v>45213</v>
      </c>
      <c r="V8" s="42">
        <f t="shared" si="0"/>
        <v>45214</v>
      </c>
      <c r="W8" s="42">
        <f t="shared" si="0"/>
        <v>45215</v>
      </c>
      <c r="X8" s="42">
        <f t="shared" si="0"/>
        <v>45216</v>
      </c>
      <c r="Y8" s="42">
        <f t="shared" si="0"/>
        <v>45217</v>
      </c>
      <c r="Z8" s="42">
        <f t="shared" si="0"/>
        <v>45218</v>
      </c>
      <c r="AA8" s="42">
        <f t="shared" si="0"/>
        <v>45219</v>
      </c>
      <c r="AB8" s="42">
        <f t="shared" si="0"/>
        <v>45220</v>
      </c>
      <c r="AC8" s="42">
        <f t="shared" si="0"/>
        <v>45221</v>
      </c>
      <c r="AD8" s="42">
        <f t="shared" si="0"/>
        <v>45222</v>
      </c>
      <c r="AE8" s="42">
        <f t="shared" si="0"/>
        <v>45223</v>
      </c>
      <c r="AF8" s="42">
        <f t="shared" si="0"/>
        <v>45224</v>
      </c>
      <c r="AG8" s="42">
        <f t="shared" si="0"/>
        <v>45225</v>
      </c>
      <c r="AH8" s="42">
        <f t="shared" si="0"/>
        <v>45226</v>
      </c>
      <c r="AI8" s="42">
        <f t="shared" si="0"/>
        <v>45227</v>
      </c>
      <c r="AJ8" s="42">
        <f t="shared" si="0"/>
        <v>45228</v>
      </c>
      <c r="AK8" s="42">
        <f t="shared" si="0"/>
        <v>45229</v>
      </c>
      <c r="AL8" s="42">
        <f t="shared" si="0"/>
        <v>45230</v>
      </c>
      <c r="AM8" s="42">
        <f t="shared" si="0"/>
        <v>45231</v>
      </c>
      <c r="AN8" s="42">
        <f t="shared" si="0"/>
        <v>45232</v>
      </c>
      <c r="AO8" s="42">
        <f t="shared" si="0"/>
        <v>45233</v>
      </c>
      <c r="AP8" s="42">
        <f t="shared" si="0"/>
        <v>45234</v>
      </c>
      <c r="AQ8" s="42">
        <f t="shared" si="0"/>
        <v>45235</v>
      </c>
      <c r="AR8" s="42">
        <f t="shared" si="0"/>
        <v>45236</v>
      </c>
      <c r="AS8" s="42">
        <f t="shared" si="0"/>
        <v>45237</v>
      </c>
      <c r="AT8" s="42">
        <f t="shared" si="0"/>
        <v>45238</v>
      </c>
      <c r="AU8" s="42">
        <f t="shared" si="0"/>
        <v>45239</v>
      </c>
      <c r="AV8" s="42">
        <f t="shared" si="0"/>
        <v>45240</v>
      </c>
      <c r="AW8" s="42">
        <f t="shared" si="0"/>
        <v>45241</v>
      </c>
    </row>
    <row r="9" spans="2:49">
      <c r="B9" s="46" t="s">
        <v>7</v>
      </c>
      <c r="C9" s="47" t="s">
        <v>8</v>
      </c>
      <c r="D9" s="71">
        <f>SUM(E9:N9)</f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0</v>
      </c>
      <c r="AC9" s="114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  <c r="AS9" s="114">
        <v>0</v>
      </c>
      <c r="AT9" s="114">
        <v>0</v>
      </c>
      <c r="AU9" s="114">
        <v>0</v>
      </c>
      <c r="AV9" s="114">
        <v>0</v>
      </c>
      <c r="AW9" s="114">
        <v>0</v>
      </c>
    </row>
    <row r="10" spans="2:49">
      <c r="B10" s="48" t="s">
        <v>9</v>
      </c>
      <c r="C10" s="38" t="s">
        <v>8</v>
      </c>
      <c r="D10" s="71">
        <f t="shared" ref="D10:D16" si="1">SUM(E10:K10)</f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</row>
    <row r="11" spans="2:49">
      <c r="B11" s="48" t="s">
        <v>10</v>
      </c>
      <c r="C11" s="38" t="s">
        <v>8</v>
      </c>
      <c r="D11" s="71">
        <f t="shared" si="1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</row>
    <row r="12" spans="2:49">
      <c r="B12" s="48" t="s">
        <v>11</v>
      </c>
      <c r="C12" s="38" t="s">
        <v>8</v>
      </c>
      <c r="D12" s="71">
        <f t="shared" si="1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  <c r="AS12" s="115">
        <v>0</v>
      </c>
      <c r="AT12" s="115">
        <v>0</v>
      </c>
      <c r="AU12" s="115">
        <v>0</v>
      </c>
      <c r="AV12" s="115">
        <v>0</v>
      </c>
      <c r="AW12" s="115">
        <v>0</v>
      </c>
    </row>
    <row r="13" spans="2:49">
      <c r="B13" s="48" t="s">
        <v>12</v>
      </c>
      <c r="C13" s="38" t="s">
        <v>8</v>
      </c>
      <c r="D13" s="71">
        <f t="shared" si="1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  <c r="AS13" s="115">
        <v>0</v>
      </c>
      <c r="AT13" s="115">
        <v>0</v>
      </c>
      <c r="AU13" s="115">
        <v>0</v>
      </c>
      <c r="AV13" s="115">
        <v>0</v>
      </c>
      <c r="AW13" s="115">
        <v>0</v>
      </c>
    </row>
    <row r="14" spans="2:49">
      <c r="B14" s="48" t="s">
        <v>13</v>
      </c>
      <c r="C14" s="38" t="s">
        <v>8</v>
      </c>
      <c r="D14" s="71">
        <f t="shared" si="1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  <c r="AS14" s="115">
        <v>0</v>
      </c>
      <c r="AT14" s="115">
        <v>0</v>
      </c>
      <c r="AU14" s="115">
        <v>0</v>
      </c>
      <c r="AV14" s="115">
        <v>0</v>
      </c>
      <c r="AW14" s="115">
        <v>0</v>
      </c>
    </row>
    <row r="15" spans="2:49">
      <c r="B15" s="49" t="s">
        <v>14</v>
      </c>
      <c r="C15" s="40" t="s">
        <v>8</v>
      </c>
      <c r="D15" s="71">
        <f t="shared" si="1"/>
        <v>0</v>
      </c>
      <c r="E15" s="115">
        <v>0</v>
      </c>
      <c r="F15" s="115">
        <v>0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0</v>
      </c>
      <c r="M15" s="115">
        <v>0</v>
      </c>
      <c r="N15" s="115">
        <v>0</v>
      </c>
      <c r="O15" s="115">
        <v>0</v>
      </c>
      <c r="P15" s="115">
        <v>0</v>
      </c>
      <c r="Q15" s="115">
        <v>0</v>
      </c>
      <c r="R15" s="115">
        <v>0</v>
      </c>
      <c r="S15" s="115">
        <v>0</v>
      </c>
      <c r="T15" s="115">
        <v>0</v>
      </c>
      <c r="U15" s="115">
        <v>0</v>
      </c>
      <c r="V15" s="115">
        <v>0</v>
      </c>
      <c r="W15" s="115">
        <v>0</v>
      </c>
      <c r="X15" s="115">
        <v>0</v>
      </c>
      <c r="Y15" s="115">
        <v>0</v>
      </c>
      <c r="Z15" s="115">
        <v>0</v>
      </c>
      <c r="AA15" s="115">
        <v>0</v>
      </c>
      <c r="AB15" s="115">
        <v>0</v>
      </c>
      <c r="AC15" s="115">
        <v>0</v>
      </c>
      <c r="AD15" s="115">
        <v>0</v>
      </c>
      <c r="AE15" s="115">
        <v>0</v>
      </c>
      <c r="AF15" s="115">
        <v>0</v>
      </c>
      <c r="AG15" s="115">
        <v>0</v>
      </c>
      <c r="AH15" s="115">
        <v>0</v>
      </c>
      <c r="AI15" s="115">
        <v>0</v>
      </c>
      <c r="AJ15" s="115">
        <v>0</v>
      </c>
      <c r="AK15" s="115">
        <v>0</v>
      </c>
      <c r="AL15" s="115">
        <v>0</v>
      </c>
      <c r="AM15" s="115">
        <v>0</v>
      </c>
      <c r="AN15" s="115">
        <v>0</v>
      </c>
      <c r="AO15" s="115">
        <v>0</v>
      </c>
      <c r="AP15" s="115">
        <v>0</v>
      </c>
      <c r="AQ15" s="115">
        <v>0</v>
      </c>
      <c r="AR15" s="115">
        <v>0</v>
      </c>
      <c r="AS15" s="115">
        <v>0</v>
      </c>
      <c r="AT15" s="115">
        <v>0</v>
      </c>
      <c r="AU15" s="115">
        <v>0</v>
      </c>
      <c r="AV15" s="115">
        <v>0</v>
      </c>
      <c r="AW15" s="115">
        <v>0</v>
      </c>
    </row>
    <row r="16" spans="2:49">
      <c r="B16" s="68" t="s">
        <v>15</v>
      </c>
      <c r="C16" s="69" t="s">
        <v>8</v>
      </c>
      <c r="D16" s="70">
        <f t="shared" si="1"/>
        <v>0</v>
      </c>
      <c r="E16" s="117">
        <f t="shared" ref="E16:I16" si="2">SUM(E9:E15)</f>
        <v>0</v>
      </c>
      <c r="F16" s="117">
        <f t="shared" si="2"/>
        <v>0</v>
      </c>
      <c r="G16" s="117">
        <f t="shared" si="2"/>
        <v>0</v>
      </c>
      <c r="H16" s="117">
        <f t="shared" si="2"/>
        <v>0</v>
      </c>
      <c r="I16" s="117">
        <f t="shared" si="2"/>
        <v>0</v>
      </c>
      <c r="J16" s="117">
        <f t="shared" ref="J16:AW16" si="3">SUM(J9:J15)</f>
        <v>0</v>
      </c>
      <c r="K16" s="117">
        <f t="shared" si="3"/>
        <v>0</v>
      </c>
      <c r="L16" s="117">
        <f t="shared" si="3"/>
        <v>0</v>
      </c>
      <c r="M16" s="117">
        <f t="shared" si="3"/>
        <v>0</v>
      </c>
      <c r="N16" s="117">
        <f t="shared" si="3"/>
        <v>0</v>
      </c>
      <c r="O16" s="117">
        <f t="shared" si="3"/>
        <v>0</v>
      </c>
      <c r="P16" s="117">
        <f t="shared" si="3"/>
        <v>0</v>
      </c>
      <c r="Q16" s="117">
        <f t="shared" si="3"/>
        <v>0</v>
      </c>
      <c r="R16" s="117">
        <f t="shared" si="3"/>
        <v>0</v>
      </c>
      <c r="S16" s="117">
        <f t="shared" si="3"/>
        <v>0</v>
      </c>
      <c r="T16" s="117">
        <f t="shared" si="3"/>
        <v>0</v>
      </c>
      <c r="U16" s="117">
        <f t="shared" si="3"/>
        <v>0</v>
      </c>
      <c r="V16" s="117">
        <f t="shared" si="3"/>
        <v>0</v>
      </c>
      <c r="W16" s="117">
        <f t="shared" si="3"/>
        <v>0</v>
      </c>
      <c r="X16" s="117">
        <f t="shared" si="3"/>
        <v>0</v>
      </c>
      <c r="Y16" s="117">
        <f t="shared" si="3"/>
        <v>0</v>
      </c>
      <c r="Z16" s="117">
        <f t="shared" si="3"/>
        <v>0</v>
      </c>
      <c r="AA16" s="117">
        <f t="shared" si="3"/>
        <v>0</v>
      </c>
      <c r="AB16" s="117">
        <f t="shared" si="3"/>
        <v>0</v>
      </c>
      <c r="AC16" s="117">
        <f t="shared" si="3"/>
        <v>0</v>
      </c>
      <c r="AD16" s="117">
        <f t="shared" si="3"/>
        <v>0</v>
      </c>
      <c r="AE16" s="117">
        <f t="shared" si="3"/>
        <v>0</v>
      </c>
      <c r="AF16" s="117">
        <f t="shared" si="3"/>
        <v>0</v>
      </c>
      <c r="AG16" s="117">
        <f t="shared" si="3"/>
        <v>0</v>
      </c>
      <c r="AH16" s="117">
        <f t="shared" si="3"/>
        <v>0</v>
      </c>
      <c r="AI16" s="117">
        <f t="shared" si="3"/>
        <v>0</v>
      </c>
      <c r="AJ16" s="117">
        <f t="shared" si="3"/>
        <v>0</v>
      </c>
      <c r="AK16" s="117">
        <f t="shared" si="3"/>
        <v>0</v>
      </c>
      <c r="AL16" s="117">
        <f t="shared" si="3"/>
        <v>0</v>
      </c>
      <c r="AM16" s="117">
        <f t="shared" si="3"/>
        <v>0</v>
      </c>
      <c r="AN16" s="117">
        <f t="shared" si="3"/>
        <v>0</v>
      </c>
      <c r="AO16" s="117">
        <f t="shared" si="3"/>
        <v>0</v>
      </c>
      <c r="AP16" s="117">
        <f t="shared" si="3"/>
        <v>0</v>
      </c>
      <c r="AQ16" s="117">
        <f t="shared" si="3"/>
        <v>0</v>
      </c>
      <c r="AR16" s="117">
        <f t="shared" si="3"/>
        <v>0</v>
      </c>
      <c r="AS16" s="117">
        <f t="shared" si="3"/>
        <v>0</v>
      </c>
      <c r="AT16" s="117">
        <f t="shared" si="3"/>
        <v>0</v>
      </c>
      <c r="AU16" s="117">
        <f t="shared" si="3"/>
        <v>0</v>
      </c>
      <c r="AV16" s="117">
        <f t="shared" si="3"/>
        <v>0</v>
      </c>
      <c r="AW16" s="117">
        <f t="shared" si="3"/>
        <v>0</v>
      </c>
    </row>
    <row r="18" spans="1:49">
      <c r="B18" s="50" t="s">
        <v>16</v>
      </c>
      <c r="C18" s="50" t="s">
        <v>0</v>
      </c>
      <c r="D18" s="58">
        <f>SUM(E18:K18)</f>
        <v>0</v>
      </c>
      <c r="E18" s="127" t="s">
        <v>203</v>
      </c>
      <c r="F18" s="127" t="s">
        <v>117</v>
      </c>
      <c r="G18" s="127" t="s">
        <v>252</v>
      </c>
      <c r="H18" s="127" t="s">
        <v>252</v>
      </c>
      <c r="I18" s="127" t="s">
        <v>253</v>
      </c>
      <c r="J18" s="127" t="s">
        <v>252</v>
      </c>
      <c r="K18" s="127" t="s">
        <v>252</v>
      </c>
      <c r="L18" s="127" t="s">
        <v>261</v>
      </c>
      <c r="M18" s="127" t="s">
        <v>262</v>
      </c>
      <c r="N18" s="127" t="s">
        <v>173</v>
      </c>
      <c r="O18" s="127" t="s">
        <v>173</v>
      </c>
      <c r="P18" s="127" t="s">
        <v>173</v>
      </c>
      <c r="Q18" s="127" t="s">
        <v>173</v>
      </c>
      <c r="R18" s="127" t="s">
        <v>173</v>
      </c>
      <c r="S18" s="127" t="s">
        <v>173</v>
      </c>
      <c r="T18" s="127" t="s">
        <v>173</v>
      </c>
      <c r="U18" s="127" t="s">
        <v>173</v>
      </c>
      <c r="V18" s="127" t="s">
        <v>173</v>
      </c>
      <c r="W18" s="127" t="s">
        <v>173</v>
      </c>
      <c r="X18" s="127" t="s">
        <v>173</v>
      </c>
      <c r="Y18" s="127" t="s">
        <v>173</v>
      </c>
      <c r="Z18" s="127" t="s">
        <v>173</v>
      </c>
      <c r="AA18" s="127" t="s">
        <v>173</v>
      </c>
      <c r="AB18" s="127" t="s">
        <v>178</v>
      </c>
      <c r="AC18" s="127" t="s">
        <v>178</v>
      </c>
      <c r="AD18" s="127" t="s">
        <v>178</v>
      </c>
      <c r="AE18" s="127" t="s">
        <v>173</v>
      </c>
      <c r="AF18" s="127" t="s">
        <v>173</v>
      </c>
      <c r="AG18" s="127" t="s">
        <v>173</v>
      </c>
      <c r="AH18" s="127" t="s">
        <v>173</v>
      </c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96" t="s">
        <v>128</v>
      </c>
    </row>
    <row r="19" spans="1:49">
      <c r="B19" s="37" t="s">
        <v>31</v>
      </c>
      <c r="C19" s="37" t="s">
        <v>32</v>
      </c>
      <c r="D19" s="131">
        <f>SUM(E19:AR19)</f>
        <v>0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97" t="s">
        <v>128</v>
      </c>
    </row>
    <row r="20" spans="1:49">
      <c r="B20" s="37" t="s">
        <v>35</v>
      </c>
      <c r="C20" s="37" t="s">
        <v>36</v>
      </c>
      <c r="D20" s="131">
        <f>SUM(E20:AR20)</f>
        <v>0</v>
      </c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97" t="s">
        <v>128</v>
      </c>
    </row>
    <row r="21" spans="1:49">
      <c r="B21" s="39" t="s">
        <v>37</v>
      </c>
      <c r="C21" s="39" t="s">
        <v>38</v>
      </c>
      <c r="D21" s="67">
        <f>SUM(E21:K21)</f>
        <v>0</v>
      </c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98" t="s">
        <v>128</v>
      </c>
    </row>
    <row r="22" spans="1:49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 t="s">
        <v>128</v>
      </c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</row>
    <row r="24" spans="1:49">
      <c r="B24" s="167" t="s">
        <v>43</v>
      </c>
      <c r="C24" s="168" t="e">
        <f>D26/D19</f>
        <v>#DIV/0!</v>
      </c>
    </row>
    <row r="25" spans="1:49">
      <c r="D25" s="10"/>
    </row>
    <row r="26" spans="1:49">
      <c r="A26" s="312" t="s">
        <v>44</v>
      </c>
      <c r="B26" s="35" t="s">
        <v>45</v>
      </c>
      <c r="C26" s="35"/>
      <c r="D26" s="175">
        <f>SUM(E26:AR26)</f>
        <v>0</v>
      </c>
      <c r="E26" s="75">
        <f t="shared" ref="E26:I26" si="4">SUM(E27:E38)</f>
        <v>0</v>
      </c>
      <c r="F26" s="175">
        <f t="shared" si="4"/>
        <v>0</v>
      </c>
      <c r="G26" s="175">
        <f t="shared" si="4"/>
        <v>0</v>
      </c>
      <c r="H26" s="175">
        <f t="shared" si="4"/>
        <v>0</v>
      </c>
      <c r="I26" s="175">
        <f t="shared" si="4"/>
        <v>0</v>
      </c>
      <c r="J26" s="175">
        <f t="shared" ref="J26:AW26" si="5">SUM(J27:J38)</f>
        <v>0</v>
      </c>
      <c r="K26" s="75">
        <f t="shared" si="5"/>
        <v>0</v>
      </c>
      <c r="L26" s="175">
        <f t="shared" si="5"/>
        <v>0</v>
      </c>
      <c r="M26" s="75">
        <f t="shared" si="5"/>
        <v>0</v>
      </c>
      <c r="N26" s="175">
        <f t="shared" si="5"/>
        <v>0</v>
      </c>
      <c r="O26" s="75">
        <f t="shared" si="5"/>
        <v>0</v>
      </c>
      <c r="P26" s="175">
        <f t="shared" si="5"/>
        <v>0</v>
      </c>
      <c r="Q26" s="75">
        <f t="shared" si="5"/>
        <v>0</v>
      </c>
      <c r="R26" s="175">
        <f t="shared" si="5"/>
        <v>0</v>
      </c>
      <c r="S26" s="75">
        <f t="shared" si="5"/>
        <v>0</v>
      </c>
      <c r="T26" s="175">
        <f t="shared" si="5"/>
        <v>0</v>
      </c>
      <c r="U26" s="75">
        <f t="shared" si="5"/>
        <v>0</v>
      </c>
      <c r="V26" s="175">
        <f t="shared" si="5"/>
        <v>0</v>
      </c>
      <c r="W26" s="75">
        <f t="shared" si="5"/>
        <v>0</v>
      </c>
      <c r="X26" s="175">
        <f t="shared" si="5"/>
        <v>0</v>
      </c>
      <c r="Y26" s="75">
        <f t="shared" si="5"/>
        <v>0</v>
      </c>
      <c r="Z26" s="175">
        <f t="shared" si="5"/>
        <v>0</v>
      </c>
      <c r="AA26" s="75">
        <f t="shared" si="5"/>
        <v>0</v>
      </c>
      <c r="AB26" s="175">
        <f t="shared" si="5"/>
        <v>0</v>
      </c>
      <c r="AC26" s="75">
        <f t="shared" si="5"/>
        <v>0</v>
      </c>
      <c r="AD26" s="175">
        <f t="shared" si="5"/>
        <v>0</v>
      </c>
      <c r="AE26" s="75">
        <f t="shared" si="5"/>
        <v>0</v>
      </c>
      <c r="AF26" s="175">
        <f t="shared" si="5"/>
        <v>0</v>
      </c>
      <c r="AG26" s="75">
        <f t="shared" si="5"/>
        <v>0</v>
      </c>
      <c r="AH26" s="175">
        <f t="shared" si="5"/>
        <v>0</v>
      </c>
      <c r="AI26" s="75">
        <f t="shared" si="5"/>
        <v>0</v>
      </c>
      <c r="AJ26" s="175">
        <f t="shared" si="5"/>
        <v>0</v>
      </c>
      <c r="AK26" s="75">
        <f t="shared" si="5"/>
        <v>0</v>
      </c>
      <c r="AL26" s="175">
        <f t="shared" si="5"/>
        <v>0</v>
      </c>
      <c r="AM26" s="75">
        <f t="shared" si="5"/>
        <v>0</v>
      </c>
      <c r="AN26" s="175">
        <f t="shared" si="5"/>
        <v>0</v>
      </c>
      <c r="AO26" s="75">
        <f t="shared" si="5"/>
        <v>0</v>
      </c>
      <c r="AP26" s="175">
        <f t="shared" si="5"/>
        <v>0</v>
      </c>
      <c r="AQ26" s="75">
        <f t="shared" si="5"/>
        <v>0</v>
      </c>
      <c r="AR26" s="175">
        <f t="shared" si="5"/>
        <v>0</v>
      </c>
      <c r="AS26" s="175">
        <f t="shared" si="5"/>
        <v>0</v>
      </c>
      <c r="AT26" s="175">
        <f t="shared" si="5"/>
        <v>0</v>
      </c>
      <c r="AU26" s="175">
        <f t="shared" si="5"/>
        <v>0</v>
      </c>
      <c r="AV26" s="175">
        <f t="shared" si="5"/>
        <v>0</v>
      </c>
      <c r="AW26" s="175">
        <f t="shared" si="5"/>
        <v>0</v>
      </c>
    </row>
    <row r="27" spans="1:49">
      <c r="A27" s="313"/>
      <c r="B27" s="37" t="s">
        <v>47</v>
      </c>
      <c r="C27" s="38" t="s">
        <v>48</v>
      </c>
      <c r="D27" s="73">
        <f t="shared" ref="D27:D36" si="6">SUM(E27:AR27)</f>
        <v>0</v>
      </c>
      <c r="E27" s="55">
        <v>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>
        <v>0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  <c r="AS27" s="55">
        <v>0</v>
      </c>
      <c r="AT27" s="55">
        <v>0</v>
      </c>
      <c r="AU27" s="55">
        <v>0</v>
      </c>
      <c r="AV27" s="55">
        <v>0</v>
      </c>
      <c r="AW27" s="55">
        <v>0</v>
      </c>
    </row>
    <row r="28" spans="1:49">
      <c r="A28" s="313"/>
      <c r="B28" s="37" t="s">
        <v>49</v>
      </c>
      <c r="C28" s="38" t="s">
        <v>48</v>
      </c>
      <c r="D28" s="73">
        <f t="shared" si="6"/>
        <v>0</v>
      </c>
      <c r="E28" s="55">
        <v>0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>
        <v>0</v>
      </c>
      <c r="AK28" s="55">
        <v>0</v>
      </c>
      <c r="AL28" s="55">
        <v>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  <c r="AS28" s="55">
        <v>0</v>
      </c>
      <c r="AT28" s="55">
        <v>0</v>
      </c>
      <c r="AU28" s="55">
        <v>0</v>
      </c>
      <c r="AV28" s="55">
        <v>0</v>
      </c>
      <c r="AW28" s="55">
        <v>0</v>
      </c>
    </row>
    <row r="29" spans="1:49">
      <c r="A29" s="313"/>
      <c r="B29" s="37" t="s">
        <v>50</v>
      </c>
      <c r="C29" s="38" t="s">
        <v>48</v>
      </c>
      <c r="D29" s="73">
        <f t="shared" si="6"/>
        <v>0</v>
      </c>
      <c r="E29" s="55">
        <v>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>
        <v>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  <c r="AS29" s="55">
        <v>0</v>
      </c>
      <c r="AT29" s="55">
        <v>0</v>
      </c>
      <c r="AU29" s="55">
        <v>0</v>
      </c>
      <c r="AV29" s="55">
        <v>0</v>
      </c>
      <c r="AW29" s="55">
        <v>0</v>
      </c>
    </row>
    <row r="30" spans="1:49">
      <c r="A30" s="313"/>
      <c r="B30" s="37" t="s">
        <v>51</v>
      </c>
      <c r="C30" s="38" t="s">
        <v>48</v>
      </c>
      <c r="D30" s="73">
        <f t="shared" si="6"/>
        <v>0</v>
      </c>
      <c r="E30" s="55">
        <v>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  <c r="AS30" s="55">
        <v>0</v>
      </c>
      <c r="AT30" s="55">
        <v>0</v>
      </c>
      <c r="AU30" s="55">
        <v>0</v>
      </c>
      <c r="AV30" s="55">
        <v>0</v>
      </c>
      <c r="AW30" s="55">
        <v>0</v>
      </c>
    </row>
    <row r="31" spans="1:49">
      <c r="A31" s="313"/>
      <c r="B31" s="37" t="s">
        <v>52</v>
      </c>
      <c r="C31" s="38" t="s">
        <v>48</v>
      </c>
      <c r="D31" s="73">
        <f t="shared" si="6"/>
        <v>0</v>
      </c>
      <c r="E31" s="55">
        <v>0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>
        <v>0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  <c r="AS31" s="55">
        <v>0</v>
      </c>
      <c r="AT31" s="55">
        <v>0</v>
      </c>
      <c r="AU31" s="55">
        <v>0</v>
      </c>
      <c r="AV31" s="55">
        <v>0</v>
      </c>
      <c r="AW31" s="55">
        <v>0</v>
      </c>
    </row>
    <row r="32" spans="1:49">
      <c r="A32" s="313"/>
      <c r="B32" s="37" t="s">
        <v>53</v>
      </c>
      <c r="C32" s="38" t="s">
        <v>48</v>
      </c>
      <c r="D32" s="73">
        <f t="shared" si="6"/>
        <v>0</v>
      </c>
      <c r="E32" s="55">
        <v>0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  <c r="AS32" s="55">
        <v>0</v>
      </c>
      <c r="AT32" s="55">
        <v>0</v>
      </c>
      <c r="AU32" s="55">
        <v>0</v>
      </c>
      <c r="AV32" s="55">
        <v>0</v>
      </c>
      <c r="AW32" s="55">
        <v>0</v>
      </c>
    </row>
    <row r="33" spans="1:49">
      <c r="A33" s="313"/>
      <c r="B33" s="37" t="s">
        <v>54</v>
      </c>
      <c r="C33" s="38" t="s">
        <v>48</v>
      </c>
      <c r="D33" s="73">
        <f t="shared" si="6"/>
        <v>0</v>
      </c>
      <c r="E33" s="55">
        <v>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  <c r="AS33" s="55">
        <v>0</v>
      </c>
      <c r="AT33" s="55">
        <v>0</v>
      </c>
      <c r="AU33" s="55">
        <v>0</v>
      </c>
      <c r="AV33" s="55">
        <v>0</v>
      </c>
      <c r="AW33" s="55">
        <v>0</v>
      </c>
    </row>
    <row r="34" spans="1:49">
      <c r="A34" s="313"/>
      <c r="B34" s="37" t="s">
        <v>55</v>
      </c>
      <c r="C34" s="38" t="s">
        <v>48</v>
      </c>
      <c r="D34" s="73">
        <f t="shared" si="6"/>
        <v>0</v>
      </c>
      <c r="E34" s="55">
        <v>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  <c r="AS34" s="55">
        <v>0</v>
      </c>
      <c r="AT34" s="55">
        <v>0</v>
      </c>
      <c r="AU34" s="55">
        <v>0</v>
      </c>
      <c r="AV34" s="55">
        <v>0</v>
      </c>
      <c r="AW34" s="55">
        <v>0</v>
      </c>
    </row>
    <row r="35" spans="1:49">
      <c r="A35" s="313"/>
      <c r="B35" s="37" t="s">
        <v>56</v>
      </c>
      <c r="C35" s="38" t="s">
        <v>48</v>
      </c>
      <c r="D35" s="73">
        <f t="shared" si="6"/>
        <v>0</v>
      </c>
      <c r="E35" s="55">
        <v>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  <c r="AS35" s="55">
        <v>0</v>
      </c>
      <c r="AT35" s="55">
        <v>0</v>
      </c>
      <c r="AU35" s="55">
        <v>0</v>
      </c>
      <c r="AV35" s="55">
        <v>0</v>
      </c>
      <c r="AW35" s="55">
        <v>0</v>
      </c>
    </row>
    <row r="36" spans="1:49">
      <c r="A36" s="313"/>
      <c r="B36" s="37" t="s">
        <v>57</v>
      </c>
      <c r="C36" s="38" t="s">
        <v>48</v>
      </c>
      <c r="D36" s="73">
        <f t="shared" si="6"/>
        <v>0</v>
      </c>
      <c r="E36" s="55">
        <v>0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  <c r="AS36" s="55">
        <v>0</v>
      </c>
      <c r="AT36" s="55">
        <v>0</v>
      </c>
      <c r="AU36" s="55">
        <v>0</v>
      </c>
      <c r="AV36" s="55">
        <v>0</v>
      </c>
      <c r="AW36" s="55">
        <v>0</v>
      </c>
    </row>
    <row r="37" spans="1:49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  <c r="AS37" s="55">
        <v>0</v>
      </c>
      <c r="AT37" s="55">
        <v>0</v>
      </c>
      <c r="AU37" s="55">
        <v>0</v>
      </c>
      <c r="AV37" s="55">
        <v>0</v>
      </c>
      <c r="AW37" s="55">
        <v>0</v>
      </c>
    </row>
    <row r="38" spans="1:49">
      <c r="A38" s="314"/>
      <c r="B38" s="39" t="s">
        <v>59</v>
      </c>
      <c r="C38" s="40" t="s">
        <v>48</v>
      </c>
      <c r="D38" s="74">
        <f>SUM(E38:AR38)</f>
        <v>0</v>
      </c>
      <c r="E38" s="55">
        <v>0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>
        <v>0</v>
      </c>
      <c r="AK38" s="55">
        <v>0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  <c r="AS38" s="55">
        <v>0</v>
      </c>
      <c r="AT38" s="55">
        <v>0</v>
      </c>
      <c r="AU38" s="55">
        <v>0</v>
      </c>
      <c r="AV38" s="55">
        <v>0</v>
      </c>
      <c r="AW38" s="55">
        <v>0</v>
      </c>
    </row>
    <row r="39" spans="1:49">
      <c r="A39" s="164"/>
      <c r="B39" s="94" t="s">
        <v>149</v>
      </c>
      <c r="C39" s="189" t="s">
        <v>255</v>
      </c>
      <c r="D39" s="190" t="e">
        <f t="shared" ref="D39:AW39" si="7">D37/D26</f>
        <v>#DIV/0!</v>
      </c>
      <c r="E39" s="191" t="e">
        <f t="shared" ref="E39:I39" si="8">E37/E26</f>
        <v>#DIV/0!</v>
      </c>
      <c r="F39" s="191" t="e">
        <f t="shared" si="8"/>
        <v>#DIV/0!</v>
      </c>
      <c r="G39" s="191" t="e">
        <f t="shared" si="8"/>
        <v>#DIV/0!</v>
      </c>
      <c r="H39" s="191" t="e">
        <f t="shared" si="8"/>
        <v>#DIV/0!</v>
      </c>
      <c r="I39" s="191" t="e">
        <f t="shared" si="8"/>
        <v>#DIV/0!</v>
      </c>
      <c r="J39" s="191" t="e">
        <f t="shared" si="7"/>
        <v>#DIV/0!</v>
      </c>
      <c r="K39" s="191" t="e">
        <f t="shared" si="7"/>
        <v>#DIV/0!</v>
      </c>
      <c r="L39" s="191" t="e">
        <f t="shared" si="7"/>
        <v>#DIV/0!</v>
      </c>
      <c r="M39" s="191" t="e">
        <f t="shared" si="7"/>
        <v>#DIV/0!</v>
      </c>
      <c r="N39" s="191" t="e">
        <f t="shared" si="7"/>
        <v>#DIV/0!</v>
      </c>
      <c r="O39" s="191" t="e">
        <f t="shared" si="7"/>
        <v>#DIV/0!</v>
      </c>
      <c r="P39" s="191" t="e">
        <f t="shared" si="7"/>
        <v>#DIV/0!</v>
      </c>
      <c r="Q39" s="191" t="e">
        <f t="shared" si="7"/>
        <v>#DIV/0!</v>
      </c>
      <c r="R39" s="191" t="e">
        <f t="shared" si="7"/>
        <v>#DIV/0!</v>
      </c>
      <c r="S39" s="191" t="e">
        <f t="shared" si="7"/>
        <v>#DIV/0!</v>
      </c>
      <c r="T39" s="191" t="e">
        <f t="shared" si="7"/>
        <v>#DIV/0!</v>
      </c>
      <c r="U39" s="191" t="e">
        <f t="shared" si="7"/>
        <v>#DIV/0!</v>
      </c>
      <c r="V39" s="191" t="e">
        <f t="shared" si="7"/>
        <v>#DIV/0!</v>
      </c>
      <c r="W39" s="191" t="e">
        <f t="shared" si="7"/>
        <v>#DIV/0!</v>
      </c>
      <c r="X39" s="191" t="e">
        <f t="shared" si="7"/>
        <v>#DIV/0!</v>
      </c>
      <c r="Y39" s="191" t="e">
        <f t="shared" si="7"/>
        <v>#DIV/0!</v>
      </c>
      <c r="Z39" s="191" t="e">
        <f t="shared" si="7"/>
        <v>#DIV/0!</v>
      </c>
      <c r="AA39" s="191" t="e">
        <f t="shared" si="7"/>
        <v>#DIV/0!</v>
      </c>
      <c r="AB39" s="191" t="e">
        <f t="shared" si="7"/>
        <v>#DIV/0!</v>
      </c>
      <c r="AC39" s="191" t="e">
        <f t="shared" si="7"/>
        <v>#DIV/0!</v>
      </c>
      <c r="AD39" s="191" t="e">
        <f t="shared" si="7"/>
        <v>#DIV/0!</v>
      </c>
      <c r="AE39" s="191" t="e">
        <f t="shared" si="7"/>
        <v>#DIV/0!</v>
      </c>
      <c r="AF39" s="191" t="e">
        <f t="shared" si="7"/>
        <v>#DIV/0!</v>
      </c>
      <c r="AG39" s="191" t="e">
        <f t="shared" si="7"/>
        <v>#DIV/0!</v>
      </c>
      <c r="AH39" s="191" t="e">
        <f t="shared" si="7"/>
        <v>#DIV/0!</v>
      </c>
      <c r="AI39" s="191" t="e">
        <f t="shared" si="7"/>
        <v>#DIV/0!</v>
      </c>
      <c r="AJ39" s="191" t="e">
        <f t="shared" si="7"/>
        <v>#DIV/0!</v>
      </c>
      <c r="AK39" s="191" t="e">
        <f t="shared" si="7"/>
        <v>#DIV/0!</v>
      </c>
      <c r="AL39" s="191" t="e">
        <f t="shared" si="7"/>
        <v>#DIV/0!</v>
      </c>
      <c r="AM39" s="191" t="e">
        <f t="shared" si="7"/>
        <v>#DIV/0!</v>
      </c>
      <c r="AN39" s="191" t="e">
        <f t="shared" si="7"/>
        <v>#DIV/0!</v>
      </c>
      <c r="AO39" s="191" t="e">
        <f t="shared" si="7"/>
        <v>#DIV/0!</v>
      </c>
      <c r="AP39" s="191" t="e">
        <f t="shared" si="7"/>
        <v>#DIV/0!</v>
      </c>
      <c r="AQ39" s="191" t="e">
        <f t="shared" si="7"/>
        <v>#DIV/0!</v>
      </c>
      <c r="AR39" s="191" t="e">
        <f t="shared" si="7"/>
        <v>#DIV/0!</v>
      </c>
      <c r="AS39" s="191" t="e">
        <f t="shared" si="7"/>
        <v>#DIV/0!</v>
      </c>
      <c r="AT39" s="191" t="e">
        <f t="shared" si="7"/>
        <v>#DIV/0!</v>
      </c>
      <c r="AU39" s="191" t="e">
        <f t="shared" si="7"/>
        <v>#DIV/0!</v>
      </c>
      <c r="AV39" s="191" t="e">
        <f t="shared" si="7"/>
        <v>#DIV/0!</v>
      </c>
      <c r="AW39" s="191" t="e">
        <f t="shared" si="7"/>
        <v>#DIV/0!</v>
      </c>
    </row>
    <row r="40" spans="1:49">
      <c r="A40" s="164"/>
      <c r="B40" s="36" t="s">
        <v>256</v>
      </c>
      <c r="C40" s="69" t="s">
        <v>255</v>
      </c>
      <c r="D40" s="192" t="e">
        <f>D28/(D28+D27)</f>
        <v>#DIV/0!</v>
      </c>
      <c r="E40" s="193" t="e">
        <f t="shared" ref="E40:I40" si="9">E28/(E28+E27)</f>
        <v>#DIV/0!</v>
      </c>
      <c r="F40" s="193" t="e">
        <f t="shared" si="9"/>
        <v>#DIV/0!</v>
      </c>
      <c r="G40" s="193" t="e">
        <f t="shared" si="9"/>
        <v>#DIV/0!</v>
      </c>
      <c r="H40" s="193" t="e">
        <f t="shared" si="9"/>
        <v>#DIV/0!</v>
      </c>
      <c r="I40" s="193" t="e">
        <f t="shared" si="9"/>
        <v>#DIV/0!</v>
      </c>
      <c r="J40" s="193" t="e">
        <f t="shared" ref="J40:AW40" si="10">J28/(J28+J27)</f>
        <v>#DIV/0!</v>
      </c>
      <c r="K40" s="193" t="e">
        <f t="shared" si="10"/>
        <v>#DIV/0!</v>
      </c>
      <c r="L40" s="193" t="e">
        <f t="shared" si="10"/>
        <v>#DIV/0!</v>
      </c>
      <c r="M40" s="193" t="e">
        <f t="shared" si="10"/>
        <v>#DIV/0!</v>
      </c>
      <c r="N40" s="193" t="e">
        <f t="shared" si="10"/>
        <v>#DIV/0!</v>
      </c>
      <c r="O40" s="193" t="e">
        <f t="shared" si="10"/>
        <v>#DIV/0!</v>
      </c>
      <c r="P40" s="193" t="e">
        <f t="shared" si="10"/>
        <v>#DIV/0!</v>
      </c>
      <c r="Q40" s="193" t="e">
        <f t="shared" si="10"/>
        <v>#DIV/0!</v>
      </c>
      <c r="R40" s="193" t="e">
        <f t="shared" si="10"/>
        <v>#DIV/0!</v>
      </c>
      <c r="S40" s="193" t="e">
        <f t="shared" si="10"/>
        <v>#DIV/0!</v>
      </c>
      <c r="T40" s="193" t="e">
        <f t="shared" si="10"/>
        <v>#DIV/0!</v>
      </c>
      <c r="U40" s="193" t="e">
        <f t="shared" si="10"/>
        <v>#DIV/0!</v>
      </c>
      <c r="V40" s="193" t="e">
        <f t="shared" si="10"/>
        <v>#DIV/0!</v>
      </c>
      <c r="W40" s="193" t="e">
        <f t="shared" si="10"/>
        <v>#DIV/0!</v>
      </c>
      <c r="X40" s="193" t="e">
        <f t="shared" si="10"/>
        <v>#DIV/0!</v>
      </c>
      <c r="Y40" s="193" t="e">
        <f t="shared" si="10"/>
        <v>#DIV/0!</v>
      </c>
      <c r="Z40" s="193" t="e">
        <f t="shared" si="10"/>
        <v>#DIV/0!</v>
      </c>
      <c r="AA40" s="193" t="e">
        <f t="shared" si="10"/>
        <v>#DIV/0!</v>
      </c>
      <c r="AB40" s="193" t="e">
        <f t="shared" si="10"/>
        <v>#DIV/0!</v>
      </c>
      <c r="AC40" s="193" t="e">
        <f t="shared" si="10"/>
        <v>#DIV/0!</v>
      </c>
      <c r="AD40" s="193" t="e">
        <f t="shared" si="10"/>
        <v>#DIV/0!</v>
      </c>
      <c r="AE40" s="193" t="e">
        <f t="shared" si="10"/>
        <v>#DIV/0!</v>
      </c>
      <c r="AF40" s="193" t="e">
        <f t="shared" si="10"/>
        <v>#DIV/0!</v>
      </c>
      <c r="AG40" s="193" t="e">
        <f t="shared" si="10"/>
        <v>#DIV/0!</v>
      </c>
      <c r="AH40" s="193" t="e">
        <f t="shared" si="10"/>
        <v>#DIV/0!</v>
      </c>
      <c r="AI40" s="193" t="e">
        <f t="shared" si="10"/>
        <v>#DIV/0!</v>
      </c>
      <c r="AJ40" s="193" t="e">
        <f t="shared" si="10"/>
        <v>#DIV/0!</v>
      </c>
      <c r="AK40" s="193" t="e">
        <f t="shared" si="10"/>
        <v>#DIV/0!</v>
      </c>
      <c r="AL40" s="193" t="e">
        <f t="shared" si="10"/>
        <v>#DIV/0!</v>
      </c>
      <c r="AM40" s="193" t="e">
        <f t="shared" si="10"/>
        <v>#DIV/0!</v>
      </c>
      <c r="AN40" s="193" t="e">
        <f t="shared" si="10"/>
        <v>#DIV/0!</v>
      </c>
      <c r="AO40" s="193" t="e">
        <f t="shared" si="10"/>
        <v>#DIV/0!</v>
      </c>
      <c r="AP40" s="193" t="e">
        <f t="shared" si="10"/>
        <v>#DIV/0!</v>
      </c>
      <c r="AQ40" s="193" t="e">
        <f t="shared" si="10"/>
        <v>#DIV/0!</v>
      </c>
      <c r="AR40" s="193" t="e">
        <f t="shared" si="10"/>
        <v>#DIV/0!</v>
      </c>
      <c r="AS40" s="193" t="e">
        <f t="shared" si="10"/>
        <v>#DIV/0!</v>
      </c>
      <c r="AT40" s="193" t="e">
        <f t="shared" si="10"/>
        <v>#DIV/0!</v>
      </c>
      <c r="AU40" s="193" t="e">
        <f t="shared" si="10"/>
        <v>#DIV/0!</v>
      </c>
      <c r="AV40" s="193" t="e">
        <f t="shared" si="10"/>
        <v>#DIV/0!</v>
      </c>
      <c r="AW40" s="193" t="e">
        <f t="shared" si="10"/>
        <v>#DIV/0!</v>
      </c>
    </row>
    <row r="41" spans="1:49">
      <c r="A41" s="33"/>
      <c r="C41" s="5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</row>
    <row r="42" spans="1:49" ht="15" customHeight="1">
      <c r="A42" s="327" t="s">
        <v>60</v>
      </c>
      <c r="B42" s="50" t="s">
        <v>61</v>
      </c>
      <c r="C42" s="91" t="s">
        <v>62</v>
      </c>
      <c r="D42" s="81">
        <f>SUM(E42:AR42)</f>
        <v>0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</row>
    <row r="43" spans="1:49" ht="15" customHeight="1">
      <c r="A43" s="328"/>
      <c r="B43" s="39" t="s">
        <v>63</v>
      </c>
      <c r="C43" s="92" t="s">
        <v>62</v>
      </c>
      <c r="D43" s="82">
        <f>SUM(E43:AR43)</f>
        <v>0</v>
      </c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</row>
    <row r="44" spans="1:49">
      <c r="A44" s="328"/>
      <c r="B44" s="167" t="s">
        <v>240</v>
      </c>
      <c r="C44" s="184" t="s">
        <v>241</v>
      </c>
      <c r="D44" s="187" t="e">
        <f>D42/D26</f>
        <v>#DIV/0!</v>
      </c>
      <c r="E44" s="185" t="e">
        <f t="shared" ref="E44:AW44" si="11">E42/E26</f>
        <v>#DIV/0!</v>
      </c>
      <c r="F44" s="188" t="e">
        <f t="shared" si="11"/>
        <v>#DIV/0!</v>
      </c>
      <c r="G44" s="186" t="e">
        <f t="shared" si="11"/>
        <v>#DIV/0!</v>
      </c>
      <c r="H44" s="188" t="e">
        <f t="shared" si="11"/>
        <v>#DIV/0!</v>
      </c>
      <c r="I44" s="186" t="e">
        <f t="shared" si="11"/>
        <v>#DIV/0!</v>
      </c>
      <c r="J44" s="188" t="e">
        <f t="shared" si="11"/>
        <v>#DIV/0!</v>
      </c>
      <c r="K44" s="186" t="e">
        <f t="shared" si="11"/>
        <v>#DIV/0!</v>
      </c>
      <c r="L44" s="188" t="e">
        <f t="shared" si="11"/>
        <v>#DIV/0!</v>
      </c>
      <c r="M44" s="186" t="e">
        <f t="shared" si="11"/>
        <v>#DIV/0!</v>
      </c>
      <c r="N44" s="188" t="e">
        <f t="shared" si="11"/>
        <v>#DIV/0!</v>
      </c>
      <c r="O44" s="186" t="e">
        <f t="shared" si="11"/>
        <v>#DIV/0!</v>
      </c>
      <c r="P44" s="188" t="e">
        <f t="shared" si="11"/>
        <v>#DIV/0!</v>
      </c>
      <c r="Q44" s="186" t="e">
        <f t="shared" si="11"/>
        <v>#DIV/0!</v>
      </c>
      <c r="R44" s="188" t="e">
        <f t="shared" si="11"/>
        <v>#DIV/0!</v>
      </c>
      <c r="S44" s="186" t="e">
        <f t="shared" si="11"/>
        <v>#DIV/0!</v>
      </c>
      <c r="T44" s="188" t="e">
        <f t="shared" si="11"/>
        <v>#DIV/0!</v>
      </c>
      <c r="U44" s="186" t="e">
        <f t="shared" si="11"/>
        <v>#DIV/0!</v>
      </c>
      <c r="V44" s="188" t="e">
        <f t="shared" si="11"/>
        <v>#DIV/0!</v>
      </c>
      <c r="W44" s="186" t="e">
        <f t="shared" si="11"/>
        <v>#DIV/0!</v>
      </c>
      <c r="X44" s="188" t="e">
        <f t="shared" si="11"/>
        <v>#DIV/0!</v>
      </c>
      <c r="Y44" s="186" t="e">
        <f t="shared" si="11"/>
        <v>#DIV/0!</v>
      </c>
      <c r="Z44" s="188" t="e">
        <f t="shared" si="11"/>
        <v>#DIV/0!</v>
      </c>
      <c r="AA44" s="186" t="e">
        <f t="shared" si="11"/>
        <v>#DIV/0!</v>
      </c>
      <c r="AB44" s="188" t="e">
        <f t="shared" si="11"/>
        <v>#DIV/0!</v>
      </c>
      <c r="AC44" s="186" t="e">
        <f t="shared" si="11"/>
        <v>#DIV/0!</v>
      </c>
      <c r="AD44" s="188" t="e">
        <f t="shared" si="11"/>
        <v>#DIV/0!</v>
      </c>
      <c r="AE44" s="186" t="e">
        <f t="shared" si="11"/>
        <v>#DIV/0!</v>
      </c>
      <c r="AF44" s="188" t="e">
        <f t="shared" si="11"/>
        <v>#DIV/0!</v>
      </c>
      <c r="AG44" s="186" t="e">
        <f t="shared" si="11"/>
        <v>#DIV/0!</v>
      </c>
      <c r="AH44" s="188" t="e">
        <f t="shared" si="11"/>
        <v>#DIV/0!</v>
      </c>
      <c r="AI44" s="186" t="e">
        <f t="shared" si="11"/>
        <v>#DIV/0!</v>
      </c>
      <c r="AJ44" s="188" t="e">
        <f t="shared" si="11"/>
        <v>#DIV/0!</v>
      </c>
      <c r="AK44" s="186" t="e">
        <f t="shared" si="11"/>
        <v>#DIV/0!</v>
      </c>
      <c r="AL44" s="188" t="e">
        <f t="shared" si="11"/>
        <v>#DIV/0!</v>
      </c>
      <c r="AM44" s="188" t="e">
        <f t="shared" si="11"/>
        <v>#DIV/0!</v>
      </c>
      <c r="AN44" s="188" t="e">
        <f t="shared" si="11"/>
        <v>#DIV/0!</v>
      </c>
      <c r="AO44" s="186" t="e">
        <f t="shared" si="11"/>
        <v>#DIV/0!</v>
      </c>
      <c r="AP44" s="188" t="e">
        <f t="shared" si="11"/>
        <v>#DIV/0!</v>
      </c>
      <c r="AQ44" s="186" t="e">
        <f t="shared" si="11"/>
        <v>#DIV/0!</v>
      </c>
      <c r="AR44" s="188" t="e">
        <f t="shared" si="11"/>
        <v>#DIV/0!</v>
      </c>
      <c r="AS44" s="188" t="e">
        <f t="shared" si="11"/>
        <v>#DIV/0!</v>
      </c>
      <c r="AT44" s="188" t="e">
        <f t="shared" si="11"/>
        <v>#DIV/0!</v>
      </c>
      <c r="AU44" s="188" t="e">
        <f t="shared" si="11"/>
        <v>#DIV/0!</v>
      </c>
      <c r="AV44" s="188" t="e">
        <f t="shared" si="11"/>
        <v>#DIV/0!</v>
      </c>
      <c r="AW44" s="188" t="e">
        <f t="shared" si="11"/>
        <v>#DIV/0!</v>
      </c>
    </row>
    <row r="45" spans="1:49">
      <c r="AM45" t="s">
        <v>257</v>
      </c>
    </row>
    <row r="46" spans="1:49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</row>
    <row r="47" spans="1:49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0</v>
      </c>
    </row>
    <row r="48" spans="1:49">
      <c r="A48" s="313"/>
      <c r="B48" s="94" t="s">
        <v>67</v>
      </c>
      <c r="C48" s="38" t="s">
        <v>8</v>
      </c>
      <c r="D48" s="182">
        <f t="shared" ref="D48:D49" si="12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</row>
    <row r="49" spans="1:49">
      <c r="A49" s="313"/>
      <c r="B49" s="95" t="s">
        <v>68</v>
      </c>
      <c r="C49" s="40" t="s">
        <v>8</v>
      </c>
      <c r="D49" s="182">
        <f t="shared" si="12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  <c r="AS49" s="90">
        <v>0</v>
      </c>
      <c r="AT49" s="90">
        <v>0</v>
      </c>
      <c r="AU49" s="90">
        <v>0</v>
      </c>
      <c r="AV49" s="90">
        <v>0</v>
      </c>
      <c r="AW49" s="90">
        <v>0</v>
      </c>
    </row>
    <row r="50" spans="1:49">
      <c r="A50" s="313"/>
      <c r="B50" s="93" t="s">
        <v>69</v>
      </c>
      <c r="C50" s="91" t="s">
        <v>48</v>
      </c>
      <c r="D50" s="195">
        <f>SUM(E50:AR50)</f>
        <v>343000</v>
      </c>
      <c r="E50" s="86">
        <v>0</v>
      </c>
      <c r="F50" s="86">
        <v>5000</v>
      </c>
      <c r="G50" s="86">
        <v>16000</v>
      </c>
      <c r="H50" s="86">
        <v>10000</v>
      </c>
      <c r="I50" s="86">
        <v>10000</v>
      </c>
      <c r="J50" s="86">
        <v>20000</v>
      </c>
      <c r="K50" s="86">
        <v>10000</v>
      </c>
      <c r="L50" s="86">
        <v>10000</v>
      </c>
      <c r="M50" s="86">
        <v>5000</v>
      </c>
      <c r="N50" s="86">
        <v>16000</v>
      </c>
      <c r="O50" s="86">
        <v>16000</v>
      </c>
      <c r="P50" s="86">
        <v>10000</v>
      </c>
      <c r="Q50" s="86">
        <v>5000</v>
      </c>
      <c r="R50" s="86">
        <v>10000</v>
      </c>
      <c r="S50" s="86">
        <v>10000</v>
      </c>
      <c r="T50" s="86">
        <v>18000</v>
      </c>
      <c r="U50" s="86">
        <v>0</v>
      </c>
      <c r="V50" s="86">
        <v>12000</v>
      </c>
      <c r="W50" s="86">
        <v>10000</v>
      </c>
      <c r="X50" s="86">
        <v>17000</v>
      </c>
      <c r="Y50" s="86">
        <v>17000</v>
      </c>
      <c r="Z50" s="86">
        <v>16000</v>
      </c>
      <c r="AA50" s="86">
        <v>10000</v>
      </c>
      <c r="AB50" s="86">
        <v>10000</v>
      </c>
      <c r="AC50" s="86">
        <v>16000</v>
      </c>
      <c r="AD50" s="86">
        <v>10000</v>
      </c>
      <c r="AE50" s="86">
        <v>10000</v>
      </c>
      <c r="AF50" s="86">
        <v>26000</v>
      </c>
      <c r="AG50" s="86">
        <v>10000</v>
      </c>
      <c r="AH50" s="86">
        <v>8000</v>
      </c>
      <c r="AI50" s="86"/>
      <c r="AJ50" s="86"/>
      <c r="AK50" s="86"/>
      <c r="AL50" s="86"/>
      <c r="AM50" s="86"/>
      <c r="AN50" s="86"/>
      <c r="AO50" s="86">
        <v>0</v>
      </c>
      <c r="AP50" s="86">
        <v>0</v>
      </c>
      <c r="AQ50" s="86">
        <v>0</v>
      </c>
      <c r="AR50" s="86">
        <v>0</v>
      </c>
      <c r="AS50" s="86"/>
      <c r="AT50" s="86"/>
      <c r="AU50" s="86"/>
      <c r="AV50" s="86"/>
      <c r="AW50" s="86"/>
    </row>
    <row r="51" spans="1:49">
      <c r="A51" s="314"/>
      <c r="B51" s="95" t="s">
        <v>70</v>
      </c>
      <c r="C51" s="92" t="s">
        <v>48</v>
      </c>
      <c r="D51" s="199">
        <f>SUM(E51:AR51)</f>
        <v>15200</v>
      </c>
      <c r="E51" s="87">
        <v>0</v>
      </c>
      <c r="F51" s="87">
        <v>200</v>
      </c>
      <c r="G51" s="87">
        <v>700</v>
      </c>
      <c r="H51" s="87">
        <v>500</v>
      </c>
      <c r="I51" s="87">
        <v>500</v>
      </c>
      <c r="J51" s="87">
        <v>700</v>
      </c>
      <c r="K51" s="87">
        <v>500</v>
      </c>
      <c r="L51" s="87">
        <v>500</v>
      </c>
      <c r="M51" s="87">
        <v>200</v>
      </c>
      <c r="N51" s="87">
        <v>700</v>
      </c>
      <c r="O51" s="87">
        <v>700</v>
      </c>
      <c r="P51" s="87">
        <v>500</v>
      </c>
      <c r="Q51" s="87">
        <v>200</v>
      </c>
      <c r="R51" s="87">
        <v>500</v>
      </c>
      <c r="S51" s="87">
        <v>500</v>
      </c>
      <c r="T51" s="87">
        <v>700</v>
      </c>
      <c r="U51" s="87">
        <v>0</v>
      </c>
      <c r="V51" s="87">
        <v>500</v>
      </c>
      <c r="W51" s="87">
        <v>500</v>
      </c>
      <c r="X51" s="87">
        <v>700</v>
      </c>
      <c r="Y51" s="87">
        <v>700</v>
      </c>
      <c r="Z51" s="87">
        <v>700</v>
      </c>
      <c r="AA51" s="87">
        <v>500</v>
      </c>
      <c r="AB51" s="87">
        <v>500</v>
      </c>
      <c r="AC51" s="87">
        <v>700</v>
      </c>
      <c r="AD51" s="87">
        <v>500</v>
      </c>
      <c r="AE51" s="87">
        <v>500</v>
      </c>
      <c r="AF51" s="87">
        <v>1000</v>
      </c>
      <c r="AG51" s="87">
        <v>500</v>
      </c>
      <c r="AH51" s="87">
        <v>300</v>
      </c>
      <c r="AI51" s="87"/>
      <c r="AJ51" s="87"/>
      <c r="AK51" s="87"/>
      <c r="AL51" s="87"/>
      <c r="AM51" s="87"/>
      <c r="AN51" s="87"/>
      <c r="AO51" s="87">
        <v>0</v>
      </c>
      <c r="AP51" s="87">
        <v>0</v>
      </c>
      <c r="AQ51" s="87">
        <v>0</v>
      </c>
      <c r="AR51" s="87">
        <v>0</v>
      </c>
      <c r="AS51" s="87">
        <v>0</v>
      </c>
      <c r="AT51" s="87">
        <v>0</v>
      </c>
      <c r="AU51" s="87">
        <v>0</v>
      </c>
      <c r="AV51" s="87">
        <v>0</v>
      </c>
      <c r="AW51" s="87">
        <v>0</v>
      </c>
    </row>
    <row r="52" spans="1:49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  <c r="AS53" s="7" t="s">
        <v>73</v>
      </c>
      <c r="AT53" s="7" t="s">
        <v>73</v>
      </c>
      <c r="AU53" s="7" t="s">
        <v>73</v>
      </c>
      <c r="AV53" s="7" t="s">
        <v>73</v>
      </c>
      <c r="AW53" s="7" t="s">
        <v>73</v>
      </c>
    </row>
    <row r="54" spans="1:49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  <c r="AS54" s="8" t="s">
        <v>75</v>
      </c>
      <c r="AT54" s="8" t="s">
        <v>75</v>
      </c>
      <c r="AU54" s="8" t="s">
        <v>75</v>
      </c>
      <c r="AV54" s="8" t="s">
        <v>75</v>
      </c>
      <c r="AW54" s="8" t="s">
        <v>75</v>
      </c>
    </row>
    <row r="55" spans="1:49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/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  <c r="AS55" s="8" t="s">
        <v>75</v>
      </c>
      <c r="AT55" s="8" t="s">
        <v>258</v>
      </c>
      <c r="AU55" s="8" t="s">
        <v>259</v>
      </c>
      <c r="AV55" s="8" t="s">
        <v>75</v>
      </c>
      <c r="AW55" s="8" t="s">
        <v>75</v>
      </c>
    </row>
    <row r="56" spans="1:49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/>
      <c r="AM56" s="8"/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  <c r="AS56" s="8" t="s">
        <v>75</v>
      </c>
      <c r="AT56" s="8" t="s">
        <v>75</v>
      </c>
      <c r="AU56" s="8" t="s">
        <v>75</v>
      </c>
      <c r="AV56" s="8" t="s">
        <v>75</v>
      </c>
      <c r="AW56" s="8" t="s">
        <v>75</v>
      </c>
    </row>
    <row r="57" spans="1:49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/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  <c r="AS57" s="9" t="s">
        <v>75</v>
      </c>
      <c r="AT57" s="9" t="s">
        <v>75</v>
      </c>
      <c r="AU57" s="9" t="s">
        <v>75</v>
      </c>
      <c r="AV57" s="9" t="s">
        <v>75</v>
      </c>
      <c r="AW57" s="9" t="s">
        <v>75</v>
      </c>
    </row>
    <row r="59" spans="1:49" ht="15.75">
      <c r="B59" s="53" t="s">
        <v>83</v>
      </c>
      <c r="C59" s="99" t="s">
        <v>84</v>
      </c>
      <c r="D59" s="100">
        <f>SUM(D60:D72)</f>
        <v>1200500</v>
      </c>
      <c r="E59" s="101">
        <f>SUM(E60:E72)</f>
        <v>0</v>
      </c>
      <c r="F59" s="101">
        <f t="shared" ref="F59:AW59" si="13">SUM(F60:F72)</f>
        <v>0</v>
      </c>
      <c r="G59" s="101">
        <f>SUM(G60:G72)</f>
        <v>0</v>
      </c>
      <c r="H59" s="101">
        <f t="shared" si="13"/>
        <v>0</v>
      </c>
      <c r="I59" s="101">
        <f t="shared" si="13"/>
        <v>0</v>
      </c>
      <c r="J59" s="101">
        <f t="shared" si="13"/>
        <v>0</v>
      </c>
      <c r="K59" s="101">
        <f t="shared" si="13"/>
        <v>0</v>
      </c>
      <c r="L59" s="101">
        <f t="shared" si="13"/>
        <v>0</v>
      </c>
      <c r="M59" s="101">
        <f t="shared" si="13"/>
        <v>0</v>
      </c>
      <c r="N59" s="101">
        <f t="shared" si="13"/>
        <v>0</v>
      </c>
      <c r="O59" s="101">
        <f t="shared" si="13"/>
        <v>0</v>
      </c>
      <c r="P59" s="101">
        <f t="shared" si="13"/>
        <v>0</v>
      </c>
      <c r="Q59" s="101">
        <f t="shared" si="13"/>
        <v>0</v>
      </c>
      <c r="R59" s="101">
        <f t="shared" si="13"/>
        <v>0</v>
      </c>
      <c r="S59" s="101">
        <f t="shared" si="13"/>
        <v>0</v>
      </c>
      <c r="T59" s="101">
        <f t="shared" si="13"/>
        <v>0</v>
      </c>
      <c r="U59" s="101">
        <f t="shared" si="13"/>
        <v>0</v>
      </c>
      <c r="V59" s="101">
        <f t="shared" si="13"/>
        <v>0</v>
      </c>
      <c r="W59" s="101">
        <f t="shared" si="13"/>
        <v>0</v>
      </c>
      <c r="X59" s="101">
        <f t="shared" si="13"/>
        <v>0</v>
      </c>
      <c r="Y59" s="101">
        <f t="shared" si="13"/>
        <v>0</v>
      </c>
      <c r="Z59" s="101">
        <f t="shared" si="13"/>
        <v>0</v>
      </c>
      <c r="AA59" s="101">
        <f t="shared" si="13"/>
        <v>0</v>
      </c>
      <c r="AB59" s="101">
        <f t="shared" si="13"/>
        <v>0</v>
      </c>
      <c r="AC59" s="101">
        <f t="shared" si="13"/>
        <v>0</v>
      </c>
      <c r="AD59" s="101">
        <f t="shared" si="13"/>
        <v>0</v>
      </c>
      <c r="AE59" s="101">
        <f t="shared" si="13"/>
        <v>0</v>
      </c>
      <c r="AF59" s="101">
        <f t="shared" si="13"/>
        <v>0</v>
      </c>
      <c r="AG59" s="101">
        <f t="shared" si="13"/>
        <v>0</v>
      </c>
      <c r="AH59" s="101">
        <f t="shared" si="13"/>
        <v>0</v>
      </c>
      <c r="AI59" s="101">
        <f t="shared" si="13"/>
        <v>0</v>
      </c>
      <c r="AJ59" s="101">
        <f t="shared" si="13"/>
        <v>0</v>
      </c>
      <c r="AK59" s="101">
        <f t="shared" si="13"/>
        <v>0</v>
      </c>
      <c r="AL59" s="101">
        <f t="shared" si="13"/>
        <v>0</v>
      </c>
      <c r="AM59" s="101">
        <f t="shared" si="13"/>
        <v>0</v>
      </c>
      <c r="AN59" s="101">
        <f t="shared" si="13"/>
        <v>0</v>
      </c>
      <c r="AO59" s="101">
        <f t="shared" si="13"/>
        <v>0</v>
      </c>
      <c r="AP59" s="101">
        <f t="shared" si="13"/>
        <v>0</v>
      </c>
      <c r="AQ59" s="101">
        <f t="shared" si="13"/>
        <v>0</v>
      </c>
      <c r="AR59" s="101">
        <f t="shared" si="13"/>
        <v>0</v>
      </c>
      <c r="AS59" s="101">
        <f t="shared" si="13"/>
        <v>0</v>
      </c>
      <c r="AT59" s="101">
        <f t="shared" si="13"/>
        <v>0</v>
      </c>
      <c r="AU59" s="101">
        <f t="shared" si="13"/>
        <v>0</v>
      </c>
      <c r="AV59" s="101">
        <f t="shared" si="13"/>
        <v>0</v>
      </c>
      <c r="AW59" s="101">
        <f t="shared" si="13"/>
        <v>0</v>
      </c>
    </row>
    <row r="60" spans="1:49">
      <c r="B60" s="96" t="s">
        <v>47</v>
      </c>
      <c r="C60" s="111">
        <v>52</v>
      </c>
      <c r="D60" s="97">
        <f t="shared" ref="D60:AW65" si="14">D27*$C60</f>
        <v>0</v>
      </c>
      <c r="E60" s="104">
        <f t="shared" ref="E60:E71" si="15">E27*$C60</f>
        <v>0</v>
      </c>
      <c r="F60" s="104">
        <f t="shared" si="14"/>
        <v>0</v>
      </c>
      <c r="G60" s="104">
        <f t="shared" si="14"/>
        <v>0</v>
      </c>
      <c r="H60" s="104">
        <f t="shared" si="14"/>
        <v>0</v>
      </c>
      <c r="I60" s="104">
        <f t="shared" si="14"/>
        <v>0</v>
      </c>
      <c r="J60" s="104">
        <f t="shared" si="14"/>
        <v>0</v>
      </c>
      <c r="K60" s="104">
        <f t="shared" si="14"/>
        <v>0</v>
      </c>
      <c r="L60" s="104">
        <f t="shared" si="14"/>
        <v>0</v>
      </c>
      <c r="M60" s="104">
        <f t="shared" si="14"/>
        <v>0</v>
      </c>
      <c r="N60" s="104">
        <f t="shared" si="14"/>
        <v>0</v>
      </c>
      <c r="O60" s="104">
        <f t="shared" si="14"/>
        <v>0</v>
      </c>
      <c r="P60" s="104">
        <f t="shared" si="14"/>
        <v>0</v>
      </c>
      <c r="Q60" s="104">
        <f t="shared" si="14"/>
        <v>0</v>
      </c>
      <c r="R60" s="104">
        <f t="shared" si="14"/>
        <v>0</v>
      </c>
      <c r="S60" s="104">
        <f t="shared" si="14"/>
        <v>0</v>
      </c>
      <c r="T60" s="104">
        <f t="shared" si="14"/>
        <v>0</v>
      </c>
      <c r="U60" s="104">
        <f t="shared" si="14"/>
        <v>0</v>
      </c>
      <c r="V60" s="104">
        <f t="shared" si="14"/>
        <v>0</v>
      </c>
      <c r="W60" s="104">
        <f t="shared" si="14"/>
        <v>0</v>
      </c>
      <c r="X60" s="104">
        <f t="shared" si="14"/>
        <v>0</v>
      </c>
      <c r="Y60" s="104">
        <f t="shared" si="14"/>
        <v>0</v>
      </c>
      <c r="Z60" s="104">
        <f t="shared" si="14"/>
        <v>0</v>
      </c>
      <c r="AA60" s="104">
        <f t="shared" si="14"/>
        <v>0</v>
      </c>
      <c r="AB60" s="104">
        <f t="shared" si="14"/>
        <v>0</v>
      </c>
      <c r="AC60" s="104">
        <f t="shared" si="14"/>
        <v>0</v>
      </c>
      <c r="AD60" s="104">
        <f t="shared" si="14"/>
        <v>0</v>
      </c>
      <c r="AE60" s="104">
        <f t="shared" si="14"/>
        <v>0</v>
      </c>
      <c r="AF60" s="104">
        <f t="shared" si="14"/>
        <v>0</v>
      </c>
      <c r="AG60" s="104">
        <f t="shared" si="14"/>
        <v>0</v>
      </c>
      <c r="AH60" s="104">
        <f t="shared" si="14"/>
        <v>0</v>
      </c>
      <c r="AI60" s="104">
        <f t="shared" si="14"/>
        <v>0</v>
      </c>
      <c r="AJ60" s="104">
        <f t="shared" si="14"/>
        <v>0</v>
      </c>
      <c r="AK60" s="104">
        <f t="shared" si="14"/>
        <v>0</v>
      </c>
      <c r="AL60" s="104">
        <f t="shared" si="14"/>
        <v>0</v>
      </c>
      <c r="AM60" s="104">
        <f t="shared" si="14"/>
        <v>0</v>
      </c>
      <c r="AN60" s="104">
        <f t="shared" si="14"/>
        <v>0</v>
      </c>
      <c r="AO60" s="104">
        <f t="shared" si="14"/>
        <v>0</v>
      </c>
      <c r="AP60" s="104">
        <f t="shared" si="14"/>
        <v>0</v>
      </c>
      <c r="AQ60" s="104">
        <f t="shared" si="14"/>
        <v>0</v>
      </c>
      <c r="AR60" s="104">
        <f t="shared" si="14"/>
        <v>0</v>
      </c>
      <c r="AS60" s="104">
        <f t="shared" si="14"/>
        <v>0</v>
      </c>
      <c r="AT60" s="104">
        <f t="shared" si="14"/>
        <v>0</v>
      </c>
      <c r="AU60" s="104">
        <f t="shared" si="14"/>
        <v>0</v>
      </c>
      <c r="AV60" s="104">
        <f t="shared" si="14"/>
        <v>0</v>
      </c>
      <c r="AW60" s="104">
        <f t="shared" si="14"/>
        <v>0</v>
      </c>
    </row>
    <row r="61" spans="1:49">
      <c r="B61" s="96" t="s">
        <v>49</v>
      </c>
      <c r="C61" s="111">
        <v>31</v>
      </c>
      <c r="D61" s="97">
        <f t="shared" si="14"/>
        <v>0</v>
      </c>
      <c r="E61" s="104">
        <f t="shared" si="15"/>
        <v>0</v>
      </c>
      <c r="F61" s="104">
        <f t="shared" si="14"/>
        <v>0</v>
      </c>
      <c r="G61" s="104">
        <f t="shared" si="14"/>
        <v>0</v>
      </c>
      <c r="H61" s="104">
        <f t="shared" si="14"/>
        <v>0</v>
      </c>
      <c r="I61" s="104">
        <f t="shared" si="14"/>
        <v>0</v>
      </c>
      <c r="J61" s="104">
        <f t="shared" si="14"/>
        <v>0</v>
      </c>
      <c r="K61" s="104">
        <f t="shared" si="14"/>
        <v>0</v>
      </c>
      <c r="L61" s="104">
        <f t="shared" si="14"/>
        <v>0</v>
      </c>
      <c r="M61" s="104">
        <f t="shared" si="14"/>
        <v>0</v>
      </c>
      <c r="N61" s="104">
        <f t="shared" si="14"/>
        <v>0</v>
      </c>
      <c r="O61" s="104">
        <f t="shared" si="14"/>
        <v>0</v>
      </c>
      <c r="P61" s="104">
        <f t="shared" si="14"/>
        <v>0</v>
      </c>
      <c r="Q61" s="104">
        <f t="shared" si="14"/>
        <v>0</v>
      </c>
      <c r="R61" s="104">
        <f t="shared" si="14"/>
        <v>0</v>
      </c>
      <c r="S61" s="104">
        <f t="shared" si="14"/>
        <v>0</v>
      </c>
      <c r="T61" s="104">
        <f t="shared" si="14"/>
        <v>0</v>
      </c>
      <c r="U61" s="104">
        <f t="shared" si="14"/>
        <v>0</v>
      </c>
      <c r="V61" s="104">
        <f t="shared" si="14"/>
        <v>0</v>
      </c>
      <c r="W61" s="104">
        <f t="shared" si="14"/>
        <v>0</v>
      </c>
      <c r="X61" s="104">
        <f t="shared" si="14"/>
        <v>0</v>
      </c>
      <c r="Y61" s="104">
        <f t="shared" si="14"/>
        <v>0</v>
      </c>
      <c r="Z61" s="104">
        <f t="shared" si="14"/>
        <v>0</v>
      </c>
      <c r="AA61" s="104">
        <f t="shared" si="14"/>
        <v>0</v>
      </c>
      <c r="AB61" s="104">
        <f t="shared" si="14"/>
        <v>0</v>
      </c>
      <c r="AC61" s="104">
        <f t="shared" si="14"/>
        <v>0</v>
      </c>
      <c r="AD61" s="104">
        <f t="shared" si="14"/>
        <v>0</v>
      </c>
      <c r="AE61" s="104">
        <f t="shared" si="14"/>
        <v>0</v>
      </c>
      <c r="AF61" s="104">
        <f t="shared" si="14"/>
        <v>0</v>
      </c>
      <c r="AG61" s="104">
        <f t="shared" si="14"/>
        <v>0</v>
      </c>
      <c r="AH61" s="104">
        <f t="shared" si="14"/>
        <v>0</v>
      </c>
      <c r="AI61" s="104">
        <f t="shared" si="14"/>
        <v>0</v>
      </c>
      <c r="AJ61" s="104">
        <f t="shared" si="14"/>
        <v>0</v>
      </c>
      <c r="AK61" s="104">
        <f t="shared" si="14"/>
        <v>0</v>
      </c>
      <c r="AL61" s="104">
        <f t="shared" si="14"/>
        <v>0</v>
      </c>
      <c r="AM61" s="104">
        <f t="shared" si="14"/>
        <v>0</v>
      </c>
      <c r="AN61" s="104">
        <f t="shared" si="14"/>
        <v>0</v>
      </c>
      <c r="AO61" s="104">
        <f t="shared" si="14"/>
        <v>0</v>
      </c>
      <c r="AP61" s="104">
        <f t="shared" si="14"/>
        <v>0</v>
      </c>
      <c r="AQ61" s="104">
        <f t="shared" si="14"/>
        <v>0</v>
      </c>
      <c r="AR61" s="104">
        <f t="shared" si="14"/>
        <v>0</v>
      </c>
      <c r="AS61" s="104">
        <f t="shared" si="14"/>
        <v>0</v>
      </c>
      <c r="AT61" s="104">
        <f t="shared" si="14"/>
        <v>0</v>
      </c>
      <c r="AU61" s="104">
        <f t="shared" si="14"/>
        <v>0</v>
      </c>
      <c r="AV61" s="104">
        <f t="shared" si="14"/>
        <v>0</v>
      </c>
      <c r="AW61" s="104">
        <f t="shared" si="14"/>
        <v>0</v>
      </c>
    </row>
    <row r="62" spans="1:49">
      <c r="B62" s="96" t="s">
        <v>50</v>
      </c>
      <c r="C62" s="111">
        <v>23</v>
      </c>
      <c r="D62" s="97">
        <f t="shared" si="14"/>
        <v>0</v>
      </c>
      <c r="E62" s="104">
        <f t="shared" si="15"/>
        <v>0</v>
      </c>
      <c r="F62" s="104">
        <f t="shared" si="14"/>
        <v>0</v>
      </c>
      <c r="G62" s="104">
        <f t="shared" si="14"/>
        <v>0</v>
      </c>
      <c r="H62" s="104">
        <f t="shared" si="14"/>
        <v>0</v>
      </c>
      <c r="I62" s="104">
        <f t="shared" si="14"/>
        <v>0</v>
      </c>
      <c r="J62" s="104">
        <f t="shared" si="14"/>
        <v>0</v>
      </c>
      <c r="K62" s="104">
        <f t="shared" si="14"/>
        <v>0</v>
      </c>
      <c r="L62" s="104">
        <f t="shared" si="14"/>
        <v>0</v>
      </c>
      <c r="M62" s="104">
        <f t="shared" si="14"/>
        <v>0</v>
      </c>
      <c r="N62" s="104">
        <f t="shared" si="14"/>
        <v>0</v>
      </c>
      <c r="O62" s="104">
        <f t="shared" si="14"/>
        <v>0</v>
      </c>
      <c r="P62" s="104">
        <f t="shared" si="14"/>
        <v>0</v>
      </c>
      <c r="Q62" s="104">
        <f t="shared" si="14"/>
        <v>0</v>
      </c>
      <c r="R62" s="104">
        <f t="shared" si="14"/>
        <v>0</v>
      </c>
      <c r="S62" s="104">
        <f t="shared" si="14"/>
        <v>0</v>
      </c>
      <c r="T62" s="104">
        <f t="shared" si="14"/>
        <v>0</v>
      </c>
      <c r="U62" s="104">
        <f t="shared" si="14"/>
        <v>0</v>
      </c>
      <c r="V62" s="104">
        <f t="shared" si="14"/>
        <v>0</v>
      </c>
      <c r="W62" s="104">
        <f t="shared" si="14"/>
        <v>0</v>
      </c>
      <c r="X62" s="104">
        <f t="shared" si="14"/>
        <v>0</v>
      </c>
      <c r="Y62" s="104">
        <f t="shared" si="14"/>
        <v>0</v>
      </c>
      <c r="Z62" s="104">
        <f t="shared" si="14"/>
        <v>0</v>
      </c>
      <c r="AA62" s="104">
        <f t="shared" si="14"/>
        <v>0</v>
      </c>
      <c r="AB62" s="104">
        <f t="shared" si="14"/>
        <v>0</v>
      </c>
      <c r="AC62" s="104">
        <f t="shared" si="14"/>
        <v>0</v>
      </c>
      <c r="AD62" s="104">
        <f t="shared" si="14"/>
        <v>0</v>
      </c>
      <c r="AE62" s="104">
        <f t="shared" si="14"/>
        <v>0</v>
      </c>
      <c r="AF62" s="104">
        <f t="shared" si="14"/>
        <v>0</v>
      </c>
      <c r="AG62" s="104">
        <f t="shared" si="14"/>
        <v>0</v>
      </c>
      <c r="AH62" s="104">
        <f t="shared" si="14"/>
        <v>0</v>
      </c>
      <c r="AI62" s="104">
        <f t="shared" si="14"/>
        <v>0</v>
      </c>
      <c r="AJ62" s="104">
        <f t="shared" si="14"/>
        <v>0</v>
      </c>
      <c r="AK62" s="104">
        <f t="shared" si="14"/>
        <v>0</v>
      </c>
      <c r="AL62" s="104">
        <f t="shared" si="14"/>
        <v>0</v>
      </c>
      <c r="AM62" s="104">
        <f t="shared" si="14"/>
        <v>0</v>
      </c>
      <c r="AN62" s="104">
        <f t="shared" si="14"/>
        <v>0</v>
      </c>
      <c r="AO62" s="104">
        <f t="shared" si="14"/>
        <v>0</v>
      </c>
      <c r="AP62" s="104">
        <f t="shared" si="14"/>
        <v>0</v>
      </c>
      <c r="AQ62" s="104">
        <f t="shared" si="14"/>
        <v>0</v>
      </c>
      <c r="AR62" s="104">
        <f t="shared" si="14"/>
        <v>0</v>
      </c>
      <c r="AS62" s="104">
        <f t="shared" si="14"/>
        <v>0</v>
      </c>
      <c r="AT62" s="104">
        <f t="shared" si="14"/>
        <v>0</v>
      </c>
      <c r="AU62" s="104">
        <f t="shared" si="14"/>
        <v>0</v>
      </c>
      <c r="AV62" s="104">
        <f t="shared" si="14"/>
        <v>0</v>
      </c>
      <c r="AW62" s="104">
        <f t="shared" si="14"/>
        <v>0</v>
      </c>
    </row>
    <row r="63" spans="1:49">
      <c r="B63" s="96" t="s">
        <v>51</v>
      </c>
      <c r="C63" s="111">
        <v>15</v>
      </c>
      <c r="D63" s="97">
        <f t="shared" si="14"/>
        <v>0</v>
      </c>
      <c r="E63" s="104">
        <f t="shared" si="15"/>
        <v>0</v>
      </c>
      <c r="F63" s="104">
        <f t="shared" si="14"/>
        <v>0</v>
      </c>
      <c r="G63" s="104">
        <f t="shared" si="14"/>
        <v>0</v>
      </c>
      <c r="H63" s="104">
        <f t="shared" si="14"/>
        <v>0</v>
      </c>
      <c r="I63" s="104">
        <f t="shared" si="14"/>
        <v>0</v>
      </c>
      <c r="J63" s="104">
        <f t="shared" si="14"/>
        <v>0</v>
      </c>
      <c r="K63" s="104">
        <f t="shared" si="14"/>
        <v>0</v>
      </c>
      <c r="L63" s="104">
        <f t="shared" si="14"/>
        <v>0</v>
      </c>
      <c r="M63" s="104">
        <f t="shared" si="14"/>
        <v>0</v>
      </c>
      <c r="N63" s="104">
        <f t="shared" si="14"/>
        <v>0</v>
      </c>
      <c r="O63" s="104">
        <f t="shared" si="14"/>
        <v>0</v>
      </c>
      <c r="P63" s="104">
        <f t="shared" si="14"/>
        <v>0</v>
      </c>
      <c r="Q63" s="104">
        <f t="shared" si="14"/>
        <v>0</v>
      </c>
      <c r="R63" s="104">
        <f t="shared" si="14"/>
        <v>0</v>
      </c>
      <c r="S63" s="104">
        <f t="shared" si="14"/>
        <v>0</v>
      </c>
      <c r="T63" s="104">
        <f t="shared" si="14"/>
        <v>0</v>
      </c>
      <c r="U63" s="104">
        <f t="shared" si="14"/>
        <v>0</v>
      </c>
      <c r="V63" s="104">
        <f t="shared" si="14"/>
        <v>0</v>
      </c>
      <c r="W63" s="104">
        <f t="shared" si="14"/>
        <v>0</v>
      </c>
      <c r="X63" s="104">
        <f t="shared" si="14"/>
        <v>0</v>
      </c>
      <c r="Y63" s="104">
        <f t="shared" si="14"/>
        <v>0</v>
      </c>
      <c r="Z63" s="104">
        <f t="shared" si="14"/>
        <v>0</v>
      </c>
      <c r="AA63" s="104">
        <f t="shared" si="14"/>
        <v>0</v>
      </c>
      <c r="AB63" s="104">
        <f t="shared" si="14"/>
        <v>0</v>
      </c>
      <c r="AC63" s="104">
        <f t="shared" si="14"/>
        <v>0</v>
      </c>
      <c r="AD63" s="104">
        <f t="shared" si="14"/>
        <v>0</v>
      </c>
      <c r="AE63" s="104">
        <f t="shared" si="14"/>
        <v>0</v>
      </c>
      <c r="AF63" s="104">
        <f t="shared" si="14"/>
        <v>0</v>
      </c>
      <c r="AG63" s="104">
        <f t="shared" si="14"/>
        <v>0</v>
      </c>
      <c r="AH63" s="104">
        <f t="shared" si="14"/>
        <v>0</v>
      </c>
      <c r="AI63" s="104">
        <f t="shared" si="14"/>
        <v>0</v>
      </c>
      <c r="AJ63" s="104">
        <f t="shared" si="14"/>
        <v>0</v>
      </c>
      <c r="AK63" s="104">
        <f t="shared" si="14"/>
        <v>0</v>
      </c>
      <c r="AL63" s="104">
        <f t="shared" si="14"/>
        <v>0</v>
      </c>
      <c r="AM63" s="104">
        <f t="shared" si="14"/>
        <v>0</v>
      </c>
      <c r="AN63" s="104">
        <f t="shared" si="14"/>
        <v>0</v>
      </c>
      <c r="AO63" s="104">
        <f t="shared" si="14"/>
        <v>0</v>
      </c>
      <c r="AP63" s="104">
        <f t="shared" si="14"/>
        <v>0</v>
      </c>
      <c r="AQ63" s="104">
        <f t="shared" si="14"/>
        <v>0</v>
      </c>
      <c r="AR63" s="104">
        <f t="shared" si="14"/>
        <v>0</v>
      </c>
      <c r="AS63" s="104">
        <f t="shared" si="14"/>
        <v>0</v>
      </c>
      <c r="AT63" s="104">
        <f t="shared" si="14"/>
        <v>0</v>
      </c>
      <c r="AU63" s="104">
        <f t="shared" si="14"/>
        <v>0</v>
      </c>
      <c r="AV63" s="104">
        <f t="shared" si="14"/>
        <v>0</v>
      </c>
      <c r="AW63" s="104">
        <f t="shared" si="14"/>
        <v>0</v>
      </c>
    </row>
    <row r="64" spans="1:49">
      <c r="B64" s="96" t="s">
        <v>52</v>
      </c>
      <c r="C64" s="111">
        <v>10</v>
      </c>
      <c r="D64" s="97">
        <f t="shared" si="14"/>
        <v>0</v>
      </c>
      <c r="E64" s="104">
        <f t="shared" si="15"/>
        <v>0</v>
      </c>
      <c r="F64" s="104">
        <f t="shared" si="14"/>
        <v>0</v>
      </c>
      <c r="G64" s="104">
        <f t="shared" si="14"/>
        <v>0</v>
      </c>
      <c r="H64" s="104">
        <f t="shared" si="14"/>
        <v>0</v>
      </c>
      <c r="I64" s="104">
        <f t="shared" si="14"/>
        <v>0</v>
      </c>
      <c r="J64" s="104">
        <f t="shared" si="14"/>
        <v>0</v>
      </c>
      <c r="K64" s="104">
        <f t="shared" si="14"/>
        <v>0</v>
      </c>
      <c r="L64" s="104">
        <f t="shared" si="14"/>
        <v>0</v>
      </c>
      <c r="M64" s="104">
        <f t="shared" si="14"/>
        <v>0</v>
      </c>
      <c r="N64" s="104">
        <f t="shared" si="14"/>
        <v>0</v>
      </c>
      <c r="O64" s="104">
        <f t="shared" si="14"/>
        <v>0</v>
      </c>
      <c r="P64" s="104">
        <f t="shared" si="14"/>
        <v>0</v>
      </c>
      <c r="Q64" s="104">
        <f t="shared" si="14"/>
        <v>0</v>
      </c>
      <c r="R64" s="104">
        <f t="shared" si="14"/>
        <v>0</v>
      </c>
      <c r="S64" s="104">
        <f t="shared" si="14"/>
        <v>0</v>
      </c>
      <c r="T64" s="104">
        <f t="shared" si="14"/>
        <v>0</v>
      </c>
      <c r="U64" s="104">
        <f t="shared" si="14"/>
        <v>0</v>
      </c>
      <c r="V64" s="104">
        <f t="shared" si="14"/>
        <v>0</v>
      </c>
      <c r="W64" s="104">
        <f t="shared" si="14"/>
        <v>0</v>
      </c>
      <c r="X64" s="104">
        <f t="shared" si="14"/>
        <v>0</v>
      </c>
      <c r="Y64" s="104">
        <f t="shared" si="14"/>
        <v>0</v>
      </c>
      <c r="Z64" s="104">
        <f t="shared" si="14"/>
        <v>0</v>
      </c>
      <c r="AA64" s="104">
        <f t="shared" si="14"/>
        <v>0</v>
      </c>
      <c r="AB64" s="104">
        <f t="shared" si="14"/>
        <v>0</v>
      </c>
      <c r="AC64" s="104">
        <f t="shared" si="14"/>
        <v>0</v>
      </c>
      <c r="AD64" s="104">
        <f t="shared" si="14"/>
        <v>0</v>
      </c>
      <c r="AE64" s="104">
        <f t="shared" si="14"/>
        <v>0</v>
      </c>
      <c r="AF64" s="104">
        <f t="shared" si="14"/>
        <v>0</v>
      </c>
      <c r="AG64" s="104">
        <f t="shared" si="14"/>
        <v>0</v>
      </c>
      <c r="AH64" s="104">
        <f t="shared" si="14"/>
        <v>0</v>
      </c>
      <c r="AI64" s="104">
        <f t="shared" si="14"/>
        <v>0</v>
      </c>
      <c r="AJ64" s="104">
        <f t="shared" si="14"/>
        <v>0</v>
      </c>
      <c r="AK64" s="104">
        <f t="shared" si="14"/>
        <v>0</v>
      </c>
      <c r="AL64" s="104">
        <f t="shared" si="14"/>
        <v>0</v>
      </c>
      <c r="AM64" s="104">
        <f t="shared" si="14"/>
        <v>0</v>
      </c>
      <c r="AN64" s="104">
        <f t="shared" si="14"/>
        <v>0</v>
      </c>
      <c r="AO64" s="104">
        <f t="shared" si="14"/>
        <v>0</v>
      </c>
      <c r="AP64" s="104">
        <f t="shared" si="14"/>
        <v>0</v>
      </c>
      <c r="AQ64" s="104">
        <f t="shared" si="14"/>
        <v>0</v>
      </c>
      <c r="AR64" s="104">
        <f t="shared" si="14"/>
        <v>0</v>
      </c>
      <c r="AS64" s="104">
        <f t="shared" si="14"/>
        <v>0</v>
      </c>
      <c r="AT64" s="104">
        <f t="shared" si="14"/>
        <v>0</v>
      </c>
      <c r="AU64" s="104">
        <f t="shared" si="14"/>
        <v>0</v>
      </c>
      <c r="AV64" s="104">
        <f t="shared" si="14"/>
        <v>0</v>
      </c>
      <c r="AW64" s="104">
        <f t="shared" si="14"/>
        <v>0</v>
      </c>
    </row>
    <row r="65" spans="2:49">
      <c r="B65" s="96" t="s">
        <v>53</v>
      </c>
      <c r="C65" s="111">
        <v>19</v>
      </c>
      <c r="D65" s="97">
        <f t="shared" si="14"/>
        <v>0</v>
      </c>
      <c r="E65" s="104">
        <f t="shared" si="15"/>
        <v>0</v>
      </c>
      <c r="F65" s="104">
        <f t="shared" si="14"/>
        <v>0</v>
      </c>
      <c r="G65" s="104">
        <f t="shared" si="14"/>
        <v>0</v>
      </c>
      <c r="H65" s="104">
        <f t="shared" si="14"/>
        <v>0</v>
      </c>
      <c r="I65" s="104">
        <f t="shared" si="14"/>
        <v>0</v>
      </c>
      <c r="J65" s="104">
        <f t="shared" si="14"/>
        <v>0</v>
      </c>
      <c r="K65" s="104">
        <f t="shared" si="14"/>
        <v>0</v>
      </c>
      <c r="L65" s="104">
        <f t="shared" si="14"/>
        <v>0</v>
      </c>
      <c r="M65" s="104">
        <f t="shared" si="14"/>
        <v>0</v>
      </c>
      <c r="N65" s="104">
        <f t="shared" si="14"/>
        <v>0</v>
      </c>
      <c r="O65" s="104">
        <f t="shared" si="14"/>
        <v>0</v>
      </c>
      <c r="P65" s="104">
        <f t="shared" si="14"/>
        <v>0</v>
      </c>
      <c r="Q65" s="104">
        <f t="shared" si="14"/>
        <v>0</v>
      </c>
      <c r="R65" s="104">
        <f t="shared" si="14"/>
        <v>0</v>
      </c>
      <c r="S65" s="104">
        <f t="shared" si="14"/>
        <v>0</v>
      </c>
      <c r="T65" s="104">
        <f t="shared" si="14"/>
        <v>0</v>
      </c>
      <c r="U65" s="104">
        <f t="shared" si="14"/>
        <v>0</v>
      </c>
      <c r="V65" s="104">
        <f t="shared" si="14"/>
        <v>0</v>
      </c>
      <c r="W65" s="104">
        <f t="shared" si="14"/>
        <v>0</v>
      </c>
      <c r="X65" s="104">
        <f t="shared" si="14"/>
        <v>0</v>
      </c>
      <c r="Y65" s="104">
        <f t="shared" si="14"/>
        <v>0</v>
      </c>
      <c r="Z65" s="104">
        <f t="shared" si="14"/>
        <v>0</v>
      </c>
      <c r="AA65" s="104">
        <f t="shared" si="14"/>
        <v>0</v>
      </c>
      <c r="AB65" s="104">
        <f t="shared" si="14"/>
        <v>0</v>
      </c>
      <c r="AC65" s="104">
        <f t="shared" ref="AC65:AW71" si="16">AC32*$C65</f>
        <v>0</v>
      </c>
      <c r="AD65" s="104">
        <f t="shared" si="16"/>
        <v>0</v>
      </c>
      <c r="AE65" s="104">
        <f t="shared" si="16"/>
        <v>0</v>
      </c>
      <c r="AF65" s="104">
        <f t="shared" si="16"/>
        <v>0</v>
      </c>
      <c r="AG65" s="104">
        <f t="shared" si="16"/>
        <v>0</v>
      </c>
      <c r="AH65" s="104">
        <f t="shared" si="16"/>
        <v>0</v>
      </c>
      <c r="AI65" s="104">
        <f t="shared" si="16"/>
        <v>0</v>
      </c>
      <c r="AJ65" s="104">
        <f t="shared" si="16"/>
        <v>0</v>
      </c>
      <c r="AK65" s="104">
        <f t="shared" si="16"/>
        <v>0</v>
      </c>
      <c r="AL65" s="104">
        <f t="shared" si="16"/>
        <v>0</v>
      </c>
      <c r="AM65" s="104">
        <f t="shared" si="16"/>
        <v>0</v>
      </c>
      <c r="AN65" s="104">
        <f t="shared" si="16"/>
        <v>0</v>
      </c>
      <c r="AO65" s="104">
        <f t="shared" si="16"/>
        <v>0</v>
      </c>
      <c r="AP65" s="104">
        <f t="shared" si="16"/>
        <v>0</v>
      </c>
      <c r="AQ65" s="104">
        <f t="shared" si="16"/>
        <v>0</v>
      </c>
      <c r="AR65" s="104">
        <f t="shared" si="16"/>
        <v>0</v>
      </c>
      <c r="AS65" s="104">
        <f t="shared" si="16"/>
        <v>0</v>
      </c>
      <c r="AT65" s="104">
        <f t="shared" si="16"/>
        <v>0</v>
      </c>
      <c r="AU65" s="104">
        <f t="shared" si="16"/>
        <v>0</v>
      </c>
      <c r="AV65" s="104">
        <f t="shared" si="16"/>
        <v>0</v>
      </c>
      <c r="AW65" s="104">
        <f t="shared" si="16"/>
        <v>0</v>
      </c>
    </row>
    <row r="66" spans="2:49">
      <c r="B66" s="96" t="s">
        <v>54</v>
      </c>
      <c r="C66" s="111">
        <v>10</v>
      </c>
      <c r="D66" s="97">
        <f t="shared" ref="D66:AR71" si="17">D33*$C66</f>
        <v>0</v>
      </c>
      <c r="E66" s="104">
        <f t="shared" si="15"/>
        <v>0</v>
      </c>
      <c r="F66" s="104">
        <f t="shared" si="17"/>
        <v>0</v>
      </c>
      <c r="G66" s="104">
        <f t="shared" si="17"/>
        <v>0</v>
      </c>
      <c r="H66" s="104">
        <f t="shared" si="17"/>
        <v>0</v>
      </c>
      <c r="I66" s="104">
        <f t="shared" si="17"/>
        <v>0</v>
      </c>
      <c r="J66" s="104">
        <f t="shared" si="17"/>
        <v>0</v>
      </c>
      <c r="K66" s="104">
        <f t="shared" si="17"/>
        <v>0</v>
      </c>
      <c r="L66" s="104">
        <f t="shared" si="17"/>
        <v>0</v>
      </c>
      <c r="M66" s="104">
        <f t="shared" si="17"/>
        <v>0</v>
      </c>
      <c r="N66" s="104">
        <f t="shared" si="17"/>
        <v>0</v>
      </c>
      <c r="O66" s="104">
        <f t="shared" si="17"/>
        <v>0</v>
      </c>
      <c r="P66" s="104">
        <f t="shared" si="17"/>
        <v>0</v>
      </c>
      <c r="Q66" s="104">
        <f t="shared" si="17"/>
        <v>0</v>
      </c>
      <c r="R66" s="104">
        <f t="shared" si="17"/>
        <v>0</v>
      </c>
      <c r="S66" s="104">
        <f t="shared" si="17"/>
        <v>0</v>
      </c>
      <c r="T66" s="104">
        <f t="shared" si="17"/>
        <v>0</v>
      </c>
      <c r="U66" s="104">
        <f t="shared" si="17"/>
        <v>0</v>
      </c>
      <c r="V66" s="104">
        <f t="shared" si="17"/>
        <v>0</v>
      </c>
      <c r="W66" s="104">
        <f t="shared" si="17"/>
        <v>0</v>
      </c>
      <c r="X66" s="104">
        <f t="shared" si="17"/>
        <v>0</v>
      </c>
      <c r="Y66" s="104">
        <f t="shared" si="17"/>
        <v>0</v>
      </c>
      <c r="Z66" s="104">
        <f t="shared" si="17"/>
        <v>0</v>
      </c>
      <c r="AA66" s="104">
        <f t="shared" si="17"/>
        <v>0</v>
      </c>
      <c r="AB66" s="104">
        <f t="shared" si="17"/>
        <v>0</v>
      </c>
      <c r="AC66" s="104">
        <f t="shared" si="17"/>
        <v>0</v>
      </c>
      <c r="AD66" s="104">
        <f t="shared" si="17"/>
        <v>0</v>
      </c>
      <c r="AE66" s="104">
        <f t="shared" si="17"/>
        <v>0</v>
      </c>
      <c r="AF66" s="104">
        <f t="shared" si="17"/>
        <v>0</v>
      </c>
      <c r="AG66" s="104">
        <f t="shared" si="17"/>
        <v>0</v>
      </c>
      <c r="AH66" s="104">
        <f t="shared" si="17"/>
        <v>0</v>
      </c>
      <c r="AI66" s="104">
        <f t="shared" si="17"/>
        <v>0</v>
      </c>
      <c r="AJ66" s="104">
        <f t="shared" si="17"/>
        <v>0</v>
      </c>
      <c r="AK66" s="104">
        <f t="shared" si="17"/>
        <v>0</v>
      </c>
      <c r="AL66" s="104">
        <f t="shared" si="17"/>
        <v>0</v>
      </c>
      <c r="AM66" s="104">
        <f t="shared" si="17"/>
        <v>0</v>
      </c>
      <c r="AN66" s="104">
        <f t="shared" si="17"/>
        <v>0</v>
      </c>
      <c r="AO66" s="104">
        <f t="shared" si="17"/>
        <v>0</v>
      </c>
      <c r="AP66" s="104">
        <f t="shared" si="17"/>
        <v>0</v>
      </c>
      <c r="AQ66" s="104">
        <f t="shared" si="17"/>
        <v>0</v>
      </c>
      <c r="AR66" s="104">
        <f t="shared" si="17"/>
        <v>0</v>
      </c>
      <c r="AS66" s="104">
        <f t="shared" si="16"/>
        <v>0</v>
      </c>
      <c r="AT66" s="104">
        <f t="shared" si="16"/>
        <v>0</v>
      </c>
      <c r="AU66" s="104">
        <f t="shared" si="16"/>
        <v>0</v>
      </c>
      <c r="AV66" s="104">
        <f t="shared" si="16"/>
        <v>0</v>
      </c>
      <c r="AW66" s="104">
        <f t="shared" si="16"/>
        <v>0</v>
      </c>
    </row>
    <row r="67" spans="2:49">
      <c r="B67" s="96" t="s">
        <v>55</v>
      </c>
      <c r="C67" s="111">
        <v>50</v>
      </c>
      <c r="D67" s="97">
        <f t="shared" si="17"/>
        <v>0</v>
      </c>
      <c r="E67" s="104">
        <f t="shared" si="15"/>
        <v>0</v>
      </c>
      <c r="F67" s="104">
        <f t="shared" si="17"/>
        <v>0</v>
      </c>
      <c r="G67" s="104">
        <f t="shared" si="17"/>
        <v>0</v>
      </c>
      <c r="H67" s="104">
        <f t="shared" si="17"/>
        <v>0</v>
      </c>
      <c r="I67" s="104">
        <f t="shared" si="17"/>
        <v>0</v>
      </c>
      <c r="J67" s="104">
        <f t="shared" si="17"/>
        <v>0</v>
      </c>
      <c r="K67" s="104">
        <f t="shared" si="17"/>
        <v>0</v>
      </c>
      <c r="L67" s="104">
        <f t="shared" si="17"/>
        <v>0</v>
      </c>
      <c r="M67" s="104">
        <f t="shared" si="17"/>
        <v>0</v>
      </c>
      <c r="N67" s="104">
        <f t="shared" si="17"/>
        <v>0</v>
      </c>
      <c r="O67" s="104">
        <f t="shared" si="17"/>
        <v>0</v>
      </c>
      <c r="P67" s="104">
        <f t="shared" si="17"/>
        <v>0</v>
      </c>
      <c r="Q67" s="104">
        <f t="shared" si="17"/>
        <v>0</v>
      </c>
      <c r="R67" s="104">
        <f t="shared" si="17"/>
        <v>0</v>
      </c>
      <c r="S67" s="104">
        <f t="shared" si="17"/>
        <v>0</v>
      </c>
      <c r="T67" s="104">
        <f t="shared" si="17"/>
        <v>0</v>
      </c>
      <c r="U67" s="104">
        <f t="shared" si="17"/>
        <v>0</v>
      </c>
      <c r="V67" s="104">
        <f t="shared" si="17"/>
        <v>0</v>
      </c>
      <c r="W67" s="104">
        <f t="shared" si="17"/>
        <v>0</v>
      </c>
      <c r="X67" s="104">
        <f t="shared" si="17"/>
        <v>0</v>
      </c>
      <c r="Y67" s="104">
        <f t="shared" si="17"/>
        <v>0</v>
      </c>
      <c r="Z67" s="104">
        <f t="shared" si="17"/>
        <v>0</v>
      </c>
      <c r="AA67" s="104">
        <f t="shared" si="17"/>
        <v>0</v>
      </c>
      <c r="AB67" s="104">
        <f t="shared" si="17"/>
        <v>0</v>
      </c>
      <c r="AC67" s="104">
        <f t="shared" si="17"/>
        <v>0</v>
      </c>
      <c r="AD67" s="104">
        <f t="shared" si="17"/>
        <v>0</v>
      </c>
      <c r="AE67" s="104">
        <f t="shared" si="17"/>
        <v>0</v>
      </c>
      <c r="AF67" s="104">
        <f t="shared" si="17"/>
        <v>0</v>
      </c>
      <c r="AG67" s="104">
        <f t="shared" si="17"/>
        <v>0</v>
      </c>
      <c r="AH67" s="104">
        <f t="shared" si="17"/>
        <v>0</v>
      </c>
      <c r="AI67" s="104">
        <f t="shared" si="17"/>
        <v>0</v>
      </c>
      <c r="AJ67" s="104">
        <f t="shared" si="17"/>
        <v>0</v>
      </c>
      <c r="AK67" s="104">
        <f t="shared" si="17"/>
        <v>0</v>
      </c>
      <c r="AL67" s="104">
        <f t="shared" si="17"/>
        <v>0</v>
      </c>
      <c r="AM67" s="104">
        <f t="shared" si="17"/>
        <v>0</v>
      </c>
      <c r="AN67" s="104">
        <f t="shared" si="17"/>
        <v>0</v>
      </c>
      <c r="AO67" s="104">
        <f t="shared" si="17"/>
        <v>0</v>
      </c>
      <c r="AP67" s="104">
        <f t="shared" si="17"/>
        <v>0</v>
      </c>
      <c r="AQ67" s="104">
        <f t="shared" si="17"/>
        <v>0</v>
      </c>
      <c r="AR67" s="104">
        <f t="shared" si="17"/>
        <v>0</v>
      </c>
      <c r="AS67" s="104">
        <f t="shared" si="16"/>
        <v>0</v>
      </c>
      <c r="AT67" s="104">
        <f t="shared" si="16"/>
        <v>0</v>
      </c>
      <c r="AU67" s="104">
        <f t="shared" si="16"/>
        <v>0</v>
      </c>
      <c r="AV67" s="104">
        <f t="shared" si="16"/>
        <v>0</v>
      </c>
      <c r="AW67" s="104">
        <f t="shared" si="16"/>
        <v>0</v>
      </c>
    </row>
    <row r="68" spans="2:49">
      <c r="B68" s="96" t="s">
        <v>56</v>
      </c>
      <c r="C68" s="111">
        <v>27.39</v>
      </c>
      <c r="D68" s="97">
        <f t="shared" si="17"/>
        <v>0</v>
      </c>
      <c r="E68" s="104">
        <f t="shared" si="15"/>
        <v>0</v>
      </c>
      <c r="F68" s="104">
        <f t="shared" si="17"/>
        <v>0</v>
      </c>
      <c r="G68" s="104">
        <f t="shared" si="17"/>
        <v>0</v>
      </c>
      <c r="H68" s="104">
        <f t="shared" si="17"/>
        <v>0</v>
      </c>
      <c r="I68" s="104">
        <f t="shared" si="17"/>
        <v>0</v>
      </c>
      <c r="J68" s="104">
        <f t="shared" si="17"/>
        <v>0</v>
      </c>
      <c r="K68" s="104">
        <f t="shared" si="17"/>
        <v>0</v>
      </c>
      <c r="L68" s="104">
        <f t="shared" si="17"/>
        <v>0</v>
      </c>
      <c r="M68" s="104">
        <f t="shared" si="17"/>
        <v>0</v>
      </c>
      <c r="N68" s="104">
        <f t="shared" si="17"/>
        <v>0</v>
      </c>
      <c r="O68" s="104">
        <f t="shared" si="17"/>
        <v>0</v>
      </c>
      <c r="P68" s="104">
        <f t="shared" si="17"/>
        <v>0</v>
      </c>
      <c r="Q68" s="104">
        <f t="shared" si="17"/>
        <v>0</v>
      </c>
      <c r="R68" s="104">
        <f t="shared" si="17"/>
        <v>0</v>
      </c>
      <c r="S68" s="104">
        <f t="shared" si="17"/>
        <v>0</v>
      </c>
      <c r="T68" s="104">
        <f t="shared" si="17"/>
        <v>0</v>
      </c>
      <c r="U68" s="104">
        <f t="shared" si="17"/>
        <v>0</v>
      </c>
      <c r="V68" s="104">
        <f t="shared" si="17"/>
        <v>0</v>
      </c>
      <c r="W68" s="104">
        <f t="shared" si="17"/>
        <v>0</v>
      </c>
      <c r="X68" s="104">
        <f t="shared" si="17"/>
        <v>0</v>
      </c>
      <c r="Y68" s="104">
        <f t="shared" si="17"/>
        <v>0</v>
      </c>
      <c r="Z68" s="104">
        <f t="shared" si="17"/>
        <v>0</v>
      </c>
      <c r="AA68" s="104">
        <f t="shared" si="17"/>
        <v>0</v>
      </c>
      <c r="AB68" s="104">
        <f t="shared" si="17"/>
        <v>0</v>
      </c>
      <c r="AC68" s="104">
        <f t="shared" si="17"/>
        <v>0</v>
      </c>
      <c r="AD68" s="104">
        <f t="shared" si="17"/>
        <v>0</v>
      </c>
      <c r="AE68" s="104">
        <f t="shared" si="17"/>
        <v>0</v>
      </c>
      <c r="AF68" s="104">
        <f t="shared" si="17"/>
        <v>0</v>
      </c>
      <c r="AG68" s="104">
        <f t="shared" si="17"/>
        <v>0</v>
      </c>
      <c r="AH68" s="104">
        <f t="shared" si="17"/>
        <v>0</v>
      </c>
      <c r="AI68" s="104">
        <f t="shared" si="17"/>
        <v>0</v>
      </c>
      <c r="AJ68" s="104">
        <f t="shared" si="17"/>
        <v>0</v>
      </c>
      <c r="AK68" s="104">
        <f t="shared" si="17"/>
        <v>0</v>
      </c>
      <c r="AL68" s="104">
        <f t="shared" si="17"/>
        <v>0</v>
      </c>
      <c r="AM68" s="104">
        <f t="shared" si="17"/>
        <v>0</v>
      </c>
      <c r="AN68" s="104">
        <f t="shared" si="17"/>
        <v>0</v>
      </c>
      <c r="AO68" s="104">
        <f t="shared" si="17"/>
        <v>0</v>
      </c>
      <c r="AP68" s="104">
        <f t="shared" si="17"/>
        <v>0</v>
      </c>
      <c r="AQ68" s="104">
        <f t="shared" si="17"/>
        <v>0</v>
      </c>
      <c r="AR68" s="104">
        <f t="shared" si="17"/>
        <v>0</v>
      </c>
      <c r="AS68" s="104">
        <f t="shared" si="16"/>
        <v>0</v>
      </c>
      <c r="AT68" s="104">
        <f t="shared" si="16"/>
        <v>0</v>
      </c>
      <c r="AU68" s="104">
        <f t="shared" si="16"/>
        <v>0</v>
      </c>
      <c r="AV68" s="104">
        <f t="shared" si="16"/>
        <v>0</v>
      </c>
      <c r="AW68" s="104">
        <f t="shared" si="16"/>
        <v>0</v>
      </c>
    </row>
    <row r="69" spans="2:49">
      <c r="B69" s="96" t="s">
        <v>57</v>
      </c>
      <c r="C69" s="111">
        <v>26</v>
      </c>
      <c r="D69" s="97">
        <f t="shared" si="17"/>
        <v>0</v>
      </c>
      <c r="E69" s="104">
        <f t="shared" si="15"/>
        <v>0</v>
      </c>
      <c r="F69" s="104">
        <f t="shared" si="17"/>
        <v>0</v>
      </c>
      <c r="G69" s="104">
        <f t="shared" si="17"/>
        <v>0</v>
      </c>
      <c r="H69" s="104">
        <f t="shared" si="17"/>
        <v>0</v>
      </c>
      <c r="I69" s="104">
        <f t="shared" si="17"/>
        <v>0</v>
      </c>
      <c r="J69" s="104">
        <f t="shared" si="17"/>
        <v>0</v>
      </c>
      <c r="K69" s="104">
        <f t="shared" si="17"/>
        <v>0</v>
      </c>
      <c r="L69" s="104">
        <f t="shared" si="17"/>
        <v>0</v>
      </c>
      <c r="M69" s="104">
        <f t="shared" si="17"/>
        <v>0</v>
      </c>
      <c r="N69" s="104">
        <f t="shared" si="17"/>
        <v>0</v>
      </c>
      <c r="O69" s="104">
        <f t="shared" si="17"/>
        <v>0</v>
      </c>
      <c r="P69" s="104">
        <f t="shared" si="17"/>
        <v>0</v>
      </c>
      <c r="Q69" s="104">
        <f t="shared" si="17"/>
        <v>0</v>
      </c>
      <c r="R69" s="104">
        <f t="shared" si="17"/>
        <v>0</v>
      </c>
      <c r="S69" s="104">
        <f t="shared" si="17"/>
        <v>0</v>
      </c>
      <c r="T69" s="104">
        <f t="shared" si="17"/>
        <v>0</v>
      </c>
      <c r="U69" s="104">
        <f t="shared" si="17"/>
        <v>0</v>
      </c>
      <c r="V69" s="104">
        <f t="shared" si="17"/>
        <v>0</v>
      </c>
      <c r="W69" s="104">
        <f t="shared" si="17"/>
        <v>0</v>
      </c>
      <c r="X69" s="104">
        <f t="shared" si="17"/>
        <v>0</v>
      </c>
      <c r="Y69" s="104">
        <f t="shared" si="17"/>
        <v>0</v>
      </c>
      <c r="Z69" s="104">
        <f t="shared" si="17"/>
        <v>0</v>
      </c>
      <c r="AA69" s="104">
        <f t="shared" si="17"/>
        <v>0</v>
      </c>
      <c r="AB69" s="104">
        <f t="shared" si="17"/>
        <v>0</v>
      </c>
      <c r="AC69" s="104">
        <f t="shared" si="17"/>
        <v>0</v>
      </c>
      <c r="AD69" s="104">
        <f t="shared" si="17"/>
        <v>0</v>
      </c>
      <c r="AE69" s="104">
        <f t="shared" si="17"/>
        <v>0</v>
      </c>
      <c r="AF69" s="104">
        <f t="shared" si="17"/>
        <v>0</v>
      </c>
      <c r="AG69" s="104">
        <f t="shared" si="17"/>
        <v>0</v>
      </c>
      <c r="AH69" s="104">
        <f t="shared" si="17"/>
        <v>0</v>
      </c>
      <c r="AI69" s="104">
        <f t="shared" si="17"/>
        <v>0</v>
      </c>
      <c r="AJ69" s="104">
        <f t="shared" si="17"/>
        <v>0</v>
      </c>
      <c r="AK69" s="104">
        <f t="shared" si="17"/>
        <v>0</v>
      </c>
      <c r="AL69" s="104">
        <f t="shared" si="17"/>
        <v>0</v>
      </c>
      <c r="AM69" s="104">
        <f t="shared" si="17"/>
        <v>0</v>
      </c>
      <c r="AN69" s="104">
        <f t="shared" si="17"/>
        <v>0</v>
      </c>
      <c r="AO69" s="104">
        <f t="shared" si="17"/>
        <v>0</v>
      </c>
      <c r="AP69" s="104">
        <f t="shared" si="17"/>
        <v>0</v>
      </c>
      <c r="AQ69" s="104">
        <f t="shared" si="17"/>
        <v>0</v>
      </c>
      <c r="AR69" s="104">
        <f t="shared" si="17"/>
        <v>0</v>
      </c>
      <c r="AS69" s="104">
        <f t="shared" si="16"/>
        <v>0</v>
      </c>
      <c r="AT69" s="104">
        <f t="shared" si="16"/>
        <v>0</v>
      </c>
      <c r="AU69" s="104">
        <f t="shared" si="16"/>
        <v>0</v>
      </c>
      <c r="AV69" s="104">
        <f t="shared" si="16"/>
        <v>0</v>
      </c>
      <c r="AW69" s="104">
        <f t="shared" si="16"/>
        <v>0</v>
      </c>
    </row>
    <row r="70" spans="2:49">
      <c r="B70" s="96" t="s">
        <v>58</v>
      </c>
      <c r="C70" s="111">
        <v>48</v>
      </c>
      <c r="D70" s="97">
        <f t="shared" si="17"/>
        <v>0</v>
      </c>
      <c r="E70" s="104">
        <f t="shared" si="15"/>
        <v>0</v>
      </c>
      <c r="F70" s="104">
        <f t="shared" si="17"/>
        <v>0</v>
      </c>
      <c r="G70" s="104">
        <f t="shared" si="17"/>
        <v>0</v>
      </c>
      <c r="H70" s="104">
        <f t="shared" si="17"/>
        <v>0</v>
      </c>
      <c r="I70" s="104">
        <f t="shared" si="17"/>
        <v>0</v>
      </c>
      <c r="J70" s="104">
        <f t="shared" si="17"/>
        <v>0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>
        <f t="shared" si="17"/>
        <v>0</v>
      </c>
      <c r="Q70" s="104">
        <f t="shared" si="17"/>
        <v>0</v>
      </c>
      <c r="R70" s="104">
        <f t="shared" si="17"/>
        <v>0</v>
      </c>
      <c r="S70" s="104">
        <f t="shared" si="17"/>
        <v>0</v>
      </c>
      <c r="T70" s="104">
        <f t="shared" si="17"/>
        <v>0</v>
      </c>
      <c r="U70" s="104">
        <f t="shared" si="17"/>
        <v>0</v>
      </c>
      <c r="V70" s="104">
        <f t="shared" si="17"/>
        <v>0</v>
      </c>
      <c r="W70" s="104">
        <f t="shared" si="17"/>
        <v>0</v>
      </c>
      <c r="X70" s="104">
        <f t="shared" si="17"/>
        <v>0</v>
      </c>
      <c r="Y70" s="104">
        <f t="shared" si="17"/>
        <v>0</v>
      </c>
      <c r="Z70" s="104">
        <f t="shared" si="17"/>
        <v>0</v>
      </c>
      <c r="AA70" s="104">
        <f t="shared" si="17"/>
        <v>0</v>
      </c>
      <c r="AB70" s="104">
        <f t="shared" si="17"/>
        <v>0</v>
      </c>
      <c r="AC70" s="104">
        <f t="shared" si="17"/>
        <v>0</v>
      </c>
      <c r="AD70" s="104">
        <f t="shared" si="17"/>
        <v>0</v>
      </c>
      <c r="AE70" s="104">
        <f t="shared" si="17"/>
        <v>0</v>
      </c>
      <c r="AF70" s="104">
        <f t="shared" si="17"/>
        <v>0</v>
      </c>
      <c r="AG70" s="104">
        <f t="shared" si="17"/>
        <v>0</v>
      </c>
      <c r="AH70" s="104">
        <f t="shared" si="17"/>
        <v>0</v>
      </c>
      <c r="AI70" s="104">
        <f t="shared" si="17"/>
        <v>0</v>
      </c>
      <c r="AJ70" s="104">
        <f t="shared" si="17"/>
        <v>0</v>
      </c>
      <c r="AK70" s="104">
        <f t="shared" si="17"/>
        <v>0</v>
      </c>
      <c r="AL70" s="104">
        <f t="shared" si="17"/>
        <v>0</v>
      </c>
      <c r="AM70" s="104">
        <f t="shared" si="17"/>
        <v>0</v>
      </c>
      <c r="AN70" s="104">
        <f t="shared" si="17"/>
        <v>0</v>
      </c>
      <c r="AO70" s="104">
        <f t="shared" si="17"/>
        <v>0</v>
      </c>
      <c r="AP70" s="104">
        <f t="shared" si="17"/>
        <v>0</v>
      </c>
      <c r="AQ70" s="104">
        <f t="shared" si="17"/>
        <v>0</v>
      </c>
      <c r="AR70" s="104">
        <f t="shared" si="17"/>
        <v>0</v>
      </c>
      <c r="AS70" s="104">
        <f t="shared" si="16"/>
        <v>0</v>
      </c>
      <c r="AT70" s="104">
        <f t="shared" si="16"/>
        <v>0</v>
      </c>
      <c r="AU70" s="104">
        <f t="shared" si="16"/>
        <v>0</v>
      </c>
      <c r="AV70" s="104">
        <f t="shared" si="16"/>
        <v>0</v>
      </c>
      <c r="AW70" s="104">
        <f t="shared" si="16"/>
        <v>0</v>
      </c>
    </row>
    <row r="71" spans="2:49">
      <c r="B71" s="96" t="s">
        <v>59</v>
      </c>
      <c r="C71" s="112">
        <v>20</v>
      </c>
      <c r="D71" s="97">
        <f t="shared" si="17"/>
        <v>0</v>
      </c>
      <c r="E71" s="104">
        <f t="shared" si="15"/>
        <v>0</v>
      </c>
      <c r="F71" s="104">
        <f t="shared" si="17"/>
        <v>0</v>
      </c>
      <c r="G71" s="104">
        <f t="shared" si="17"/>
        <v>0</v>
      </c>
      <c r="H71" s="104">
        <f t="shared" si="17"/>
        <v>0</v>
      </c>
      <c r="I71" s="104">
        <f t="shared" si="17"/>
        <v>0</v>
      </c>
      <c r="J71" s="104">
        <f t="shared" si="17"/>
        <v>0</v>
      </c>
      <c r="K71" s="104">
        <f t="shared" si="17"/>
        <v>0</v>
      </c>
      <c r="L71" s="104">
        <f t="shared" si="17"/>
        <v>0</v>
      </c>
      <c r="M71" s="104">
        <f t="shared" si="17"/>
        <v>0</v>
      </c>
      <c r="N71" s="104">
        <f t="shared" si="17"/>
        <v>0</v>
      </c>
      <c r="O71" s="104">
        <f t="shared" si="17"/>
        <v>0</v>
      </c>
      <c r="P71" s="104">
        <f t="shared" si="17"/>
        <v>0</v>
      </c>
      <c r="Q71" s="104">
        <f t="shared" si="17"/>
        <v>0</v>
      </c>
      <c r="R71" s="104">
        <f t="shared" si="17"/>
        <v>0</v>
      </c>
      <c r="S71" s="104">
        <f t="shared" si="17"/>
        <v>0</v>
      </c>
      <c r="T71" s="104">
        <f t="shared" si="17"/>
        <v>0</v>
      </c>
      <c r="U71" s="104">
        <f t="shared" si="17"/>
        <v>0</v>
      </c>
      <c r="V71" s="104">
        <f t="shared" si="17"/>
        <v>0</v>
      </c>
      <c r="W71" s="104">
        <f t="shared" si="17"/>
        <v>0</v>
      </c>
      <c r="X71" s="104">
        <f t="shared" si="17"/>
        <v>0</v>
      </c>
      <c r="Y71" s="104">
        <f t="shared" si="17"/>
        <v>0</v>
      </c>
      <c r="Z71" s="104">
        <f t="shared" si="17"/>
        <v>0</v>
      </c>
      <c r="AA71" s="104">
        <f t="shared" si="17"/>
        <v>0</v>
      </c>
      <c r="AB71" s="104">
        <f t="shared" si="17"/>
        <v>0</v>
      </c>
      <c r="AC71" s="104">
        <f t="shared" si="17"/>
        <v>0</v>
      </c>
      <c r="AD71" s="104">
        <f t="shared" si="17"/>
        <v>0</v>
      </c>
      <c r="AE71" s="104">
        <f t="shared" si="17"/>
        <v>0</v>
      </c>
      <c r="AF71" s="104">
        <f t="shared" si="17"/>
        <v>0</v>
      </c>
      <c r="AG71" s="104">
        <f t="shared" si="17"/>
        <v>0</v>
      </c>
      <c r="AH71" s="104">
        <f t="shared" si="17"/>
        <v>0</v>
      </c>
      <c r="AI71" s="104">
        <f t="shared" si="17"/>
        <v>0</v>
      </c>
      <c r="AJ71" s="104">
        <f t="shared" si="17"/>
        <v>0</v>
      </c>
      <c r="AK71" s="104">
        <f t="shared" si="17"/>
        <v>0</v>
      </c>
      <c r="AL71" s="104">
        <f t="shared" si="17"/>
        <v>0</v>
      </c>
      <c r="AM71" s="104">
        <f t="shared" si="17"/>
        <v>0</v>
      </c>
      <c r="AN71" s="104">
        <f t="shared" si="17"/>
        <v>0</v>
      </c>
      <c r="AO71" s="104">
        <f t="shared" si="17"/>
        <v>0</v>
      </c>
      <c r="AP71" s="104">
        <f t="shared" si="17"/>
        <v>0</v>
      </c>
      <c r="AQ71" s="104">
        <f t="shared" si="17"/>
        <v>0</v>
      </c>
      <c r="AR71" s="104">
        <f t="shared" si="17"/>
        <v>0</v>
      </c>
      <c r="AS71" s="104">
        <f t="shared" si="16"/>
        <v>0</v>
      </c>
      <c r="AT71" s="104">
        <f t="shared" si="16"/>
        <v>0</v>
      </c>
      <c r="AU71" s="104">
        <f t="shared" si="16"/>
        <v>0</v>
      </c>
      <c r="AV71" s="104">
        <f t="shared" si="16"/>
        <v>0</v>
      </c>
      <c r="AW71" s="104">
        <f t="shared" si="16"/>
        <v>0</v>
      </c>
    </row>
    <row r="72" spans="2:49">
      <c r="B72" s="35" t="s">
        <v>85</v>
      </c>
      <c r="C72" s="113">
        <v>3.5</v>
      </c>
      <c r="D72" s="98">
        <f t="shared" ref="D72:AW72" si="18">D50*C72</f>
        <v>1200500</v>
      </c>
      <c r="E72" s="107">
        <f>E50*$C$72</f>
        <v>0</v>
      </c>
      <c r="F72" s="107">
        <f t="shared" si="18"/>
        <v>0</v>
      </c>
      <c r="G72" s="107">
        <f t="shared" si="18"/>
        <v>0</v>
      </c>
      <c r="H72" s="107">
        <f t="shared" si="18"/>
        <v>0</v>
      </c>
      <c r="I72" s="107">
        <f t="shared" si="18"/>
        <v>0</v>
      </c>
      <c r="J72" s="107">
        <f t="shared" si="18"/>
        <v>0</v>
      </c>
      <c r="K72" s="107">
        <f t="shared" si="18"/>
        <v>0</v>
      </c>
      <c r="L72" s="107">
        <f t="shared" si="18"/>
        <v>0</v>
      </c>
      <c r="M72" s="107">
        <f t="shared" si="18"/>
        <v>0</v>
      </c>
      <c r="N72" s="107">
        <f t="shared" si="18"/>
        <v>0</v>
      </c>
      <c r="O72" s="107">
        <f t="shared" si="18"/>
        <v>0</v>
      </c>
      <c r="P72" s="107">
        <f t="shared" si="18"/>
        <v>0</v>
      </c>
      <c r="Q72" s="107">
        <f t="shared" si="18"/>
        <v>0</v>
      </c>
      <c r="R72" s="107">
        <f t="shared" si="18"/>
        <v>0</v>
      </c>
      <c r="S72" s="107">
        <f t="shared" si="18"/>
        <v>0</v>
      </c>
      <c r="T72" s="107">
        <f t="shared" si="18"/>
        <v>0</v>
      </c>
      <c r="U72" s="107">
        <f t="shared" si="18"/>
        <v>0</v>
      </c>
      <c r="V72" s="107">
        <f t="shared" si="18"/>
        <v>0</v>
      </c>
      <c r="W72" s="107">
        <f t="shared" si="18"/>
        <v>0</v>
      </c>
      <c r="X72" s="107">
        <f t="shared" si="18"/>
        <v>0</v>
      </c>
      <c r="Y72" s="107">
        <f t="shared" si="18"/>
        <v>0</v>
      </c>
      <c r="Z72" s="107">
        <f t="shared" si="18"/>
        <v>0</v>
      </c>
      <c r="AA72" s="107">
        <f t="shared" si="18"/>
        <v>0</v>
      </c>
      <c r="AB72" s="107">
        <f t="shared" si="18"/>
        <v>0</v>
      </c>
      <c r="AC72" s="107">
        <f t="shared" si="18"/>
        <v>0</v>
      </c>
      <c r="AD72" s="107">
        <f t="shared" si="18"/>
        <v>0</v>
      </c>
      <c r="AE72" s="107">
        <f>AE50*AD72</f>
        <v>0</v>
      </c>
      <c r="AF72" s="107"/>
      <c r="AG72" s="107">
        <f t="shared" si="18"/>
        <v>0</v>
      </c>
      <c r="AH72" s="107">
        <f t="shared" si="18"/>
        <v>0</v>
      </c>
      <c r="AI72" s="107">
        <f t="shared" si="18"/>
        <v>0</v>
      </c>
      <c r="AJ72" s="107">
        <f t="shared" si="18"/>
        <v>0</v>
      </c>
      <c r="AK72" s="107">
        <f t="shared" si="18"/>
        <v>0</v>
      </c>
      <c r="AL72" s="107">
        <f t="shared" si="18"/>
        <v>0</v>
      </c>
      <c r="AM72" s="107">
        <f t="shared" si="18"/>
        <v>0</v>
      </c>
      <c r="AN72" s="107">
        <f t="shared" si="18"/>
        <v>0</v>
      </c>
      <c r="AO72" s="107">
        <f t="shared" si="18"/>
        <v>0</v>
      </c>
      <c r="AP72" s="107">
        <f t="shared" si="18"/>
        <v>0</v>
      </c>
      <c r="AQ72" s="107">
        <f t="shared" si="18"/>
        <v>0</v>
      </c>
      <c r="AR72" s="107">
        <f t="shared" si="18"/>
        <v>0</v>
      </c>
      <c r="AS72" s="107">
        <f t="shared" si="18"/>
        <v>0</v>
      </c>
      <c r="AT72" s="107">
        <f t="shared" si="18"/>
        <v>0</v>
      </c>
      <c r="AU72" s="107">
        <f t="shared" si="18"/>
        <v>0</v>
      </c>
      <c r="AV72" s="107">
        <f t="shared" si="18"/>
        <v>0</v>
      </c>
      <c r="AW72" s="107">
        <f t="shared" si="18"/>
        <v>0</v>
      </c>
    </row>
    <row r="74" spans="2:49">
      <c r="B74" s="318" t="s">
        <v>86</v>
      </c>
      <c r="C74" s="319"/>
      <c r="D74" s="108" t="e">
        <f>AVERAGEIF(E59:N59, "&gt;0")</f>
        <v>#DIV/0!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 t="s">
        <v>128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6" spans="2:49">
      <c r="B76" s="12" t="s">
        <v>87</v>
      </c>
      <c r="C76" s="13">
        <v>0.28999999999999998</v>
      </c>
      <c r="D76" s="14">
        <f>SUM(E76:N76)</f>
        <v>0</v>
      </c>
      <c r="E76" s="14">
        <f>E59*$C$76</f>
        <v>0</v>
      </c>
      <c r="F76" s="14">
        <f t="shared" ref="F76:AW76" si="19">F59*$C$76</f>
        <v>0</v>
      </c>
      <c r="G76" s="14">
        <f t="shared" si="19"/>
        <v>0</v>
      </c>
      <c r="H76" s="14">
        <f t="shared" si="19"/>
        <v>0</v>
      </c>
      <c r="I76" s="14">
        <f t="shared" si="19"/>
        <v>0</v>
      </c>
      <c r="J76" s="14">
        <f t="shared" si="19"/>
        <v>0</v>
      </c>
      <c r="K76" s="15">
        <f t="shared" si="19"/>
        <v>0</v>
      </c>
      <c r="L76" s="14">
        <f t="shared" si="19"/>
        <v>0</v>
      </c>
      <c r="M76" s="15">
        <f t="shared" si="19"/>
        <v>0</v>
      </c>
      <c r="N76" s="14">
        <f t="shared" si="19"/>
        <v>0</v>
      </c>
      <c r="O76" s="14">
        <f t="shared" si="19"/>
        <v>0</v>
      </c>
      <c r="P76" s="14">
        <f t="shared" si="19"/>
        <v>0</v>
      </c>
      <c r="Q76" s="14">
        <f t="shared" si="19"/>
        <v>0</v>
      </c>
      <c r="R76" s="14">
        <f t="shared" si="19"/>
        <v>0</v>
      </c>
      <c r="S76" s="14">
        <f t="shared" si="19"/>
        <v>0</v>
      </c>
      <c r="T76" s="14">
        <f t="shared" si="19"/>
        <v>0</v>
      </c>
      <c r="U76" s="14">
        <f t="shared" si="19"/>
        <v>0</v>
      </c>
      <c r="V76" s="14">
        <f t="shared" si="19"/>
        <v>0</v>
      </c>
      <c r="W76" s="14">
        <f t="shared" si="19"/>
        <v>0</v>
      </c>
      <c r="X76" s="14">
        <f t="shared" si="19"/>
        <v>0</v>
      </c>
      <c r="Y76" s="14">
        <f t="shared" si="19"/>
        <v>0</v>
      </c>
      <c r="Z76" s="14">
        <f t="shared" si="19"/>
        <v>0</v>
      </c>
      <c r="AA76" s="14">
        <f t="shared" si="19"/>
        <v>0</v>
      </c>
      <c r="AB76" s="14">
        <f t="shared" si="19"/>
        <v>0</v>
      </c>
      <c r="AC76" s="14">
        <f t="shared" si="19"/>
        <v>0</v>
      </c>
      <c r="AD76" s="14">
        <f t="shared" si="19"/>
        <v>0</v>
      </c>
      <c r="AE76" s="14">
        <f t="shared" si="19"/>
        <v>0</v>
      </c>
      <c r="AF76" s="14">
        <f t="shared" si="19"/>
        <v>0</v>
      </c>
      <c r="AG76" s="14">
        <f t="shared" si="19"/>
        <v>0</v>
      </c>
      <c r="AH76" s="14">
        <f t="shared" si="19"/>
        <v>0</v>
      </c>
      <c r="AI76" s="14">
        <f t="shared" si="19"/>
        <v>0</v>
      </c>
      <c r="AJ76" s="14">
        <f t="shared" si="19"/>
        <v>0</v>
      </c>
      <c r="AK76" s="14">
        <f t="shared" si="19"/>
        <v>0</v>
      </c>
      <c r="AL76" s="14">
        <f t="shared" si="19"/>
        <v>0</v>
      </c>
      <c r="AM76" s="14">
        <f t="shared" si="19"/>
        <v>0</v>
      </c>
      <c r="AN76" s="14">
        <f t="shared" si="19"/>
        <v>0</v>
      </c>
      <c r="AO76" s="14">
        <f t="shared" si="19"/>
        <v>0</v>
      </c>
      <c r="AP76" s="14">
        <f t="shared" si="19"/>
        <v>0</v>
      </c>
      <c r="AQ76" s="14">
        <f t="shared" si="19"/>
        <v>0</v>
      </c>
      <c r="AR76" s="14">
        <f t="shared" si="19"/>
        <v>0</v>
      </c>
      <c r="AS76" s="14">
        <f t="shared" si="19"/>
        <v>0</v>
      </c>
      <c r="AT76" s="14">
        <f t="shared" si="19"/>
        <v>0</v>
      </c>
      <c r="AU76" s="14">
        <f t="shared" si="19"/>
        <v>0</v>
      </c>
      <c r="AV76" s="14">
        <f t="shared" si="19"/>
        <v>0</v>
      </c>
      <c r="AW76" s="14">
        <f t="shared" si="19"/>
        <v>0</v>
      </c>
    </row>
    <row r="77" spans="2:49">
      <c r="B77" s="16" t="s">
        <v>88</v>
      </c>
      <c r="C77" s="17">
        <f>11800000/300</f>
        <v>39333.333333333336</v>
      </c>
      <c r="D77" s="18">
        <f>SUM(E77:N77)</f>
        <v>393333.33333333331</v>
      </c>
      <c r="E77" s="18">
        <f t="shared" ref="E77:AW77" si="20">$C$77</f>
        <v>39333.333333333336</v>
      </c>
      <c r="F77" s="18">
        <f t="shared" si="20"/>
        <v>39333.333333333336</v>
      </c>
      <c r="G77" s="18">
        <f t="shared" si="20"/>
        <v>39333.333333333336</v>
      </c>
      <c r="H77" s="18">
        <f t="shared" si="20"/>
        <v>39333.333333333336</v>
      </c>
      <c r="I77" s="18">
        <f t="shared" si="20"/>
        <v>39333.333333333336</v>
      </c>
      <c r="J77" s="18">
        <f t="shared" si="20"/>
        <v>39333.333333333336</v>
      </c>
      <c r="K77" s="19">
        <f t="shared" si="20"/>
        <v>39333.333333333336</v>
      </c>
      <c r="L77" s="18">
        <f t="shared" si="20"/>
        <v>39333.333333333336</v>
      </c>
      <c r="M77" s="19">
        <f t="shared" si="20"/>
        <v>39333.333333333336</v>
      </c>
      <c r="N77" s="18">
        <f t="shared" si="20"/>
        <v>39333.333333333336</v>
      </c>
      <c r="O77" s="18">
        <f t="shared" si="20"/>
        <v>39333.333333333336</v>
      </c>
      <c r="P77" s="18">
        <f t="shared" si="20"/>
        <v>39333.333333333336</v>
      </c>
      <c r="Q77" s="18">
        <f t="shared" si="20"/>
        <v>39333.333333333336</v>
      </c>
      <c r="R77" s="18">
        <f t="shared" si="20"/>
        <v>39333.333333333336</v>
      </c>
      <c r="S77" s="18">
        <f t="shared" si="20"/>
        <v>39333.333333333336</v>
      </c>
      <c r="T77" s="18">
        <f t="shared" si="20"/>
        <v>39333.333333333336</v>
      </c>
      <c r="U77" s="18">
        <f t="shared" si="20"/>
        <v>39333.333333333336</v>
      </c>
      <c r="V77" s="18">
        <f t="shared" si="20"/>
        <v>39333.333333333336</v>
      </c>
      <c r="W77" s="18">
        <f t="shared" si="20"/>
        <v>39333.333333333336</v>
      </c>
      <c r="X77" s="18">
        <f t="shared" si="20"/>
        <v>39333.333333333336</v>
      </c>
      <c r="Y77" s="18">
        <f t="shared" si="20"/>
        <v>39333.333333333336</v>
      </c>
      <c r="Z77" s="18">
        <f t="shared" si="20"/>
        <v>39333.333333333336</v>
      </c>
      <c r="AA77" s="18">
        <f t="shared" si="20"/>
        <v>39333.333333333336</v>
      </c>
      <c r="AB77" s="18">
        <f t="shared" si="20"/>
        <v>39333.333333333336</v>
      </c>
      <c r="AC77" s="18">
        <f t="shared" si="20"/>
        <v>39333.333333333336</v>
      </c>
      <c r="AD77" s="18">
        <f t="shared" si="20"/>
        <v>39333.333333333336</v>
      </c>
      <c r="AE77" s="18">
        <f t="shared" si="20"/>
        <v>39333.333333333336</v>
      </c>
      <c r="AF77" s="18">
        <f t="shared" si="20"/>
        <v>39333.333333333336</v>
      </c>
      <c r="AG77" s="18">
        <f t="shared" si="20"/>
        <v>39333.333333333336</v>
      </c>
      <c r="AH77" s="18">
        <f t="shared" si="20"/>
        <v>39333.333333333336</v>
      </c>
      <c r="AI77" s="18">
        <f t="shared" si="20"/>
        <v>39333.333333333336</v>
      </c>
      <c r="AJ77" s="18">
        <f t="shared" si="20"/>
        <v>39333.333333333336</v>
      </c>
      <c r="AK77" s="18">
        <f t="shared" si="20"/>
        <v>39333.333333333336</v>
      </c>
      <c r="AL77" s="18">
        <f t="shared" si="20"/>
        <v>39333.333333333336</v>
      </c>
      <c r="AM77" s="18">
        <f t="shared" si="20"/>
        <v>39333.333333333336</v>
      </c>
      <c r="AN77" s="18">
        <f t="shared" si="20"/>
        <v>39333.333333333336</v>
      </c>
      <c r="AO77" s="18">
        <f t="shared" si="20"/>
        <v>39333.333333333336</v>
      </c>
      <c r="AP77" s="18">
        <f t="shared" si="20"/>
        <v>39333.333333333336</v>
      </c>
      <c r="AQ77" s="18">
        <f t="shared" si="20"/>
        <v>39333.333333333336</v>
      </c>
      <c r="AR77" s="18">
        <f t="shared" si="20"/>
        <v>39333.333333333336</v>
      </c>
      <c r="AS77" s="18">
        <f t="shared" si="20"/>
        <v>39333.333333333336</v>
      </c>
      <c r="AT77" s="18">
        <f t="shared" si="20"/>
        <v>39333.333333333336</v>
      </c>
      <c r="AU77" s="18">
        <f t="shared" si="20"/>
        <v>39333.333333333336</v>
      </c>
      <c r="AV77" s="18">
        <f t="shared" si="20"/>
        <v>39333.333333333336</v>
      </c>
      <c r="AW77" s="18">
        <f t="shared" si="20"/>
        <v>39333.333333333336</v>
      </c>
    </row>
    <row r="78" spans="2:49">
      <c r="B78" s="16" t="s">
        <v>89</v>
      </c>
      <c r="C78" s="17">
        <f>11400000/300</f>
        <v>38000</v>
      </c>
      <c r="D78" s="18">
        <f>SUM(E78:N78)</f>
        <v>380000</v>
      </c>
      <c r="E78" s="18">
        <f t="shared" ref="E78:AW78" si="21">$C$78</f>
        <v>38000</v>
      </c>
      <c r="F78" s="18">
        <f t="shared" si="21"/>
        <v>38000</v>
      </c>
      <c r="G78" s="18">
        <f t="shared" si="21"/>
        <v>38000</v>
      </c>
      <c r="H78" s="18">
        <f t="shared" si="21"/>
        <v>38000</v>
      </c>
      <c r="I78" s="18">
        <f t="shared" si="21"/>
        <v>38000</v>
      </c>
      <c r="J78" s="18">
        <f t="shared" si="21"/>
        <v>38000</v>
      </c>
      <c r="K78" s="19">
        <f t="shared" si="21"/>
        <v>38000</v>
      </c>
      <c r="L78" s="18">
        <f t="shared" si="21"/>
        <v>38000</v>
      </c>
      <c r="M78" s="19">
        <f t="shared" si="21"/>
        <v>38000</v>
      </c>
      <c r="N78" s="18">
        <f t="shared" si="21"/>
        <v>38000</v>
      </c>
      <c r="O78" s="18">
        <f t="shared" si="21"/>
        <v>38000</v>
      </c>
      <c r="P78" s="18">
        <f t="shared" si="21"/>
        <v>38000</v>
      </c>
      <c r="Q78" s="18">
        <f t="shared" si="21"/>
        <v>38000</v>
      </c>
      <c r="R78" s="18">
        <f t="shared" si="21"/>
        <v>38000</v>
      </c>
      <c r="S78" s="18">
        <f t="shared" si="21"/>
        <v>38000</v>
      </c>
      <c r="T78" s="18">
        <f t="shared" si="21"/>
        <v>38000</v>
      </c>
      <c r="U78" s="18">
        <f t="shared" si="21"/>
        <v>38000</v>
      </c>
      <c r="V78" s="18">
        <f t="shared" si="21"/>
        <v>38000</v>
      </c>
      <c r="W78" s="18">
        <f t="shared" si="21"/>
        <v>38000</v>
      </c>
      <c r="X78" s="18">
        <f t="shared" si="21"/>
        <v>38000</v>
      </c>
      <c r="Y78" s="18">
        <f t="shared" si="21"/>
        <v>38000</v>
      </c>
      <c r="Z78" s="18">
        <f t="shared" si="21"/>
        <v>38000</v>
      </c>
      <c r="AA78" s="18">
        <f t="shared" si="21"/>
        <v>38000</v>
      </c>
      <c r="AB78" s="18">
        <f t="shared" si="21"/>
        <v>38000</v>
      </c>
      <c r="AC78" s="18">
        <f t="shared" si="21"/>
        <v>38000</v>
      </c>
      <c r="AD78" s="18">
        <f t="shared" si="21"/>
        <v>38000</v>
      </c>
      <c r="AE78" s="18">
        <f t="shared" si="21"/>
        <v>38000</v>
      </c>
      <c r="AF78" s="18">
        <f t="shared" si="21"/>
        <v>38000</v>
      </c>
      <c r="AG78" s="18">
        <f t="shared" si="21"/>
        <v>38000</v>
      </c>
      <c r="AH78" s="18">
        <f t="shared" si="21"/>
        <v>38000</v>
      </c>
      <c r="AI78" s="18">
        <f t="shared" si="21"/>
        <v>38000</v>
      </c>
      <c r="AJ78" s="18">
        <f t="shared" si="21"/>
        <v>38000</v>
      </c>
      <c r="AK78" s="18">
        <f t="shared" si="21"/>
        <v>38000</v>
      </c>
      <c r="AL78" s="18">
        <f t="shared" si="21"/>
        <v>38000</v>
      </c>
      <c r="AM78" s="18">
        <f t="shared" si="21"/>
        <v>38000</v>
      </c>
      <c r="AN78" s="18">
        <f t="shared" si="21"/>
        <v>38000</v>
      </c>
      <c r="AO78" s="18">
        <f t="shared" si="21"/>
        <v>38000</v>
      </c>
      <c r="AP78" s="18">
        <f t="shared" si="21"/>
        <v>38000</v>
      </c>
      <c r="AQ78" s="18">
        <f t="shared" si="21"/>
        <v>38000</v>
      </c>
      <c r="AR78" s="18">
        <f t="shared" si="21"/>
        <v>38000</v>
      </c>
      <c r="AS78" s="18">
        <f t="shared" si="21"/>
        <v>38000</v>
      </c>
      <c r="AT78" s="18">
        <f t="shared" si="21"/>
        <v>38000</v>
      </c>
      <c r="AU78" s="18">
        <f t="shared" si="21"/>
        <v>38000</v>
      </c>
      <c r="AV78" s="18">
        <f t="shared" si="21"/>
        <v>38000</v>
      </c>
      <c r="AW78" s="18">
        <f t="shared" si="21"/>
        <v>38000</v>
      </c>
    </row>
    <row r="79" spans="2:49">
      <c r="B79" s="20" t="s">
        <v>90</v>
      </c>
      <c r="C79" s="21">
        <v>8.8000000000000007</v>
      </c>
      <c r="D79" s="23">
        <f>SUM(E79:N79)</f>
        <v>0</v>
      </c>
      <c r="E79" s="23">
        <f t="shared" ref="E79:AW79" si="22">$C$79*E42</f>
        <v>0</v>
      </c>
      <c r="F79" s="23">
        <f t="shared" si="22"/>
        <v>0</v>
      </c>
      <c r="G79" s="23">
        <f t="shared" si="22"/>
        <v>0</v>
      </c>
      <c r="H79" s="23">
        <f t="shared" si="22"/>
        <v>0</v>
      </c>
      <c r="I79" s="23">
        <f t="shared" si="22"/>
        <v>0</v>
      </c>
      <c r="J79" s="23">
        <f t="shared" si="22"/>
        <v>0</v>
      </c>
      <c r="K79" s="22">
        <f t="shared" si="22"/>
        <v>0</v>
      </c>
      <c r="L79" s="23">
        <f t="shared" si="22"/>
        <v>0</v>
      </c>
      <c r="M79" s="22">
        <f t="shared" si="22"/>
        <v>0</v>
      </c>
      <c r="N79" s="23">
        <f t="shared" si="22"/>
        <v>0</v>
      </c>
      <c r="O79" s="23">
        <f t="shared" si="22"/>
        <v>0</v>
      </c>
      <c r="P79" s="23">
        <f t="shared" si="22"/>
        <v>0</v>
      </c>
      <c r="Q79" s="23">
        <f t="shared" si="22"/>
        <v>0</v>
      </c>
      <c r="R79" s="23">
        <f t="shared" si="22"/>
        <v>0</v>
      </c>
      <c r="S79" s="23">
        <f t="shared" si="22"/>
        <v>0</v>
      </c>
      <c r="T79" s="23">
        <f t="shared" si="22"/>
        <v>0</v>
      </c>
      <c r="U79" s="23">
        <f t="shared" si="22"/>
        <v>0</v>
      </c>
      <c r="V79" s="23">
        <f t="shared" si="22"/>
        <v>0</v>
      </c>
      <c r="W79" s="23">
        <f t="shared" si="22"/>
        <v>0</v>
      </c>
      <c r="X79" s="23">
        <f t="shared" si="22"/>
        <v>0</v>
      </c>
      <c r="Y79" s="23">
        <f t="shared" si="22"/>
        <v>0</v>
      </c>
      <c r="Z79" s="23">
        <f t="shared" si="22"/>
        <v>0</v>
      </c>
      <c r="AA79" s="23">
        <f t="shared" si="22"/>
        <v>0</v>
      </c>
      <c r="AB79" s="23">
        <f t="shared" si="22"/>
        <v>0</v>
      </c>
      <c r="AC79" s="23">
        <f t="shared" si="22"/>
        <v>0</v>
      </c>
      <c r="AD79" s="23">
        <f t="shared" si="22"/>
        <v>0</v>
      </c>
      <c r="AE79" s="23">
        <f t="shared" si="22"/>
        <v>0</v>
      </c>
      <c r="AF79" s="23">
        <f t="shared" si="22"/>
        <v>0</v>
      </c>
      <c r="AG79" s="23">
        <f t="shared" si="22"/>
        <v>0</v>
      </c>
      <c r="AH79" s="23">
        <f t="shared" si="22"/>
        <v>0</v>
      </c>
      <c r="AI79" s="23">
        <f t="shared" si="22"/>
        <v>0</v>
      </c>
      <c r="AJ79" s="23">
        <f t="shared" si="22"/>
        <v>0</v>
      </c>
      <c r="AK79" s="23">
        <f t="shared" si="22"/>
        <v>0</v>
      </c>
      <c r="AL79" s="23">
        <f t="shared" si="22"/>
        <v>0</v>
      </c>
      <c r="AM79" s="23">
        <f t="shared" si="22"/>
        <v>0</v>
      </c>
      <c r="AN79" s="23">
        <f t="shared" si="22"/>
        <v>0</v>
      </c>
      <c r="AO79" s="23">
        <f t="shared" si="22"/>
        <v>0</v>
      </c>
      <c r="AP79" s="23">
        <f t="shared" si="22"/>
        <v>0</v>
      </c>
      <c r="AQ79" s="23">
        <f t="shared" si="22"/>
        <v>0</v>
      </c>
      <c r="AR79" s="23">
        <f t="shared" si="22"/>
        <v>0</v>
      </c>
      <c r="AS79" s="23">
        <f t="shared" si="22"/>
        <v>0</v>
      </c>
      <c r="AT79" s="23">
        <f t="shared" si="22"/>
        <v>0</v>
      </c>
      <c r="AU79" s="23">
        <f t="shared" si="22"/>
        <v>0</v>
      </c>
      <c r="AV79" s="23">
        <f t="shared" si="22"/>
        <v>0</v>
      </c>
      <c r="AW79" s="23">
        <f t="shared" si="22"/>
        <v>0</v>
      </c>
    </row>
    <row r="80" spans="2:49">
      <c r="B80" s="24" t="s">
        <v>91</v>
      </c>
      <c r="C80" s="25">
        <f>SUM(E80:AK80)</f>
        <v>-2552000</v>
      </c>
      <c r="D80" s="174">
        <f>D59-D76-D77-D78-D79</f>
        <v>427166.66666666674</v>
      </c>
      <c r="E80" s="26">
        <f t="shared" ref="E80:AW80" si="23">E59-E76-E77-E78-E79</f>
        <v>-77333.333333333343</v>
      </c>
      <c r="F80" s="26">
        <f t="shared" si="23"/>
        <v>-77333.333333333343</v>
      </c>
      <c r="G80" s="26">
        <f>G59-G76-G77-G78-G79</f>
        <v>-77333.333333333343</v>
      </c>
      <c r="H80" s="26">
        <f t="shared" si="23"/>
        <v>-77333.333333333343</v>
      </c>
      <c r="I80" s="26">
        <f t="shared" si="23"/>
        <v>-77333.333333333343</v>
      </c>
      <c r="J80" s="26">
        <f t="shared" si="23"/>
        <v>-77333.333333333343</v>
      </c>
      <c r="K80" s="27">
        <f t="shared" si="23"/>
        <v>-77333.333333333343</v>
      </c>
      <c r="L80" s="26">
        <f t="shared" si="23"/>
        <v>-77333.333333333343</v>
      </c>
      <c r="M80" s="27">
        <f t="shared" si="23"/>
        <v>-77333.333333333343</v>
      </c>
      <c r="N80" s="26">
        <f t="shared" si="23"/>
        <v>-77333.333333333343</v>
      </c>
      <c r="O80" s="26">
        <f t="shared" si="23"/>
        <v>-77333.333333333343</v>
      </c>
      <c r="P80" s="26">
        <f t="shared" si="23"/>
        <v>-77333.333333333343</v>
      </c>
      <c r="Q80" s="26">
        <f t="shared" si="23"/>
        <v>-77333.333333333343</v>
      </c>
      <c r="R80" s="26">
        <f t="shared" si="23"/>
        <v>-77333.333333333343</v>
      </c>
      <c r="S80" s="26">
        <f t="shared" si="23"/>
        <v>-77333.333333333343</v>
      </c>
      <c r="T80" s="26">
        <f t="shared" si="23"/>
        <v>-77333.333333333343</v>
      </c>
      <c r="U80" s="26">
        <f t="shared" si="23"/>
        <v>-77333.333333333343</v>
      </c>
      <c r="V80" s="26">
        <f t="shared" si="23"/>
        <v>-77333.333333333343</v>
      </c>
      <c r="W80" s="26">
        <f t="shared" si="23"/>
        <v>-77333.333333333343</v>
      </c>
      <c r="X80" s="26">
        <f t="shared" si="23"/>
        <v>-77333.333333333343</v>
      </c>
      <c r="Y80" s="26">
        <f t="shared" si="23"/>
        <v>-77333.333333333343</v>
      </c>
      <c r="Z80" s="26">
        <f t="shared" si="23"/>
        <v>-77333.333333333343</v>
      </c>
      <c r="AA80" s="26">
        <f t="shared" si="23"/>
        <v>-77333.333333333343</v>
      </c>
      <c r="AB80" s="26">
        <f t="shared" si="23"/>
        <v>-77333.333333333343</v>
      </c>
      <c r="AC80" s="26">
        <f t="shared" si="23"/>
        <v>-77333.333333333343</v>
      </c>
      <c r="AD80" s="26">
        <f t="shared" si="23"/>
        <v>-77333.333333333343</v>
      </c>
      <c r="AE80" s="26">
        <f t="shared" si="23"/>
        <v>-77333.333333333343</v>
      </c>
      <c r="AF80" s="26">
        <f t="shared" si="23"/>
        <v>-77333.333333333343</v>
      </c>
      <c r="AG80" s="26">
        <f t="shared" si="23"/>
        <v>-77333.333333333343</v>
      </c>
      <c r="AH80" s="26">
        <f t="shared" si="23"/>
        <v>-77333.333333333343</v>
      </c>
      <c r="AI80" s="26">
        <f t="shared" si="23"/>
        <v>-77333.333333333343</v>
      </c>
      <c r="AJ80" s="26">
        <f t="shared" si="23"/>
        <v>-77333.333333333343</v>
      </c>
      <c r="AK80" s="26">
        <f t="shared" si="23"/>
        <v>-77333.333333333343</v>
      </c>
      <c r="AL80" s="26">
        <f t="shared" si="23"/>
        <v>-77333.333333333343</v>
      </c>
      <c r="AM80" s="26">
        <f t="shared" si="23"/>
        <v>-77333.333333333343</v>
      </c>
      <c r="AN80" s="26">
        <f t="shared" si="23"/>
        <v>-77333.333333333343</v>
      </c>
      <c r="AO80" s="26">
        <f t="shared" si="23"/>
        <v>-77333.333333333343</v>
      </c>
      <c r="AP80" s="26">
        <f t="shared" si="23"/>
        <v>-77333.333333333343</v>
      </c>
      <c r="AQ80" s="26">
        <f t="shared" si="23"/>
        <v>-77333.333333333343</v>
      </c>
      <c r="AR80" s="26">
        <f t="shared" si="23"/>
        <v>-77333.333333333343</v>
      </c>
      <c r="AS80" s="26">
        <f t="shared" si="23"/>
        <v>-77333.333333333343</v>
      </c>
      <c r="AT80" s="26">
        <f t="shared" si="23"/>
        <v>-77333.333333333343</v>
      </c>
      <c r="AU80" s="26">
        <f t="shared" si="23"/>
        <v>-77333.333333333343</v>
      </c>
      <c r="AV80" s="26">
        <f t="shared" si="23"/>
        <v>-77333.333333333343</v>
      </c>
      <c r="AW80" s="26">
        <f t="shared" si="23"/>
        <v>-77333.333333333343</v>
      </c>
    </row>
    <row r="81" spans="2:49">
      <c r="B81" s="320" t="s">
        <v>92</v>
      </c>
      <c r="C81" s="321"/>
      <c r="D81" s="326"/>
      <c r="E81" s="29">
        <f>E80</f>
        <v>-77333.333333333343</v>
      </c>
      <c r="F81" s="29">
        <f t="shared" ref="F81:AW81" si="24">F80+E81</f>
        <v>-154666.66666666669</v>
      </c>
      <c r="G81" s="29">
        <f t="shared" si="24"/>
        <v>-232000.00000000003</v>
      </c>
      <c r="H81" s="29">
        <f t="shared" si="24"/>
        <v>-309333.33333333337</v>
      </c>
      <c r="I81" s="29">
        <f t="shared" si="24"/>
        <v>-386666.66666666674</v>
      </c>
      <c r="J81" s="29">
        <f t="shared" si="24"/>
        <v>-464000.00000000012</v>
      </c>
      <c r="K81" s="28">
        <f t="shared" si="24"/>
        <v>-541333.33333333349</v>
      </c>
      <c r="L81" s="29">
        <f t="shared" si="24"/>
        <v>-618666.66666666686</v>
      </c>
      <c r="M81" s="28">
        <f t="shared" si="24"/>
        <v>-696000.00000000023</v>
      </c>
      <c r="N81" s="29">
        <f t="shared" si="24"/>
        <v>-773333.3333333336</v>
      </c>
      <c r="O81" s="29">
        <f t="shared" si="24"/>
        <v>-850666.66666666698</v>
      </c>
      <c r="P81" s="29">
        <f t="shared" si="24"/>
        <v>-928000.00000000035</v>
      </c>
      <c r="Q81" s="29">
        <f t="shared" si="24"/>
        <v>-1005333.3333333337</v>
      </c>
      <c r="R81" s="29">
        <f t="shared" si="24"/>
        <v>-1082666.666666667</v>
      </c>
      <c r="S81" s="29">
        <f t="shared" si="24"/>
        <v>-1160000.0000000002</v>
      </c>
      <c r="T81" s="29">
        <f t="shared" si="24"/>
        <v>-1237333.3333333335</v>
      </c>
      <c r="U81" s="29">
        <f t="shared" si="24"/>
        <v>-1314666.6666666667</v>
      </c>
      <c r="V81" s="29">
        <f t="shared" si="24"/>
        <v>-1392000</v>
      </c>
      <c r="W81" s="29">
        <f t="shared" si="24"/>
        <v>-1469333.3333333333</v>
      </c>
      <c r="X81" s="29">
        <f t="shared" si="24"/>
        <v>-1546666.6666666665</v>
      </c>
      <c r="Y81" s="29">
        <f t="shared" si="24"/>
        <v>-1623999.9999999998</v>
      </c>
      <c r="Z81" s="29">
        <f t="shared" si="24"/>
        <v>-1701333.333333333</v>
      </c>
      <c r="AA81" s="29">
        <f t="shared" si="24"/>
        <v>-1778666.6666666663</v>
      </c>
      <c r="AB81" s="29">
        <f t="shared" si="24"/>
        <v>-1855999.9999999995</v>
      </c>
      <c r="AC81" s="29">
        <f t="shared" si="24"/>
        <v>-1933333.3333333328</v>
      </c>
      <c r="AD81" s="29">
        <f t="shared" si="24"/>
        <v>-2010666.666666666</v>
      </c>
      <c r="AE81" s="29">
        <f t="shared" si="24"/>
        <v>-2087999.9999999993</v>
      </c>
      <c r="AF81" s="29">
        <f t="shared" si="24"/>
        <v>-2165333.3333333326</v>
      </c>
      <c r="AG81" s="29">
        <f t="shared" si="24"/>
        <v>-2242666.666666666</v>
      </c>
      <c r="AH81" s="29">
        <f t="shared" si="24"/>
        <v>-2319999.9999999995</v>
      </c>
      <c r="AI81" s="29">
        <f t="shared" si="24"/>
        <v>-2397333.333333333</v>
      </c>
      <c r="AJ81" s="29">
        <f t="shared" si="24"/>
        <v>-2474666.6666666665</v>
      </c>
      <c r="AK81" s="29">
        <f t="shared" si="24"/>
        <v>-2552000</v>
      </c>
      <c r="AL81" s="29">
        <f t="shared" si="24"/>
        <v>-2629333.3333333335</v>
      </c>
      <c r="AM81" s="29">
        <f t="shared" si="24"/>
        <v>-2706666.666666667</v>
      </c>
      <c r="AN81" s="29">
        <f t="shared" si="24"/>
        <v>-2784000.0000000005</v>
      </c>
      <c r="AO81" s="29">
        <f t="shared" si="24"/>
        <v>-2861333.333333334</v>
      </c>
      <c r="AP81" s="29">
        <f t="shared" si="24"/>
        <v>-2938666.6666666674</v>
      </c>
      <c r="AQ81" s="29">
        <f t="shared" si="24"/>
        <v>-3016000.0000000009</v>
      </c>
      <c r="AR81" s="29">
        <f t="shared" si="24"/>
        <v>-3093333.3333333344</v>
      </c>
      <c r="AS81" s="29">
        <f t="shared" si="24"/>
        <v>-3170666.6666666679</v>
      </c>
      <c r="AT81" s="29">
        <f t="shared" si="24"/>
        <v>-3248000.0000000014</v>
      </c>
      <c r="AU81" s="29">
        <f t="shared" si="24"/>
        <v>-3325333.3333333349</v>
      </c>
      <c r="AV81" s="29">
        <f t="shared" si="24"/>
        <v>-3402666.6666666684</v>
      </c>
      <c r="AW81" s="29">
        <f t="shared" si="24"/>
        <v>-3480000.0000000019</v>
      </c>
    </row>
    <row r="84" spans="2:49">
      <c r="B84" s="30" t="s">
        <v>93</v>
      </c>
      <c r="C84" s="31" t="e">
        <f>D42/D26</f>
        <v>#DIV/0!</v>
      </c>
    </row>
    <row r="93" spans="2:49">
      <c r="I93">
        <f>200/13</f>
        <v>15.384615384615385</v>
      </c>
      <c r="J93">
        <f>140/13</f>
        <v>10.76923076923077</v>
      </c>
    </row>
  </sheetData>
  <mergeCells count="6">
    <mergeCell ref="B81:D81"/>
    <mergeCell ref="A26:A38"/>
    <mergeCell ref="A42:A44"/>
    <mergeCell ref="A46:A51"/>
    <mergeCell ref="A53:A57"/>
    <mergeCell ref="B74:C74"/>
  </mergeCells>
  <conditionalFormatting sqref="D44:AW44">
    <cfRule type="cellIs" dxfId="1" priority="1" operator="lessThan">
      <formula>0.6</formula>
    </cfRule>
    <cfRule type="cellIs" dxfId="0" priority="2" operator="greaterThan">
      <formula>0.6</formula>
    </cfRule>
  </conditionalFormatting>
  <conditionalFormatting sqref="E81:AW81 B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E646-2D96-4882-9056-1F0A5478DBA9}">
  <dimension ref="A2:AF99"/>
  <sheetViews>
    <sheetView showGridLines="0" topLeftCell="A30" workbookViewId="0">
      <selection activeCell="F31" sqref="F31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6.28515625" bestFit="1" customWidth="1"/>
    <col min="5" max="5" width="14" bestFit="1" customWidth="1"/>
    <col min="6" max="6" width="13.5703125" bestFit="1" customWidth="1"/>
    <col min="7" max="7" width="16.42578125" bestFit="1" customWidth="1"/>
    <col min="8" max="8" width="16.5703125" bestFit="1" customWidth="1"/>
    <col min="9" max="12" width="13.85546875" bestFit="1" customWidth="1"/>
    <col min="13" max="13" width="12.7109375" customWidth="1"/>
  </cols>
  <sheetData>
    <row r="2" spans="2:32" ht="15.75">
      <c r="B2" s="54" t="s">
        <v>0</v>
      </c>
      <c r="C2" s="109" t="s">
        <v>1</v>
      </c>
    </row>
    <row r="3" spans="2:32" ht="15.75">
      <c r="B3" s="54" t="s">
        <v>2</v>
      </c>
      <c r="C3" s="109"/>
    </row>
    <row r="4" spans="2:32" ht="15.75">
      <c r="B4" s="54" t="s">
        <v>3</v>
      </c>
      <c r="C4" s="110"/>
    </row>
    <row r="5" spans="2:32" ht="15.75">
      <c r="B5" s="54" t="s">
        <v>4</v>
      </c>
      <c r="C5" s="110"/>
    </row>
    <row r="6" spans="2:32" ht="15.75">
      <c r="B6" s="179" t="s">
        <v>230</v>
      </c>
      <c r="C6" s="110"/>
    </row>
    <row r="7" spans="2:32" ht="15.75">
      <c r="B7" s="2"/>
      <c r="C7" s="2"/>
    </row>
    <row r="8" spans="2:32" ht="15.75">
      <c r="B8" s="54" t="s">
        <v>5</v>
      </c>
      <c r="D8" s="41" t="s">
        <v>6</v>
      </c>
      <c r="E8" s="42">
        <v>44943</v>
      </c>
      <c r="F8" s="42">
        <v>44944</v>
      </c>
      <c r="G8" s="42">
        <v>44945</v>
      </c>
      <c r="H8" s="42">
        <v>44946</v>
      </c>
      <c r="I8" s="42">
        <v>44947</v>
      </c>
      <c r="J8" s="42">
        <v>44948</v>
      </c>
      <c r="K8" s="42">
        <v>44949</v>
      </c>
      <c r="L8" s="42">
        <v>44950</v>
      </c>
      <c r="M8" s="42">
        <v>44951</v>
      </c>
      <c r="N8" s="42">
        <v>44952</v>
      </c>
      <c r="O8" s="42">
        <v>44953</v>
      </c>
      <c r="P8" s="42">
        <v>44954</v>
      </c>
      <c r="Q8" s="42">
        <v>44955</v>
      </c>
      <c r="R8" s="42">
        <v>44956</v>
      </c>
      <c r="S8" s="42">
        <v>44957</v>
      </c>
      <c r="T8" s="42">
        <v>44958</v>
      </c>
      <c r="U8" s="42">
        <v>44959</v>
      </c>
      <c r="V8" s="42">
        <v>44960</v>
      </c>
      <c r="W8" s="42">
        <v>44961</v>
      </c>
      <c r="X8" s="42">
        <v>44962</v>
      </c>
      <c r="Y8" s="42">
        <v>44963</v>
      </c>
      <c r="Z8" s="42">
        <v>44964</v>
      </c>
      <c r="AA8" s="42">
        <v>44965</v>
      </c>
      <c r="AB8" s="42">
        <v>44966</v>
      </c>
      <c r="AC8" s="42">
        <v>44967</v>
      </c>
      <c r="AD8" s="42">
        <v>44968</v>
      </c>
      <c r="AE8" s="42">
        <v>44969</v>
      </c>
      <c r="AF8" s="42">
        <v>44970</v>
      </c>
    </row>
    <row r="9" spans="2:32">
      <c r="B9" s="46" t="s">
        <v>7</v>
      </c>
      <c r="C9" s="47" t="s">
        <v>8</v>
      </c>
      <c r="D9" s="71">
        <f>SUM(E9:N9)</f>
        <v>198</v>
      </c>
      <c r="E9" s="114">
        <v>12</v>
      </c>
      <c r="F9" s="114">
        <v>24</v>
      </c>
      <c r="G9" s="114">
        <v>24</v>
      </c>
      <c r="H9" s="114">
        <v>24</v>
      </c>
      <c r="I9" s="114">
        <v>24</v>
      </c>
      <c r="J9" s="114">
        <v>6</v>
      </c>
      <c r="K9" s="114">
        <v>24</v>
      </c>
      <c r="L9" s="114">
        <v>24</v>
      </c>
      <c r="M9" s="114">
        <v>24</v>
      </c>
      <c r="N9" s="114">
        <v>12</v>
      </c>
      <c r="O9" s="114">
        <v>12</v>
      </c>
      <c r="P9" s="114">
        <v>0</v>
      </c>
      <c r="Q9" s="114">
        <v>12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18</v>
      </c>
      <c r="Y9" s="114">
        <v>15</v>
      </c>
      <c r="Z9" s="114">
        <v>24</v>
      </c>
      <c r="AA9" s="114">
        <v>20</v>
      </c>
      <c r="AB9" s="114">
        <v>24</v>
      </c>
      <c r="AC9" s="114">
        <v>24</v>
      </c>
      <c r="AD9" s="114">
        <v>24</v>
      </c>
      <c r="AE9" s="114">
        <v>5</v>
      </c>
      <c r="AF9" s="114">
        <v>0</v>
      </c>
    </row>
    <row r="10" spans="2:32">
      <c r="B10" s="48" t="s">
        <v>9</v>
      </c>
      <c r="C10" s="38" t="s">
        <v>8</v>
      </c>
      <c r="D10" s="71">
        <f t="shared" ref="D10:D16" si="0">SUM(E10:K10)</f>
        <v>12</v>
      </c>
      <c r="E10" s="115">
        <v>12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12</v>
      </c>
      <c r="O10" s="115">
        <v>12</v>
      </c>
      <c r="P10" s="115">
        <v>24</v>
      </c>
      <c r="Q10" s="115">
        <v>10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6</v>
      </c>
      <c r="Y10" s="115">
        <v>9</v>
      </c>
      <c r="Z10" s="115">
        <v>0</v>
      </c>
      <c r="AA10" s="115">
        <v>4</v>
      </c>
      <c r="AB10" s="115">
        <v>0</v>
      </c>
      <c r="AC10" s="115">
        <v>0</v>
      </c>
      <c r="AD10" s="115">
        <v>0</v>
      </c>
      <c r="AE10" s="115">
        <v>19</v>
      </c>
      <c r="AF10" s="115">
        <v>0</v>
      </c>
    </row>
    <row r="11" spans="2:32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</row>
    <row r="12" spans="2:32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24</v>
      </c>
    </row>
    <row r="13" spans="2:32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</row>
    <row r="14" spans="2:32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</row>
    <row r="15" spans="2:32">
      <c r="B15" s="49" t="s">
        <v>14</v>
      </c>
      <c r="C15" s="40" t="s">
        <v>8</v>
      </c>
      <c r="D15" s="71">
        <f t="shared" si="0"/>
        <v>18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18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</row>
    <row r="16" spans="2:32">
      <c r="B16" s="68" t="s">
        <v>15</v>
      </c>
      <c r="C16" s="69" t="s">
        <v>8</v>
      </c>
      <c r="D16" s="70">
        <f t="shared" si="0"/>
        <v>168</v>
      </c>
      <c r="E16" s="117">
        <f t="shared" ref="E16:AF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22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</row>
    <row r="18" spans="1:32">
      <c r="B18" s="50" t="s">
        <v>16</v>
      </c>
      <c r="C18" s="50" t="s">
        <v>0</v>
      </c>
      <c r="D18" s="58">
        <f>SUM(E18:K18)</f>
        <v>0</v>
      </c>
      <c r="E18" s="127" t="s">
        <v>263</v>
      </c>
      <c r="F18" s="127" t="s">
        <v>264</v>
      </c>
      <c r="G18" s="127" t="s">
        <v>264</v>
      </c>
      <c r="H18" s="127" t="s">
        <v>264</v>
      </c>
      <c r="I18" s="127" t="s">
        <v>264</v>
      </c>
      <c r="J18" s="127" t="s">
        <v>265</v>
      </c>
      <c r="K18" s="127" t="s">
        <v>265</v>
      </c>
      <c r="L18" s="127" t="s">
        <v>264</v>
      </c>
      <c r="M18" s="127" t="s">
        <v>264</v>
      </c>
      <c r="N18" s="127" t="s">
        <v>264</v>
      </c>
      <c r="O18" s="127" t="s">
        <v>18</v>
      </c>
      <c r="P18" s="127">
        <v>0</v>
      </c>
      <c r="Q18" s="127" t="s">
        <v>21</v>
      </c>
      <c r="R18" s="127" t="s">
        <v>21</v>
      </c>
      <c r="S18" s="127" t="s">
        <v>21</v>
      </c>
      <c r="T18" s="127" t="s">
        <v>21</v>
      </c>
      <c r="U18" s="127" t="s">
        <v>21</v>
      </c>
      <c r="V18" s="127" t="s">
        <v>22</v>
      </c>
      <c r="W18" s="127" t="s">
        <v>22</v>
      </c>
      <c r="X18" s="127" t="s">
        <v>266</v>
      </c>
      <c r="Y18" s="127" t="s">
        <v>266</v>
      </c>
      <c r="Z18" s="127" t="s">
        <v>267</v>
      </c>
      <c r="AA18" s="127" t="s">
        <v>267</v>
      </c>
      <c r="AB18" s="127" t="s">
        <v>268</v>
      </c>
      <c r="AC18" s="127" t="s">
        <v>268</v>
      </c>
      <c r="AD18" s="127" t="s">
        <v>268</v>
      </c>
      <c r="AE18" s="127" t="s">
        <v>268</v>
      </c>
      <c r="AF18" s="127">
        <v>0</v>
      </c>
    </row>
    <row r="19" spans="1:32">
      <c r="B19" s="37" t="s">
        <v>31</v>
      </c>
      <c r="C19" s="37" t="s">
        <v>32</v>
      </c>
      <c r="D19" s="131">
        <f>SUM(E19:K19)</f>
        <v>84</v>
      </c>
      <c r="E19" s="162">
        <v>5</v>
      </c>
      <c r="F19" s="162">
        <v>22</v>
      </c>
      <c r="G19" s="162" t="s">
        <v>248</v>
      </c>
      <c r="H19" s="162">
        <v>15</v>
      </c>
      <c r="I19" s="162">
        <v>22</v>
      </c>
      <c r="J19" s="162" t="s">
        <v>190</v>
      </c>
      <c r="K19" s="162">
        <v>20</v>
      </c>
      <c r="L19" s="162">
        <v>23</v>
      </c>
      <c r="M19" s="162">
        <v>20</v>
      </c>
      <c r="N19" s="162">
        <v>11</v>
      </c>
      <c r="O19" s="162">
        <v>11</v>
      </c>
      <c r="P19" s="162">
        <v>0</v>
      </c>
      <c r="Q19" s="162">
        <v>7</v>
      </c>
      <c r="R19" s="162">
        <v>19</v>
      </c>
      <c r="S19" s="162">
        <v>18</v>
      </c>
      <c r="T19" s="162">
        <v>16</v>
      </c>
      <c r="U19" s="162" t="s">
        <v>186</v>
      </c>
      <c r="V19" s="162">
        <v>18</v>
      </c>
      <c r="W19" s="162">
        <v>19</v>
      </c>
      <c r="X19" s="162" t="s">
        <v>181</v>
      </c>
      <c r="Y19" s="162" t="s">
        <v>181</v>
      </c>
      <c r="Z19" s="162">
        <v>17</v>
      </c>
      <c r="AA19" s="162">
        <v>18</v>
      </c>
      <c r="AB19" s="162" t="s">
        <v>34</v>
      </c>
      <c r="AC19" s="162">
        <v>17</v>
      </c>
      <c r="AD19" s="162">
        <v>17</v>
      </c>
      <c r="AE19" s="162" t="s">
        <v>269</v>
      </c>
      <c r="AF19" s="162">
        <v>0</v>
      </c>
    </row>
    <row r="20" spans="1:32">
      <c r="B20" s="37" t="s">
        <v>35</v>
      </c>
      <c r="C20" s="37" t="s">
        <v>36</v>
      </c>
      <c r="D20" s="131">
        <f>SUM(E20:K20)</f>
        <v>21</v>
      </c>
      <c r="E20" s="162">
        <v>1</v>
      </c>
      <c r="F20" s="162">
        <v>4</v>
      </c>
      <c r="G20" s="162">
        <v>4</v>
      </c>
      <c r="H20" s="162">
        <v>3</v>
      </c>
      <c r="I20" s="162">
        <v>4</v>
      </c>
      <c r="J20" s="162">
        <v>1</v>
      </c>
      <c r="K20" s="162">
        <v>4</v>
      </c>
      <c r="L20" s="162">
        <v>5</v>
      </c>
      <c r="M20" s="162">
        <v>4</v>
      </c>
      <c r="N20" s="162">
        <v>2</v>
      </c>
      <c r="O20" s="162">
        <v>2</v>
      </c>
      <c r="P20" s="162">
        <v>0</v>
      </c>
      <c r="Q20" s="162">
        <v>2</v>
      </c>
      <c r="R20" s="162">
        <v>5</v>
      </c>
      <c r="S20" s="162">
        <v>4</v>
      </c>
      <c r="T20" s="162">
        <v>4</v>
      </c>
      <c r="U20" s="162">
        <v>4</v>
      </c>
      <c r="V20" s="162">
        <v>4</v>
      </c>
      <c r="W20" s="162">
        <v>3</v>
      </c>
      <c r="X20" s="162">
        <v>3</v>
      </c>
      <c r="Y20" s="162">
        <v>3</v>
      </c>
      <c r="Z20" s="162">
        <v>3</v>
      </c>
      <c r="AA20" s="162">
        <v>3</v>
      </c>
      <c r="AB20" s="162">
        <v>4</v>
      </c>
      <c r="AC20" s="162">
        <v>3</v>
      </c>
      <c r="AD20" s="162">
        <v>3</v>
      </c>
      <c r="AE20" s="162">
        <v>1</v>
      </c>
      <c r="AF20" s="162">
        <v>0</v>
      </c>
    </row>
    <row r="21" spans="1:32">
      <c r="B21" s="39" t="s">
        <v>37</v>
      </c>
      <c r="C21" s="39" t="s">
        <v>38</v>
      </c>
      <c r="D21" s="67">
        <f>SUM(E21:K21)</f>
        <v>0</v>
      </c>
      <c r="E21" s="129" t="s">
        <v>40</v>
      </c>
      <c r="F21" s="129" t="s">
        <v>40</v>
      </c>
      <c r="G21" s="129" t="s">
        <v>227</v>
      </c>
      <c r="H21" s="129" t="s">
        <v>40</v>
      </c>
      <c r="I21" s="129" t="s">
        <v>40</v>
      </c>
      <c r="J21" s="129" t="s">
        <v>40</v>
      </c>
      <c r="K21" s="129" t="s">
        <v>40</v>
      </c>
      <c r="L21" s="129" t="s">
        <v>40</v>
      </c>
      <c r="M21" s="129" t="s">
        <v>40</v>
      </c>
      <c r="N21" s="129" t="s">
        <v>40</v>
      </c>
      <c r="O21" s="129" t="s">
        <v>40</v>
      </c>
      <c r="P21" s="129">
        <v>0</v>
      </c>
      <c r="Q21" s="129" t="s">
        <v>40</v>
      </c>
      <c r="R21" s="129" t="s">
        <v>227</v>
      </c>
      <c r="S21" s="129" t="s">
        <v>227</v>
      </c>
      <c r="T21" s="129" t="s">
        <v>227</v>
      </c>
      <c r="U21" s="129" t="s">
        <v>40</v>
      </c>
      <c r="V21" s="129" t="s">
        <v>227</v>
      </c>
      <c r="W21" s="129" t="s">
        <v>227</v>
      </c>
      <c r="X21" s="129" t="s">
        <v>40</v>
      </c>
      <c r="Y21" s="129" t="s">
        <v>40</v>
      </c>
      <c r="Z21" s="129" t="s">
        <v>227</v>
      </c>
      <c r="AA21" s="129" t="s">
        <v>40</v>
      </c>
      <c r="AB21" s="129" t="s">
        <v>227</v>
      </c>
      <c r="AC21" s="129" t="s">
        <v>227</v>
      </c>
      <c r="AD21" s="129" t="s">
        <v>227</v>
      </c>
      <c r="AE21" s="129" t="s">
        <v>227</v>
      </c>
      <c r="AF21" s="129">
        <v>0</v>
      </c>
    </row>
    <row r="22" spans="1:32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4" spans="1:32">
      <c r="B24" s="167" t="s">
        <v>43</v>
      </c>
      <c r="C24" s="168">
        <f>D26/D19</f>
        <v>9219.4523809523816</v>
      </c>
    </row>
    <row r="25" spans="1:32">
      <c r="D25" s="10"/>
    </row>
    <row r="26" spans="1:32">
      <c r="A26" s="312" t="s">
        <v>44</v>
      </c>
      <c r="B26" s="35" t="s">
        <v>45</v>
      </c>
      <c r="C26" s="35"/>
      <c r="D26" s="175">
        <f t="shared" ref="D26:D38" si="2">SUM(E26:AF26)</f>
        <v>774434</v>
      </c>
      <c r="E26" s="75">
        <f t="shared" ref="E26:AF26" si="3">SUM(E27:E38)</f>
        <v>4719</v>
      </c>
      <c r="F26" s="175">
        <f t="shared" si="3"/>
        <v>25141</v>
      </c>
      <c r="G26" s="75">
        <f t="shared" si="3"/>
        <v>17537</v>
      </c>
      <c r="H26" s="175">
        <f t="shared" si="3"/>
        <v>19010</v>
      </c>
      <c r="I26" s="75">
        <f t="shared" si="3"/>
        <v>22424</v>
      </c>
      <c r="J26" s="175">
        <f t="shared" si="3"/>
        <v>3593</v>
      </c>
      <c r="K26" s="75">
        <f t="shared" si="3"/>
        <v>13123</v>
      </c>
      <c r="L26" s="175">
        <f t="shared" si="3"/>
        <v>26830</v>
      </c>
      <c r="M26" s="75">
        <f t="shared" si="3"/>
        <v>15594</v>
      </c>
      <c r="N26" s="175">
        <f t="shared" si="3"/>
        <v>13010</v>
      </c>
      <c r="O26" s="75">
        <f t="shared" si="3"/>
        <v>16438</v>
      </c>
      <c r="P26" s="175">
        <f t="shared" si="3"/>
        <v>0</v>
      </c>
      <c r="Q26" s="75">
        <f t="shared" si="3"/>
        <v>33160</v>
      </c>
      <c r="R26" s="175">
        <f t="shared" si="3"/>
        <v>64801</v>
      </c>
      <c r="S26" s="75">
        <f t="shared" si="3"/>
        <v>45182</v>
      </c>
      <c r="T26" s="175">
        <f t="shared" si="3"/>
        <v>66138</v>
      </c>
      <c r="U26" s="75">
        <f t="shared" si="3"/>
        <v>74610</v>
      </c>
      <c r="V26" s="175">
        <f t="shared" si="3"/>
        <v>55378</v>
      </c>
      <c r="W26" s="75">
        <f t="shared" si="3"/>
        <v>47457</v>
      </c>
      <c r="X26" s="175">
        <f t="shared" si="3"/>
        <v>25973</v>
      </c>
      <c r="Y26" s="75">
        <f t="shared" si="3"/>
        <v>25061</v>
      </c>
      <c r="Z26" s="175">
        <f t="shared" si="3"/>
        <v>34715</v>
      </c>
      <c r="AA26" s="75">
        <f t="shared" si="3"/>
        <v>18725</v>
      </c>
      <c r="AB26" s="175">
        <f t="shared" si="3"/>
        <v>37280</v>
      </c>
      <c r="AC26" s="75">
        <f t="shared" si="3"/>
        <v>28009</v>
      </c>
      <c r="AD26" s="175">
        <f t="shared" si="3"/>
        <v>34012</v>
      </c>
      <c r="AE26" s="75">
        <f t="shared" si="3"/>
        <v>6514</v>
      </c>
      <c r="AF26" s="175">
        <f t="shared" si="3"/>
        <v>0</v>
      </c>
    </row>
    <row r="27" spans="1:32">
      <c r="A27" s="313"/>
      <c r="B27" s="37" t="s">
        <v>47</v>
      </c>
      <c r="C27" s="38" t="s">
        <v>48</v>
      </c>
      <c r="D27" s="73">
        <f t="shared" si="2"/>
        <v>255221</v>
      </c>
      <c r="E27" s="55">
        <v>141</v>
      </c>
      <c r="F27" s="55">
        <v>1020</v>
      </c>
      <c r="G27" s="55">
        <v>762</v>
      </c>
      <c r="H27" s="55">
        <v>643</v>
      </c>
      <c r="I27" s="55">
        <v>930</v>
      </c>
      <c r="J27" s="55">
        <v>164</v>
      </c>
      <c r="K27" s="55">
        <v>515</v>
      </c>
      <c r="L27" s="55">
        <v>808</v>
      </c>
      <c r="M27" s="55">
        <v>248</v>
      </c>
      <c r="N27" s="55">
        <v>372</v>
      </c>
      <c r="O27" s="55">
        <v>186</v>
      </c>
      <c r="P27" s="55">
        <v>0</v>
      </c>
      <c r="Q27" s="55">
        <v>13074</v>
      </c>
      <c r="R27" s="55">
        <v>15946</v>
      </c>
      <c r="S27" s="55">
        <v>15049</v>
      </c>
      <c r="T27" s="55">
        <v>28421</v>
      </c>
      <c r="U27" s="55">
        <v>42496</v>
      </c>
      <c r="V27" s="55">
        <v>22210</v>
      </c>
      <c r="W27" s="55">
        <v>15387</v>
      </c>
      <c r="X27" s="55">
        <v>6678</v>
      </c>
      <c r="Y27" s="55">
        <v>6809</v>
      </c>
      <c r="Z27" s="55">
        <v>21735</v>
      </c>
      <c r="AA27" s="55">
        <v>9503</v>
      </c>
      <c r="AB27" s="55">
        <v>12198</v>
      </c>
      <c r="AC27" s="55">
        <v>15668</v>
      </c>
      <c r="AD27" s="55">
        <v>21490</v>
      </c>
      <c r="AE27" s="55">
        <v>2768</v>
      </c>
      <c r="AF27" s="55">
        <v>0</v>
      </c>
    </row>
    <row r="28" spans="1:32">
      <c r="A28" s="313"/>
      <c r="B28" s="37" t="s">
        <v>49</v>
      </c>
      <c r="C28" s="38" t="s">
        <v>48</v>
      </c>
      <c r="D28" s="73">
        <f t="shared" si="2"/>
        <v>135600</v>
      </c>
      <c r="E28" s="55">
        <v>144</v>
      </c>
      <c r="F28" s="55">
        <v>864</v>
      </c>
      <c r="G28" s="55">
        <v>1344</v>
      </c>
      <c r="H28" s="55">
        <v>528</v>
      </c>
      <c r="I28" s="55">
        <v>624</v>
      </c>
      <c r="J28" s="55">
        <v>48</v>
      </c>
      <c r="K28" s="55">
        <v>720</v>
      </c>
      <c r="L28" s="55">
        <v>288</v>
      </c>
      <c r="M28" s="55">
        <v>720</v>
      </c>
      <c r="N28" s="55">
        <v>1632</v>
      </c>
      <c r="O28" s="55">
        <v>912</v>
      </c>
      <c r="P28" s="55">
        <v>0</v>
      </c>
      <c r="Q28" s="55">
        <v>4128</v>
      </c>
      <c r="R28" s="55">
        <v>6816</v>
      </c>
      <c r="S28" s="55">
        <v>14544</v>
      </c>
      <c r="T28" s="55">
        <v>19920</v>
      </c>
      <c r="U28" s="55">
        <v>23184</v>
      </c>
      <c r="V28" s="55">
        <v>20064</v>
      </c>
      <c r="W28" s="55">
        <v>21216</v>
      </c>
      <c r="X28" s="55">
        <v>3552</v>
      </c>
      <c r="Y28" s="55">
        <v>384</v>
      </c>
      <c r="Z28" s="55">
        <v>1536</v>
      </c>
      <c r="AA28" s="55">
        <v>720</v>
      </c>
      <c r="AB28" s="55">
        <v>5136</v>
      </c>
      <c r="AC28" s="55">
        <v>3648</v>
      </c>
      <c r="AD28" s="55">
        <v>2448</v>
      </c>
      <c r="AE28" s="55">
        <v>480</v>
      </c>
      <c r="AF28" s="55">
        <v>0</v>
      </c>
    </row>
    <row r="29" spans="1:32">
      <c r="A29" s="313"/>
      <c r="B29" s="37" t="s">
        <v>50</v>
      </c>
      <c r="C29" s="38" t="s">
        <v>48</v>
      </c>
      <c r="D29" s="73">
        <f t="shared" si="2"/>
        <v>194082</v>
      </c>
      <c r="E29" s="55">
        <v>0</v>
      </c>
      <c r="F29" s="55">
        <v>0</v>
      </c>
      <c r="G29" s="55"/>
      <c r="H29" s="55">
        <v>0</v>
      </c>
      <c r="I29" s="55"/>
      <c r="J29" s="55"/>
      <c r="K29" s="55"/>
      <c r="L29" s="55"/>
      <c r="M29" s="55"/>
      <c r="N29" s="55">
        <v>9872</v>
      </c>
      <c r="O29" s="55">
        <v>14564</v>
      </c>
      <c r="P29" s="55">
        <v>0</v>
      </c>
      <c r="Q29" s="55">
        <v>8939</v>
      </c>
      <c r="R29" s="55">
        <v>40366</v>
      </c>
      <c r="S29" s="55">
        <v>11811</v>
      </c>
      <c r="T29" s="55">
        <v>16900</v>
      </c>
      <c r="U29" s="55">
        <v>7492</v>
      </c>
      <c r="V29" s="55">
        <v>10298</v>
      </c>
      <c r="W29" s="55">
        <v>5242</v>
      </c>
      <c r="X29" s="55">
        <v>14533</v>
      </c>
      <c r="Y29" s="55">
        <v>17404</v>
      </c>
      <c r="Z29" s="55">
        <v>1748</v>
      </c>
      <c r="AA29" s="55">
        <v>506</v>
      </c>
      <c r="AB29" s="55">
        <v>18860</v>
      </c>
      <c r="AC29" s="55">
        <v>7449</v>
      </c>
      <c r="AD29" s="55">
        <v>5108</v>
      </c>
      <c r="AE29" s="55">
        <v>2990</v>
      </c>
      <c r="AF29" s="55">
        <v>0</v>
      </c>
    </row>
    <row r="30" spans="1:32">
      <c r="A30" s="313"/>
      <c r="B30" s="37" t="s">
        <v>51</v>
      </c>
      <c r="C30" s="38" t="s">
        <v>48</v>
      </c>
      <c r="D30" s="73">
        <f t="shared" si="2"/>
        <v>133030</v>
      </c>
      <c r="E30" s="55">
        <v>4384</v>
      </c>
      <c r="F30" s="55">
        <v>22447</v>
      </c>
      <c r="G30" s="55">
        <v>14511</v>
      </c>
      <c r="H30" s="55">
        <v>17394</v>
      </c>
      <c r="I30" s="55">
        <v>20296</v>
      </c>
      <c r="J30" s="55">
        <v>3015</v>
      </c>
      <c r="K30" s="55">
        <v>11198</v>
      </c>
      <c r="L30" s="55">
        <v>25349</v>
      </c>
      <c r="M30" s="55">
        <v>14436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/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</row>
    <row r="31" spans="1:32">
      <c r="A31" s="313"/>
      <c r="B31" s="37" t="s">
        <v>52</v>
      </c>
      <c r="C31" s="38" t="s">
        <v>48</v>
      </c>
      <c r="D31" s="73">
        <f t="shared" si="2"/>
        <v>35236</v>
      </c>
      <c r="E31" s="55">
        <v>0</v>
      </c>
      <c r="F31" s="55">
        <v>0</v>
      </c>
      <c r="G31" s="55"/>
      <c r="H31" s="55"/>
      <c r="I31" s="55"/>
      <c r="J31" s="55">
        <v>36</v>
      </c>
      <c r="K31" s="55"/>
      <c r="L31" s="55"/>
      <c r="M31" s="55"/>
      <c r="N31" s="55">
        <v>0</v>
      </c>
      <c r="O31" s="55">
        <v>0</v>
      </c>
      <c r="P31" s="55">
        <v>0</v>
      </c>
      <c r="Q31" s="55">
        <v>6560</v>
      </c>
      <c r="R31" s="55">
        <v>860</v>
      </c>
      <c r="S31" s="55">
        <v>2660</v>
      </c>
      <c r="T31" s="55">
        <v>280</v>
      </c>
      <c r="U31" s="55">
        <v>140</v>
      </c>
      <c r="V31" s="55">
        <v>1500</v>
      </c>
      <c r="W31" s="55">
        <v>3140</v>
      </c>
      <c r="X31" s="55">
        <v>440</v>
      </c>
      <c r="Y31" s="55">
        <v>200</v>
      </c>
      <c r="Z31" s="55">
        <v>8260</v>
      </c>
      <c r="AA31" s="55">
        <v>7540</v>
      </c>
      <c r="AB31" s="55">
        <v>60</v>
      </c>
      <c r="AC31" s="55">
        <v>420</v>
      </c>
      <c r="AD31" s="55">
        <v>3080</v>
      </c>
      <c r="AE31" s="55">
        <v>60</v>
      </c>
      <c r="AF31" s="55">
        <v>0</v>
      </c>
    </row>
    <row r="32" spans="1:32">
      <c r="A32" s="313"/>
      <c r="B32" s="37" t="s">
        <v>53</v>
      </c>
      <c r="C32" s="38" t="s">
        <v>48</v>
      </c>
      <c r="D32" s="73">
        <f t="shared" si="2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</row>
    <row r="33" spans="1:32">
      <c r="A33" s="313"/>
      <c r="B33" s="37" t="s">
        <v>54</v>
      </c>
      <c r="C33" s="38" t="s">
        <v>48</v>
      </c>
      <c r="D33" s="73">
        <f t="shared" si="2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</row>
    <row r="34" spans="1:32">
      <c r="A34" s="313"/>
      <c r="B34" s="37" t="s">
        <v>55</v>
      </c>
      <c r="C34" s="38" t="s">
        <v>48</v>
      </c>
      <c r="D34" s="73">
        <f t="shared" si="2"/>
        <v>3473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315</v>
      </c>
      <c r="R34" s="55">
        <v>309</v>
      </c>
      <c r="S34" s="55">
        <v>166</v>
      </c>
      <c r="T34" s="55">
        <v>563</v>
      </c>
      <c r="U34" s="55">
        <v>290</v>
      </c>
      <c r="V34" s="55">
        <v>0</v>
      </c>
      <c r="W34" s="55">
        <v>1578</v>
      </c>
      <c r="X34" s="55">
        <v>210</v>
      </c>
      <c r="Y34" s="55">
        <v>0</v>
      </c>
      <c r="Z34" s="55">
        <v>42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</row>
    <row r="35" spans="1:32">
      <c r="A35" s="313"/>
      <c r="B35" s="37" t="s">
        <v>56</v>
      </c>
      <c r="C35" s="38" t="s">
        <v>48</v>
      </c>
      <c r="D35" s="73">
        <f t="shared" si="2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</row>
    <row r="36" spans="1:32">
      <c r="A36" s="313"/>
      <c r="B36" s="37" t="s">
        <v>57</v>
      </c>
      <c r="C36" s="38" t="s">
        <v>48</v>
      </c>
      <c r="D36" s="73">
        <f t="shared" si="2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</row>
    <row r="37" spans="1:32">
      <c r="A37" s="313"/>
      <c r="B37" s="37" t="s">
        <v>58</v>
      </c>
      <c r="C37" s="38" t="s">
        <v>48</v>
      </c>
      <c r="D37" s="73">
        <f t="shared" si="2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</row>
    <row r="38" spans="1:32">
      <c r="A38" s="314"/>
      <c r="B38" s="39" t="s">
        <v>59</v>
      </c>
      <c r="C38" s="40" t="s">
        <v>48</v>
      </c>
      <c r="D38" s="74">
        <f t="shared" si="2"/>
        <v>17792</v>
      </c>
      <c r="E38" s="55">
        <v>50</v>
      </c>
      <c r="F38" s="55">
        <v>810</v>
      </c>
      <c r="G38" s="55">
        <v>920</v>
      </c>
      <c r="H38" s="55">
        <v>445</v>
      </c>
      <c r="I38" s="55">
        <v>574</v>
      </c>
      <c r="J38" s="55">
        <v>330</v>
      </c>
      <c r="K38" s="55">
        <v>690</v>
      </c>
      <c r="L38" s="55">
        <v>385</v>
      </c>
      <c r="M38" s="55">
        <v>190</v>
      </c>
      <c r="N38" s="55">
        <v>1134</v>
      </c>
      <c r="O38" s="55">
        <v>776</v>
      </c>
      <c r="P38" s="55">
        <v>0</v>
      </c>
      <c r="Q38" s="55">
        <v>144</v>
      </c>
      <c r="R38" s="55">
        <v>504</v>
      </c>
      <c r="S38" s="55">
        <v>952</v>
      </c>
      <c r="T38" s="55">
        <v>54</v>
      </c>
      <c r="U38" s="55">
        <v>1008</v>
      </c>
      <c r="V38" s="55">
        <v>1306</v>
      </c>
      <c r="W38" s="55">
        <v>894</v>
      </c>
      <c r="X38" s="55">
        <v>560</v>
      </c>
      <c r="Y38" s="55">
        <v>264</v>
      </c>
      <c r="Z38" s="55">
        <v>1394</v>
      </c>
      <c r="AA38" s="55">
        <v>456</v>
      </c>
      <c r="AB38" s="55">
        <v>1026</v>
      </c>
      <c r="AC38" s="55">
        <v>824</v>
      </c>
      <c r="AD38" s="55">
        <v>1886</v>
      </c>
      <c r="AE38" s="55">
        <v>216</v>
      </c>
      <c r="AF38" s="55">
        <v>0</v>
      </c>
    </row>
    <row r="39" spans="1:32">
      <c r="A39" s="164"/>
      <c r="B39" s="94" t="s">
        <v>149</v>
      </c>
      <c r="C39" s="166"/>
      <c r="D39" s="180">
        <f t="shared" ref="D39:AF39" si="4">D37/D26</f>
        <v>0</v>
      </c>
      <c r="E39" s="170">
        <f t="shared" si="4"/>
        <v>0</v>
      </c>
      <c r="F39" s="170">
        <f t="shared" si="4"/>
        <v>0</v>
      </c>
      <c r="G39" s="170">
        <f t="shared" si="4"/>
        <v>0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 t="e">
        <f t="shared" si="4"/>
        <v>#DIV/0!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 t="e">
        <f t="shared" si="4"/>
        <v>#DIV/0!</v>
      </c>
    </row>
    <row r="40" spans="1:32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</row>
    <row r="41" spans="1:32">
      <c r="A41" s="324" t="s">
        <v>60</v>
      </c>
      <c r="B41" s="50" t="s">
        <v>61</v>
      </c>
      <c r="C41" s="91" t="s">
        <v>62</v>
      </c>
      <c r="D41" s="81">
        <f>SUM(E41:AF41)</f>
        <v>439000</v>
      </c>
      <c r="E41" s="86">
        <v>14000</v>
      </c>
      <c r="F41" s="86">
        <v>15000</v>
      </c>
      <c r="G41" s="86">
        <v>18000</v>
      </c>
      <c r="H41" s="86">
        <v>15000</v>
      </c>
      <c r="I41" s="86">
        <v>16000</v>
      </c>
      <c r="J41" s="86">
        <v>12000</v>
      </c>
      <c r="K41" s="86">
        <v>15000</v>
      </c>
      <c r="L41" s="86">
        <v>15000</v>
      </c>
      <c r="M41" s="86">
        <v>16000</v>
      </c>
      <c r="N41" s="86">
        <v>16000</v>
      </c>
      <c r="O41" s="86">
        <v>16000</v>
      </c>
      <c r="P41" s="86">
        <v>14000</v>
      </c>
      <c r="Q41" s="86">
        <v>13000</v>
      </c>
      <c r="R41" s="86">
        <v>18000</v>
      </c>
      <c r="S41" s="86">
        <v>17000</v>
      </c>
      <c r="T41" s="86">
        <v>18000</v>
      </c>
      <c r="U41" s="86">
        <v>17000</v>
      </c>
      <c r="V41" s="86">
        <v>18000</v>
      </c>
      <c r="W41" s="86">
        <v>18000</v>
      </c>
      <c r="X41" s="86">
        <v>16000</v>
      </c>
      <c r="Y41" s="86">
        <v>16000</v>
      </c>
      <c r="Z41" s="86">
        <v>17000</v>
      </c>
      <c r="AA41" s="86">
        <v>16000</v>
      </c>
      <c r="AB41" s="86">
        <v>17000</v>
      </c>
      <c r="AC41" s="86">
        <v>18000</v>
      </c>
      <c r="AD41" s="86">
        <v>19000</v>
      </c>
      <c r="AE41" s="86">
        <v>14000</v>
      </c>
      <c r="AF41" s="86">
        <v>5000</v>
      </c>
    </row>
    <row r="42" spans="1:32">
      <c r="A42" s="325"/>
      <c r="B42" s="39" t="s">
        <v>63</v>
      </c>
      <c r="C42" s="92" t="s">
        <v>62</v>
      </c>
      <c r="D42" s="82">
        <f>SUM(E42:AF42)</f>
        <v>1800</v>
      </c>
      <c r="E42" s="87">
        <v>300</v>
      </c>
      <c r="F42" s="87">
        <v>0</v>
      </c>
      <c r="G42" s="87">
        <v>0</v>
      </c>
      <c r="H42" s="87">
        <v>0</v>
      </c>
      <c r="I42" s="87">
        <v>100</v>
      </c>
      <c r="J42" s="87">
        <v>0</v>
      </c>
      <c r="K42" s="87">
        <v>0</v>
      </c>
      <c r="L42" s="87">
        <v>0</v>
      </c>
      <c r="M42" s="87">
        <v>0</v>
      </c>
      <c r="N42" s="87">
        <v>200</v>
      </c>
      <c r="O42" s="87">
        <v>0</v>
      </c>
      <c r="P42" s="87">
        <v>300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200</v>
      </c>
      <c r="W42" s="87">
        <v>0</v>
      </c>
      <c r="X42" s="87">
        <v>200</v>
      </c>
      <c r="Y42" s="87">
        <v>0</v>
      </c>
      <c r="Z42" s="87">
        <v>0</v>
      </c>
      <c r="AA42" s="87">
        <v>300</v>
      </c>
      <c r="AB42" s="87">
        <v>0</v>
      </c>
      <c r="AC42" s="87">
        <v>0</v>
      </c>
      <c r="AD42" s="87">
        <v>0</v>
      </c>
      <c r="AE42" s="87">
        <v>200</v>
      </c>
      <c r="AF42" s="87">
        <v>0</v>
      </c>
    </row>
    <row r="44" spans="1:32">
      <c r="B44" s="167" t="s">
        <v>240</v>
      </c>
      <c r="C44" s="184" t="s">
        <v>241</v>
      </c>
      <c r="D44" s="187">
        <f>D41/D26</f>
        <v>0.56686560765668859</v>
      </c>
      <c r="E44" s="185">
        <f t="shared" ref="E44:AF44" si="5">E41/E26</f>
        <v>2.9667302394575121</v>
      </c>
      <c r="F44" s="188">
        <f t="shared" si="5"/>
        <v>0.59663497872001914</v>
      </c>
      <c r="G44" s="186">
        <f t="shared" si="5"/>
        <v>1.0264013229172606</v>
      </c>
      <c r="H44" s="188">
        <f t="shared" si="5"/>
        <v>0.78905839032088376</v>
      </c>
      <c r="I44" s="186">
        <f t="shared" si="5"/>
        <v>0.7135212272565109</v>
      </c>
      <c r="J44" s="188">
        <f t="shared" si="5"/>
        <v>3.3398274422488172</v>
      </c>
      <c r="K44" s="186">
        <f t="shared" si="5"/>
        <v>1.1430313190581423</v>
      </c>
      <c r="L44" s="188">
        <f t="shared" si="5"/>
        <v>0.55907566157286614</v>
      </c>
      <c r="M44" s="186">
        <f t="shared" si="5"/>
        <v>1.0260356547390022</v>
      </c>
      <c r="N44" s="188">
        <f t="shared" si="5"/>
        <v>1.2298232129131437</v>
      </c>
      <c r="O44" s="186">
        <f t="shared" si="5"/>
        <v>0.97335442267915806</v>
      </c>
      <c r="P44" s="188" t="e">
        <f t="shared" si="5"/>
        <v>#DIV/0!</v>
      </c>
      <c r="Q44" s="186">
        <f t="shared" si="5"/>
        <v>0.39203860072376356</v>
      </c>
      <c r="R44" s="188">
        <f t="shared" si="5"/>
        <v>0.27777349114982791</v>
      </c>
      <c r="S44" s="186">
        <f t="shared" si="5"/>
        <v>0.37625603116285244</v>
      </c>
      <c r="T44" s="188">
        <f t="shared" si="5"/>
        <v>0.27215821464211193</v>
      </c>
      <c r="U44" s="186">
        <f t="shared" si="5"/>
        <v>0.22785149443774294</v>
      </c>
      <c r="V44" s="188">
        <f t="shared" si="5"/>
        <v>0.32503882408176532</v>
      </c>
      <c r="W44" s="186">
        <f t="shared" si="5"/>
        <v>0.37929072634174094</v>
      </c>
      <c r="X44" s="188">
        <f t="shared" si="5"/>
        <v>0.616024332961152</v>
      </c>
      <c r="Y44" s="186">
        <f t="shared" si="5"/>
        <v>0.63844220102948801</v>
      </c>
      <c r="Z44" s="188">
        <f t="shared" si="5"/>
        <v>0.48970185798646121</v>
      </c>
      <c r="AA44" s="186">
        <f t="shared" si="5"/>
        <v>0.85447263017356478</v>
      </c>
      <c r="AB44" s="188">
        <f t="shared" si="5"/>
        <v>0.45600858369098712</v>
      </c>
      <c r="AC44" s="186">
        <f t="shared" si="5"/>
        <v>0.6426505766003785</v>
      </c>
      <c r="AD44" s="188">
        <f t="shared" si="5"/>
        <v>0.55862636716453018</v>
      </c>
      <c r="AE44" s="186">
        <f t="shared" si="5"/>
        <v>2.1492170709241631</v>
      </c>
      <c r="AF44" s="188" t="e">
        <f t="shared" si="5"/>
        <v>#DIV/0!</v>
      </c>
    </row>
    <row r="46" spans="1:32">
      <c r="A46" s="312" t="s">
        <v>64</v>
      </c>
      <c r="B46" s="93" t="s">
        <v>65</v>
      </c>
      <c r="C46" s="47" t="s">
        <v>8</v>
      </c>
      <c r="D46" s="181">
        <f t="shared" ref="D46:D51" si="6">SUM(E46:AF46)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</row>
    <row r="47" spans="1:32">
      <c r="A47" s="313"/>
      <c r="B47" s="94" t="s">
        <v>66</v>
      </c>
      <c r="C47" s="38" t="s">
        <v>8</v>
      </c>
      <c r="D47" s="182">
        <f t="shared" si="6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</row>
    <row r="48" spans="1:32">
      <c r="A48" s="313"/>
      <c r="B48" s="94" t="s">
        <v>67</v>
      </c>
      <c r="C48" s="38" t="s">
        <v>8</v>
      </c>
      <c r="D48" s="182">
        <f t="shared" si="6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</row>
    <row r="49" spans="1:32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</row>
    <row r="50" spans="1:32">
      <c r="A50" s="313"/>
      <c r="B50" s="93" t="s">
        <v>69</v>
      </c>
      <c r="C50" s="91" t="s">
        <v>48</v>
      </c>
      <c r="D50" s="181">
        <f t="shared" si="6"/>
        <v>316000</v>
      </c>
      <c r="E50" s="86">
        <v>0</v>
      </c>
      <c r="F50" s="86">
        <v>18000</v>
      </c>
      <c r="G50" s="86">
        <v>17000</v>
      </c>
      <c r="H50" s="86">
        <v>15000</v>
      </c>
      <c r="I50" s="86">
        <v>15000</v>
      </c>
      <c r="J50" s="86">
        <v>1000</v>
      </c>
      <c r="K50" s="86">
        <v>10000</v>
      </c>
      <c r="L50" s="86">
        <v>10000</v>
      </c>
      <c r="M50" s="86">
        <v>5000</v>
      </c>
      <c r="N50" s="86">
        <v>7500</v>
      </c>
      <c r="O50" s="86">
        <v>7500</v>
      </c>
      <c r="P50" s="86">
        <v>0</v>
      </c>
      <c r="Q50" s="86">
        <v>15000</v>
      </c>
      <c r="R50" s="86">
        <v>25000</v>
      </c>
      <c r="S50" s="86">
        <v>25000</v>
      </c>
      <c r="T50" s="86">
        <v>30000</v>
      </c>
      <c r="U50" s="86">
        <v>30000</v>
      </c>
      <c r="V50" s="86">
        <v>20000</v>
      </c>
      <c r="W50" s="86">
        <v>20000</v>
      </c>
      <c r="X50" s="86">
        <v>15000</v>
      </c>
      <c r="Y50" s="86">
        <v>10000</v>
      </c>
      <c r="Z50" s="86">
        <v>10000</v>
      </c>
      <c r="AA50" s="86">
        <v>10000</v>
      </c>
      <c r="AB50" s="86">
        <v>0</v>
      </c>
      <c r="AC50" s="86"/>
      <c r="AD50" s="86">
        <v>0</v>
      </c>
      <c r="AE50" s="86">
        <v>0</v>
      </c>
      <c r="AF50" s="86">
        <v>0</v>
      </c>
    </row>
    <row r="51" spans="1:32">
      <c r="A51" s="314"/>
      <c r="B51" s="95" t="s">
        <v>70</v>
      </c>
      <c r="C51" s="92" t="s">
        <v>48</v>
      </c>
      <c r="D51" s="183">
        <f t="shared" si="6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0</v>
      </c>
    </row>
    <row r="52" spans="1:32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</row>
    <row r="54" spans="1:32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</row>
    <row r="55" spans="1:32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</row>
    <row r="56" spans="1:32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</row>
    <row r="57" spans="1:32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</row>
    <row r="59" spans="1:32" ht="15.75">
      <c r="B59" s="53" t="s">
        <v>83</v>
      </c>
      <c r="C59" s="99" t="s">
        <v>84</v>
      </c>
      <c r="D59" s="100">
        <f>SUM(D60:D72)</f>
        <v>26520922</v>
      </c>
      <c r="E59" s="101">
        <f>SUM(E60:E72)</f>
        <v>134234</v>
      </c>
      <c r="F59" s="101">
        <f t="shared" ref="F59:AF59" si="7">SUM(F60:F72)</f>
        <v>773188</v>
      </c>
      <c r="G59" s="101">
        <f t="shared" si="7"/>
        <v>548900</v>
      </c>
      <c r="H59" s="101">
        <f t="shared" si="7"/>
        <v>590026</v>
      </c>
      <c r="I59" s="101">
        <f t="shared" si="7"/>
        <v>689352</v>
      </c>
      <c r="J59" s="101">
        <f t="shared" si="7"/>
        <v>100464</v>
      </c>
      <c r="K59" s="101">
        <f t="shared" si="7"/>
        <v>399974</v>
      </c>
      <c r="L59" s="101">
        <f t="shared" si="7"/>
        <v>796316</v>
      </c>
      <c r="M59" s="101">
        <f t="shared" si="7"/>
        <v>455788</v>
      </c>
      <c r="N59" s="101">
        <f t="shared" si="7"/>
        <v>326674</v>
      </c>
      <c r="O59" s="101">
        <f t="shared" si="7"/>
        <v>402266</v>
      </c>
      <c r="P59" s="101">
        <f t="shared" si="7"/>
        <v>0</v>
      </c>
      <c r="Q59" s="101">
        <f t="shared" si="7"/>
        <v>1109883</v>
      </c>
      <c r="R59" s="101">
        <f t="shared" si="7"/>
        <v>2032148</v>
      </c>
      <c r="S59" s="101">
        <f t="shared" si="7"/>
        <v>1561351</v>
      </c>
      <c r="T59" s="101">
        <f t="shared" si="7"/>
        <v>2503892</v>
      </c>
      <c r="U59" s="101">
        <f t="shared" si="7"/>
        <v>3075232</v>
      </c>
      <c r="V59" s="101">
        <f t="shared" si="7"/>
        <v>2004594</v>
      </c>
      <c r="W59" s="101">
        <f t="shared" si="7"/>
        <v>1671416</v>
      </c>
      <c r="X59" s="101">
        <f t="shared" si="7"/>
        <v>839495</v>
      </c>
      <c r="Y59" s="101">
        <f t="shared" si="7"/>
        <v>790606</v>
      </c>
      <c r="Z59" s="101">
        <f t="shared" si="7"/>
        <v>1300814</v>
      </c>
      <c r="AA59" s="101">
        <f t="shared" si="7"/>
        <v>620996</v>
      </c>
      <c r="AB59" s="101">
        <f t="shared" si="7"/>
        <v>1196296</v>
      </c>
      <c r="AC59" s="101">
        <f t="shared" si="7"/>
        <v>1067663</v>
      </c>
      <c r="AD59" s="101">
        <f t="shared" si="7"/>
        <v>1306416</v>
      </c>
      <c r="AE59" s="101">
        <f t="shared" si="7"/>
        <v>222938</v>
      </c>
      <c r="AF59" s="101">
        <f t="shared" si="7"/>
        <v>0</v>
      </c>
    </row>
    <row r="60" spans="1:32">
      <c r="B60" s="96" t="s">
        <v>47</v>
      </c>
      <c r="C60" s="111">
        <v>50</v>
      </c>
      <c r="D60" s="97">
        <f>D27*$C60</f>
        <v>12761050</v>
      </c>
      <c r="E60" s="104">
        <f t="shared" ref="E60:AF60" si="8">E27*$C60</f>
        <v>7050</v>
      </c>
      <c r="F60" s="104">
        <f t="shared" si="8"/>
        <v>51000</v>
      </c>
      <c r="G60" s="104">
        <f t="shared" si="8"/>
        <v>38100</v>
      </c>
      <c r="H60" s="104">
        <f t="shared" si="8"/>
        <v>32150</v>
      </c>
      <c r="I60" s="104">
        <f t="shared" si="8"/>
        <v>46500</v>
      </c>
      <c r="J60" s="104">
        <f t="shared" si="8"/>
        <v>8200</v>
      </c>
      <c r="K60" s="104">
        <f t="shared" si="8"/>
        <v>25750</v>
      </c>
      <c r="L60" s="104">
        <f t="shared" si="8"/>
        <v>40400</v>
      </c>
      <c r="M60" s="104">
        <f t="shared" si="8"/>
        <v>12400</v>
      </c>
      <c r="N60" s="104">
        <f t="shared" si="8"/>
        <v>18600</v>
      </c>
      <c r="O60" s="104">
        <f t="shared" si="8"/>
        <v>9300</v>
      </c>
      <c r="P60" s="104">
        <f t="shared" si="8"/>
        <v>0</v>
      </c>
      <c r="Q60" s="104">
        <f t="shared" si="8"/>
        <v>653700</v>
      </c>
      <c r="R60" s="104">
        <f t="shared" si="8"/>
        <v>797300</v>
      </c>
      <c r="S60" s="104">
        <f t="shared" si="8"/>
        <v>752450</v>
      </c>
      <c r="T60" s="104">
        <f t="shared" si="8"/>
        <v>1421050</v>
      </c>
      <c r="U60" s="104">
        <f t="shared" si="8"/>
        <v>2124800</v>
      </c>
      <c r="V60" s="104">
        <f t="shared" si="8"/>
        <v>1110500</v>
      </c>
      <c r="W60" s="104">
        <f t="shared" si="8"/>
        <v>769350</v>
      </c>
      <c r="X60" s="104">
        <f t="shared" si="8"/>
        <v>333900</v>
      </c>
      <c r="Y60" s="104">
        <f t="shared" si="8"/>
        <v>340450</v>
      </c>
      <c r="Z60" s="104">
        <f t="shared" si="8"/>
        <v>1086750</v>
      </c>
      <c r="AA60" s="104">
        <f t="shared" si="8"/>
        <v>475150</v>
      </c>
      <c r="AB60" s="104">
        <f t="shared" si="8"/>
        <v>609900</v>
      </c>
      <c r="AC60" s="104">
        <f t="shared" si="8"/>
        <v>783400</v>
      </c>
      <c r="AD60" s="104">
        <f t="shared" si="8"/>
        <v>1074500</v>
      </c>
      <c r="AE60" s="104">
        <f t="shared" si="8"/>
        <v>138400</v>
      </c>
      <c r="AF60" s="104">
        <f t="shared" si="8"/>
        <v>0</v>
      </c>
    </row>
    <row r="61" spans="1:32">
      <c r="B61" s="96" t="s">
        <v>49</v>
      </c>
      <c r="C61" s="111">
        <v>28</v>
      </c>
      <c r="D61" s="97">
        <f t="shared" ref="D61:AF68" si="9">D28*$C61</f>
        <v>3796800</v>
      </c>
      <c r="E61" s="104">
        <f t="shared" si="9"/>
        <v>4032</v>
      </c>
      <c r="F61" s="104">
        <f t="shared" si="9"/>
        <v>24192</v>
      </c>
      <c r="G61" s="104">
        <f t="shared" si="9"/>
        <v>37632</v>
      </c>
      <c r="H61" s="104">
        <f t="shared" si="9"/>
        <v>14784</v>
      </c>
      <c r="I61" s="104">
        <f t="shared" si="9"/>
        <v>17472</v>
      </c>
      <c r="J61" s="104">
        <f t="shared" si="9"/>
        <v>1344</v>
      </c>
      <c r="K61" s="104">
        <f t="shared" si="9"/>
        <v>20160</v>
      </c>
      <c r="L61" s="104">
        <f t="shared" si="9"/>
        <v>8064</v>
      </c>
      <c r="M61" s="104">
        <f t="shared" si="9"/>
        <v>20160</v>
      </c>
      <c r="N61" s="104">
        <f t="shared" si="9"/>
        <v>45696</v>
      </c>
      <c r="O61" s="104">
        <f t="shared" si="9"/>
        <v>25536</v>
      </c>
      <c r="P61" s="104">
        <f t="shared" si="9"/>
        <v>0</v>
      </c>
      <c r="Q61" s="104">
        <f t="shared" si="9"/>
        <v>115584</v>
      </c>
      <c r="R61" s="104">
        <f t="shared" si="9"/>
        <v>190848</v>
      </c>
      <c r="S61" s="104">
        <f t="shared" si="9"/>
        <v>407232</v>
      </c>
      <c r="T61" s="104">
        <f t="shared" si="9"/>
        <v>557760</v>
      </c>
      <c r="U61" s="104">
        <f t="shared" si="9"/>
        <v>649152</v>
      </c>
      <c r="V61" s="104">
        <f t="shared" si="9"/>
        <v>561792</v>
      </c>
      <c r="W61" s="104">
        <f t="shared" si="9"/>
        <v>594048</v>
      </c>
      <c r="X61" s="104">
        <f t="shared" si="9"/>
        <v>99456</v>
      </c>
      <c r="Y61" s="104">
        <f t="shared" si="9"/>
        <v>10752</v>
      </c>
      <c r="Z61" s="104">
        <f t="shared" si="9"/>
        <v>43008</v>
      </c>
      <c r="AA61" s="104">
        <f t="shared" si="9"/>
        <v>20160</v>
      </c>
      <c r="AB61" s="104">
        <f t="shared" si="9"/>
        <v>143808</v>
      </c>
      <c r="AC61" s="104">
        <f t="shared" si="9"/>
        <v>102144</v>
      </c>
      <c r="AD61" s="104">
        <f t="shared" si="9"/>
        <v>68544</v>
      </c>
      <c r="AE61" s="104">
        <f t="shared" si="9"/>
        <v>13440</v>
      </c>
      <c r="AF61" s="104">
        <f t="shared" si="9"/>
        <v>0</v>
      </c>
    </row>
    <row r="62" spans="1:32">
      <c r="B62" s="96" t="s">
        <v>50</v>
      </c>
      <c r="C62" s="111">
        <v>23</v>
      </c>
      <c r="D62" s="97">
        <f t="shared" si="9"/>
        <v>4463886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0</v>
      </c>
      <c r="K62" s="104">
        <f t="shared" si="9"/>
        <v>0</v>
      </c>
      <c r="L62" s="104">
        <f t="shared" si="9"/>
        <v>0</v>
      </c>
      <c r="M62" s="104">
        <f t="shared" si="9"/>
        <v>0</v>
      </c>
      <c r="N62" s="104">
        <f t="shared" si="9"/>
        <v>227056</v>
      </c>
      <c r="O62" s="104">
        <f t="shared" si="9"/>
        <v>334972</v>
      </c>
      <c r="P62" s="104">
        <f t="shared" si="9"/>
        <v>0</v>
      </c>
      <c r="Q62" s="104">
        <f t="shared" si="9"/>
        <v>205597</v>
      </c>
      <c r="R62" s="104">
        <f t="shared" si="9"/>
        <v>928418</v>
      </c>
      <c r="S62" s="104">
        <f t="shared" si="9"/>
        <v>271653</v>
      </c>
      <c r="T62" s="104">
        <f t="shared" si="9"/>
        <v>388700</v>
      </c>
      <c r="U62" s="104">
        <f t="shared" si="9"/>
        <v>172316</v>
      </c>
      <c r="V62" s="104">
        <f t="shared" si="9"/>
        <v>236854</v>
      </c>
      <c r="W62" s="104">
        <f t="shared" si="9"/>
        <v>120566</v>
      </c>
      <c r="X62" s="104">
        <f t="shared" si="9"/>
        <v>334259</v>
      </c>
      <c r="Y62" s="104">
        <f t="shared" si="9"/>
        <v>400292</v>
      </c>
      <c r="Z62" s="104">
        <f t="shared" si="9"/>
        <v>40204</v>
      </c>
      <c r="AA62" s="104">
        <f t="shared" si="9"/>
        <v>11638</v>
      </c>
      <c r="AB62" s="104">
        <f t="shared" si="9"/>
        <v>433780</v>
      </c>
      <c r="AC62" s="104">
        <f t="shared" si="9"/>
        <v>171327</v>
      </c>
      <c r="AD62" s="104">
        <f t="shared" si="9"/>
        <v>117484</v>
      </c>
      <c r="AE62" s="104">
        <f t="shared" si="9"/>
        <v>68770</v>
      </c>
      <c r="AF62" s="104">
        <f t="shared" si="9"/>
        <v>0</v>
      </c>
    </row>
    <row r="63" spans="1:32">
      <c r="B63" s="96" t="s">
        <v>51</v>
      </c>
      <c r="C63" s="111">
        <v>28</v>
      </c>
      <c r="D63" s="97">
        <f t="shared" si="9"/>
        <v>3724840</v>
      </c>
      <c r="E63" s="104">
        <f t="shared" si="9"/>
        <v>122752</v>
      </c>
      <c r="F63" s="104">
        <f t="shared" si="9"/>
        <v>628516</v>
      </c>
      <c r="G63" s="104">
        <f t="shared" si="9"/>
        <v>406308</v>
      </c>
      <c r="H63" s="104">
        <f t="shared" si="9"/>
        <v>487032</v>
      </c>
      <c r="I63" s="104">
        <f t="shared" si="9"/>
        <v>568288</v>
      </c>
      <c r="J63" s="104">
        <f t="shared" si="9"/>
        <v>84420</v>
      </c>
      <c r="K63" s="104">
        <f t="shared" si="9"/>
        <v>313544</v>
      </c>
      <c r="L63" s="104">
        <f t="shared" si="9"/>
        <v>709772</v>
      </c>
      <c r="M63" s="104">
        <f t="shared" si="9"/>
        <v>404208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</row>
    <row r="64" spans="1:32">
      <c r="B64" s="96" t="s">
        <v>52</v>
      </c>
      <c r="C64" s="111">
        <v>10</v>
      </c>
      <c r="D64" s="97">
        <f t="shared" si="9"/>
        <v>352360</v>
      </c>
      <c r="E64" s="104">
        <f t="shared" si="9"/>
        <v>0</v>
      </c>
      <c r="F64" s="104">
        <f t="shared" si="9"/>
        <v>0</v>
      </c>
      <c r="G64" s="104">
        <f t="shared" si="9"/>
        <v>0</v>
      </c>
      <c r="H64" s="104">
        <f t="shared" si="9"/>
        <v>0</v>
      </c>
      <c r="I64" s="104">
        <f t="shared" si="9"/>
        <v>0</v>
      </c>
      <c r="J64" s="104">
        <f t="shared" si="9"/>
        <v>360</v>
      </c>
      <c r="K64" s="104">
        <f t="shared" si="9"/>
        <v>0</v>
      </c>
      <c r="L64" s="104">
        <f t="shared" si="9"/>
        <v>0</v>
      </c>
      <c r="M64" s="104">
        <f t="shared" si="9"/>
        <v>0</v>
      </c>
      <c r="N64" s="104">
        <f t="shared" si="9"/>
        <v>0</v>
      </c>
      <c r="O64" s="104">
        <f t="shared" si="9"/>
        <v>0</v>
      </c>
      <c r="P64" s="104">
        <f t="shared" si="9"/>
        <v>0</v>
      </c>
      <c r="Q64" s="104">
        <f t="shared" si="9"/>
        <v>65600</v>
      </c>
      <c r="R64" s="104">
        <f t="shared" si="9"/>
        <v>8600</v>
      </c>
      <c r="S64" s="104">
        <f t="shared" si="9"/>
        <v>26600</v>
      </c>
      <c r="T64" s="104">
        <f t="shared" si="9"/>
        <v>2800</v>
      </c>
      <c r="U64" s="104">
        <f t="shared" si="9"/>
        <v>1400</v>
      </c>
      <c r="V64" s="104">
        <f t="shared" si="9"/>
        <v>15000</v>
      </c>
      <c r="W64" s="104">
        <f t="shared" si="9"/>
        <v>31400</v>
      </c>
      <c r="X64" s="104">
        <f t="shared" si="9"/>
        <v>4400</v>
      </c>
      <c r="Y64" s="104">
        <f t="shared" si="9"/>
        <v>2000</v>
      </c>
      <c r="Z64" s="104">
        <f t="shared" si="9"/>
        <v>82600</v>
      </c>
      <c r="AA64" s="104">
        <f t="shared" si="9"/>
        <v>75400</v>
      </c>
      <c r="AB64" s="104">
        <f t="shared" si="9"/>
        <v>600</v>
      </c>
      <c r="AC64" s="104">
        <f t="shared" si="9"/>
        <v>4200</v>
      </c>
      <c r="AD64" s="104">
        <f t="shared" si="9"/>
        <v>30800</v>
      </c>
      <c r="AE64" s="104">
        <f t="shared" si="9"/>
        <v>600</v>
      </c>
      <c r="AF64" s="104">
        <f t="shared" si="9"/>
        <v>0</v>
      </c>
    </row>
    <row r="65" spans="2:32">
      <c r="B65" s="96" t="s">
        <v>53</v>
      </c>
      <c r="C65" s="111">
        <v>19</v>
      </c>
      <c r="D65" s="97">
        <f t="shared" si="9"/>
        <v>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</row>
    <row r="66" spans="2:32">
      <c r="B66" s="96" t="s">
        <v>54</v>
      </c>
      <c r="C66" s="111">
        <v>10</v>
      </c>
      <c r="D66" s="97">
        <f t="shared" si="9"/>
        <v>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0</v>
      </c>
      <c r="AF66" s="104">
        <f t="shared" si="9"/>
        <v>0</v>
      </c>
    </row>
    <row r="67" spans="2:32">
      <c r="B67" s="96" t="s">
        <v>55</v>
      </c>
      <c r="C67" s="111">
        <v>50</v>
      </c>
      <c r="D67" s="97">
        <f t="shared" si="9"/>
        <v>173650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0</v>
      </c>
      <c r="Q67" s="104">
        <f t="shared" si="9"/>
        <v>15750</v>
      </c>
      <c r="R67" s="104">
        <f t="shared" si="9"/>
        <v>15450</v>
      </c>
      <c r="S67" s="104">
        <f t="shared" si="9"/>
        <v>8300</v>
      </c>
      <c r="T67" s="104">
        <f t="shared" si="9"/>
        <v>28150</v>
      </c>
      <c r="U67" s="104">
        <f t="shared" si="9"/>
        <v>14500</v>
      </c>
      <c r="V67" s="104">
        <f t="shared" si="9"/>
        <v>0</v>
      </c>
      <c r="W67" s="104">
        <f t="shared" si="9"/>
        <v>78900</v>
      </c>
      <c r="X67" s="104">
        <f t="shared" si="9"/>
        <v>10500</v>
      </c>
      <c r="Y67" s="104">
        <f t="shared" si="9"/>
        <v>0</v>
      </c>
      <c r="Z67" s="104">
        <f t="shared" si="9"/>
        <v>2100</v>
      </c>
      <c r="AA67" s="104">
        <f t="shared" si="9"/>
        <v>0</v>
      </c>
      <c r="AB67" s="104">
        <f t="shared" si="9"/>
        <v>0</v>
      </c>
      <c r="AC67" s="104">
        <f t="shared" si="9"/>
        <v>0</v>
      </c>
      <c r="AD67" s="104">
        <f t="shared" si="9"/>
        <v>0</v>
      </c>
      <c r="AE67" s="104">
        <f t="shared" si="9"/>
        <v>0</v>
      </c>
      <c r="AF67" s="104">
        <f t="shared" si="9"/>
        <v>0</v>
      </c>
    </row>
    <row r="68" spans="2:32">
      <c r="B68" s="96" t="s">
        <v>56</v>
      </c>
      <c r="C68" s="111">
        <v>27.39</v>
      </c>
      <c r="D68" s="97">
        <f t="shared" si="9"/>
        <v>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0</v>
      </c>
      <c r="AB68" s="104">
        <f t="shared" ref="AB68:AF68" si="10">AB35*$C68</f>
        <v>0</v>
      </c>
      <c r="AC68" s="104">
        <f t="shared" si="10"/>
        <v>0</v>
      </c>
      <c r="AD68" s="104">
        <f t="shared" si="10"/>
        <v>0</v>
      </c>
      <c r="AE68" s="104">
        <f t="shared" si="10"/>
        <v>0</v>
      </c>
      <c r="AF68" s="104">
        <f t="shared" si="10"/>
        <v>0</v>
      </c>
    </row>
    <row r="69" spans="2:32">
      <c r="B69" s="96" t="s">
        <v>57</v>
      </c>
      <c r="C69" s="111">
        <v>26</v>
      </c>
      <c r="D69" s="97">
        <f t="shared" ref="D69:AF71" si="11">D36*$C69</f>
        <v>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0</v>
      </c>
      <c r="P69" s="104">
        <f t="shared" si="11"/>
        <v>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0</v>
      </c>
      <c r="W69" s="104">
        <f t="shared" si="11"/>
        <v>0</v>
      </c>
      <c r="X69" s="104">
        <f t="shared" si="11"/>
        <v>0</v>
      </c>
      <c r="Y69" s="104">
        <f t="shared" si="11"/>
        <v>0</v>
      </c>
      <c r="Z69" s="104">
        <f t="shared" si="11"/>
        <v>0</v>
      </c>
      <c r="AA69" s="104">
        <f t="shared" si="11"/>
        <v>0</v>
      </c>
      <c r="AB69" s="104">
        <f t="shared" si="11"/>
        <v>0</v>
      </c>
      <c r="AC69" s="104">
        <f t="shared" si="11"/>
        <v>0</v>
      </c>
      <c r="AD69" s="104">
        <f t="shared" si="11"/>
        <v>0</v>
      </c>
      <c r="AE69" s="104">
        <f t="shared" si="11"/>
        <v>0</v>
      </c>
      <c r="AF69" s="104">
        <f t="shared" si="11"/>
        <v>0</v>
      </c>
    </row>
    <row r="70" spans="2:32">
      <c r="B70" s="96" t="s">
        <v>58</v>
      </c>
      <c r="C70" s="111">
        <v>48</v>
      </c>
      <c r="D70" s="97">
        <f t="shared" si="11"/>
        <v>0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0</v>
      </c>
      <c r="Y70" s="104">
        <f t="shared" si="11"/>
        <v>0</v>
      </c>
      <c r="Z70" s="104">
        <f t="shared" si="11"/>
        <v>0</v>
      </c>
      <c r="AA70" s="104">
        <f t="shared" si="11"/>
        <v>0</v>
      </c>
      <c r="AB70" s="104">
        <f t="shared" si="11"/>
        <v>0</v>
      </c>
      <c r="AC70" s="104">
        <f t="shared" si="11"/>
        <v>0</v>
      </c>
      <c r="AD70" s="104">
        <f t="shared" si="11"/>
        <v>0</v>
      </c>
      <c r="AE70" s="104">
        <f t="shared" si="11"/>
        <v>0</v>
      </c>
      <c r="AF70" s="104">
        <f t="shared" si="11"/>
        <v>0</v>
      </c>
    </row>
    <row r="71" spans="2:32">
      <c r="B71" s="96" t="s">
        <v>59</v>
      </c>
      <c r="C71" s="112">
        <v>8</v>
      </c>
      <c r="D71" s="97">
        <f t="shared" si="11"/>
        <v>142336</v>
      </c>
      <c r="E71" s="104">
        <f t="shared" si="11"/>
        <v>400</v>
      </c>
      <c r="F71" s="104">
        <f t="shared" si="11"/>
        <v>6480</v>
      </c>
      <c r="G71" s="104">
        <f t="shared" si="11"/>
        <v>7360</v>
      </c>
      <c r="H71" s="104">
        <f t="shared" si="11"/>
        <v>3560</v>
      </c>
      <c r="I71" s="104">
        <f t="shared" si="11"/>
        <v>4592</v>
      </c>
      <c r="J71" s="104">
        <f t="shared" si="11"/>
        <v>2640</v>
      </c>
      <c r="K71" s="104">
        <f t="shared" si="11"/>
        <v>5520</v>
      </c>
      <c r="L71" s="104">
        <f t="shared" si="11"/>
        <v>3080</v>
      </c>
      <c r="M71" s="104">
        <f t="shared" si="11"/>
        <v>1520</v>
      </c>
      <c r="N71" s="104">
        <f t="shared" si="11"/>
        <v>9072</v>
      </c>
      <c r="O71" s="104">
        <f t="shared" si="11"/>
        <v>6208</v>
      </c>
      <c r="P71" s="104">
        <f t="shared" si="11"/>
        <v>0</v>
      </c>
      <c r="Q71" s="104">
        <f t="shared" si="11"/>
        <v>1152</v>
      </c>
      <c r="R71" s="104">
        <f t="shared" si="11"/>
        <v>4032</v>
      </c>
      <c r="S71" s="104">
        <f t="shared" si="11"/>
        <v>7616</v>
      </c>
      <c r="T71" s="104">
        <f t="shared" si="11"/>
        <v>432</v>
      </c>
      <c r="U71" s="104">
        <f t="shared" si="11"/>
        <v>8064</v>
      </c>
      <c r="V71" s="104">
        <f t="shared" si="11"/>
        <v>10448</v>
      </c>
      <c r="W71" s="104">
        <f t="shared" si="11"/>
        <v>7152</v>
      </c>
      <c r="X71" s="104">
        <f t="shared" si="11"/>
        <v>4480</v>
      </c>
      <c r="Y71" s="104">
        <f t="shared" si="11"/>
        <v>2112</v>
      </c>
      <c r="Z71" s="104">
        <f t="shared" si="11"/>
        <v>11152</v>
      </c>
      <c r="AA71" s="104">
        <f t="shared" si="11"/>
        <v>3648</v>
      </c>
      <c r="AB71" s="104">
        <f t="shared" si="11"/>
        <v>8208</v>
      </c>
      <c r="AC71" s="104">
        <f t="shared" si="11"/>
        <v>6592</v>
      </c>
      <c r="AD71" s="104">
        <f t="shared" si="11"/>
        <v>15088</v>
      </c>
      <c r="AE71" s="104">
        <f t="shared" si="11"/>
        <v>1728</v>
      </c>
      <c r="AF71" s="104">
        <f t="shared" si="11"/>
        <v>0</v>
      </c>
    </row>
    <row r="72" spans="2:32">
      <c r="B72" s="35" t="s">
        <v>85</v>
      </c>
      <c r="C72" s="113">
        <v>3.5</v>
      </c>
      <c r="D72" s="98">
        <f t="shared" ref="D72" si="12">D50*C72</f>
        <v>1106000</v>
      </c>
      <c r="E72" s="107">
        <f t="shared" ref="E72:AF72" si="13">+E50*$C$72</f>
        <v>0</v>
      </c>
      <c r="F72" s="107">
        <f t="shared" si="13"/>
        <v>63000</v>
      </c>
      <c r="G72" s="107">
        <f t="shared" si="13"/>
        <v>59500</v>
      </c>
      <c r="H72" s="107">
        <f t="shared" si="13"/>
        <v>52500</v>
      </c>
      <c r="I72" s="107">
        <f t="shared" si="13"/>
        <v>52500</v>
      </c>
      <c r="J72" s="107">
        <f t="shared" si="13"/>
        <v>3500</v>
      </c>
      <c r="K72" s="107">
        <f t="shared" si="13"/>
        <v>35000</v>
      </c>
      <c r="L72" s="107">
        <f t="shared" si="13"/>
        <v>35000</v>
      </c>
      <c r="M72" s="107">
        <f t="shared" si="13"/>
        <v>17500</v>
      </c>
      <c r="N72" s="107">
        <f t="shared" si="13"/>
        <v>26250</v>
      </c>
      <c r="O72" s="107">
        <f t="shared" si="13"/>
        <v>26250</v>
      </c>
      <c r="P72" s="107">
        <f t="shared" si="13"/>
        <v>0</v>
      </c>
      <c r="Q72" s="107">
        <f t="shared" si="13"/>
        <v>52500</v>
      </c>
      <c r="R72" s="107">
        <f t="shared" si="13"/>
        <v>87500</v>
      </c>
      <c r="S72" s="107">
        <f t="shared" si="13"/>
        <v>87500</v>
      </c>
      <c r="T72" s="107">
        <f t="shared" si="13"/>
        <v>105000</v>
      </c>
      <c r="U72" s="107">
        <f t="shared" si="13"/>
        <v>105000</v>
      </c>
      <c r="V72" s="107">
        <f t="shared" si="13"/>
        <v>70000</v>
      </c>
      <c r="W72" s="107">
        <f t="shared" si="13"/>
        <v>70000</v>
      </c>
      <c r="X72" s="107">
        <f t="shared" si="13"/>
        <v>52500</v>
      </c>
      <c r="Y72" s="107">
        <f t="shared" si="13"/>
        <v>35000</v>
      </c>
      <c r="Z72" s="107">
        <f t="shared" si="13"/>
        <v>35000</v>
      </c>
      <c r="AA72" s="107">
        <f t="shared" si="13"/>
        <v>35000</v>
      </c>
      <c r="AB72" s="107">
        <f t="shared" si="13"/>
        <v>0</v>
      </c>
      <c r="AC72" s="107">
        <f t="shared" si="13"/>
        <v>0</v>
      </c>
      <c r="AD72" s="107">
        <f t="shared" si="13"/>
        <v>0</v>
      </c>
      <c r="AE72" s="107">
        <f t="shared" si="13"/>
        <v>0</v>
      </c>
      <c r="AF72" s="107">
        <f t="shared" si="13"/>
        <v>0</v>
      </c>
    </row>
    <row r="74" spans="2:32">
      <c r="B74" s="318" t="s">
        <v>86</v>
      </c>
      <c r="C74" s="319"/>
      <c r="D74" s="108">
        <f>AVERAGEIF(E59:N59, "&gt;0")</f>
        <v>481491.6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6" spans="2:32">
      <c r="B76" s="12" t="s">
        <v>87</v>
      </c>
      <c r="C76" s="13">
        <v>0.31</v>
      </c>
      <c r="D76" s="231">
        <f>SUM(E76:AF76)</f>
        <v>8221485.8200000003</v>
      </c>
      <c r="E76" s="171">
        <f t="shared" ref="E76:AF76" si="14">E59*$C$76</f>
        <v>41612.54</v>
      </c>
      <c r="F76" s="14">
        <f t="shared" si="14"/>
        <v>239688.28</v>
      </c>
      <c r="G76" s="14">
        <f t="shared" si="14"/>
        <v>170159</v>
      </c>
      <c r="H76" s="14">
        <f t="shared" si="14"/>
        <v>182908.06</v>
      </c>
      <c r="I76" s="14">
        <f t="shared" si="14"/>
        <v>213699.12</v>
      </c>
      <c r="J76" s="14">
        <f t="shared" si="14"/>
        <v>31143.84</v>
      </c>
      <c r="K76" s="15">
        <f t="shared" si="14"/>
        <v>123991.94</v>
      </c>
      <c r="L76" s="14">
        <f t="shared" si="14"/>
        <v>246857.96</v>
      </c>
      <c r="M76" s="15">
        <f t="shared" si="14"/>
        <v>141294.28</v>
      </c>
      <c r="N76" s="14">
        <f t="shared" si="14"/>
        <v>101268.94</v>
      </c>
      <c r="O76" s="14">
        <f t="shared" si="14"/>
        <v>124702.45999999999</v>
      </c>
      <c r="P76" s="14">
        <f t="shared" si="14"/>
        <v>0</v>
      </c>
      <c r="Q76" s="14">
        <f t="shared" si="14"/>
        <v>344063.73</v>
      </c>
      <c r="R76" s="14">
        <f t="shared" si="14"/>
        <v>629965.88</v>
      </c>
      <c r="S76" s="14">
        <f t="shared" si="14"/>
        <v>484018.81</v>
      </c>
      <c r="T76" s="14">
        <f t="shared" si="14"/>
        <v>776206.52</v>
      </c>
      <c r="U76" s="14">
        <f t="shared" si="14"/>
        <v>953321.92</v>
      </c>
      <c r="V76" s="14">
        <f t="shared" si="14"/>
        <v>621424.14</v>
      </c>
      <c r="W76" s="14">
        <f t="shared" si="14"/>
        <v>518138.96</v>
      </c>
      <c r="X76" s="14">
        <f t="shared" si="14"/>
        <v>260243.45</v>
      </c>
      <c r="Y76" s="14">
        <f t="shared" si="14"/>
        <v>245087.86</v>
      </c>
      <c r="Z76" s="14">
        <f t="shared" si="14"/>
        <v>403252.34</v>
      </c>
      <c r="AA76" s="14">
        <f t="shared" si="14"/>
        <v>192508.76</v>
      </c>
      <c r="AB76" s="14">
        <f t="shared" si="14"/>
        <v>370851.76</v>
      </c>
      <c r="AC76" s="14">
        <f t="shared" si="14"/>
        <v>330975.52999999997</v>
      </c>
      <c r="AD76" s="14">
        <f t="shared" si="14"/>
        <v>404988.96</v>
      </c>
      <c r="AE76" s="14">
        <f t="shared" si="14"/>
        <v>69110.78</v>
      </c>
      <c r="AF76" s="14">
        <f t="shared" si="14"/>
        <v>0</v>
      </c>
    </row>
    <row r="77" spans="2:32">
      <c r="B77" s="16" t="s">
        <v>88</v>
      </c>
      <c r="C77" s="17">
        <v>60000</v>
      </c>
      <c r="D77" s="232">
        <f>SUM(E77:AF77)</f>
        <v>1680000</v>
      </c>
      <c r="E77" s="172">
        <f t="shared" ref="E77:AF77" si="15">$C$77</f>
        <v>60000</v>
      </c>
      <c r="F77" s="18">
        <f t="shared" si="15"/>
        <v>60000</v>
      </c>
      <c r="G77" s="18">
        <f t="shared" si="15"/>
        <v>60000</v>
      </c>
      <c r="H77" s="18">
        <f t="shared" si="15"/>
        <v>60000</v>
      </c>
      <c r="I77" s="18">
        <f t="shared" si="15"/>
        <v>60000</v>
      </c>
      <c r="J77" s="18">
        <f t="shared" si="15"/>
        <v>60000</v>
      </c>
      <c r="K77" s="19">
        <f t="shared" si="15"/>
        <v>60000</v>
      </c>
      <c r="L77" s="18">
        <f t="shared" si="15"/>
        <v>60000</v>
      </c>
      <c r="M77" s="19">
        <f t="shared" si="15"/>
        <v>60000</v>
      </c>
      <c r="N77" s="18">
        <f t="shared" si="15"/>
        <v>60000</v>
      </c>
      <c r="O77" s="18">
        <f t="shared" si="15"/>
        <v>60000</v>
      </c>
      <c r="P77" s="18">
        <f t="shared" si="15"/>
        <v>60000</v>
      </c>
      <c r="Q77" s="18">
        <f t="shared" si="15"/>
        <v>60000</v>
      </c>
      <c r="R77" s="18">
        <f t="shared" si="15"/>
        <v>60000</v>
      </c>
      <c r="S77" s="18">
        <f t="shared" si="15"/>
        <v>60000</v>
      </c>
      <c r="T77" s="18">
        <f t="shared" si="15"/>
        <v>60000</v>
      </c>
      <c r="U77" s="18">
        <f t="shared" si="15"/>
        <v>60000</v>
      </c>
      <c r="V77" s="18">
        <f t="shared" si="15"/>
        <v>60000</v>
      </c>
      <c r="W77" s="18">
        <f t="shared" si="15"/>
        <v>60000</v>
      </c>
      <c r="X77" s="18">
        <f t="shared" si="15"/>
        <v>60000</v>
      </c>
      <c r="Y77" s="18">
        <f t="shared" si="15"/>
        <v>60000</v>
      </c>
      <c r="Z77" s="18">
        <f t="shared" si="15"/>
        <v>60000</v>
      </c>
      <c r="AA77" s="18">
        <f t="shared" si="15"/>
        <v>60000</v>
      </c>
      <c r="AB77" s="18">
        <f t="shared" si="15"/>
        <v>60000</v>
      </c>
      <c r="AC77" s="18">
        <f t="shared" si="15"/>
        <v>60000</v>
      </c>
      <c r="AD77" s="18">
        <f t="shared" si="15"/>
        <v>60000</v>
      </c>
      <c r="AE77" s="18">
        <f t="shared" si="15"/>
        <v>60000</v>
      </c>
      <c r="AF77" s="18">
        <f t="shared" si="15"/>
        <v>60000</v>
      </c>
    </row>
    <row r="78" spans="2:32">
      <c r="B78" s="16" t="s">
        <v>89</v>
      </c>
      <c r="C78" s="17">
        <v>55000</v>
      </c>
      <c r="D78" s="232">
        <f>SUM(E78:AF78)</f>
        <v>1540000</v>
      </c>
      <c r="E78" s="172">
        <f t="shared" ref="E78:AF78" si="16">$C$78</f>
        <v>55000</v>
      </c>
      <c r="F78" s="18">
        <f t="shared" si="16"/>
        <v>55000</v>
      </c>
      <c r="G78" s="18">
        <f t="shared" si="16"/>
        <v>55000</v>
      </c>
      <c r="H78" s="18">
        <f t="shared" si="16"/>
        <v>55000</v>
      </c>
      <c r="I78" s="18">
        <f t="shared" si="16"/>
        <v>55000</v>
      </c>
      <c r="J78" s="18">
        <f t="shared" si="16"/>
        <v>55000</v>
      </c>
      <c r="K78" s="19">
        <f t="shared" si="16"/>
        <v>55000</v>
      </c>
      <c r="L78" s="18">
        <f t="shared" si="16"/>
        <v>55000</v>
      </c>
      <c r="M78" s="19">
        <f t="shared" si="16"/>
        <v>55000</v>
      </c>
      <c r="N78" s="18">
        <f t="shared" si="16"/>
        <v>55000</v>
      </c>
      <c r="O78" s="18">
        <f t="shared" si="16"/>
        <v>55000</v>
      </c>
      <c r="P78" s="18">
        <f t="shared" si="16"/>
        <v>55000</v>
      </c>
      <c r="Q78" s="18">
        <f t="shared" si="16"/>
        <v>55000</v>
      </c>
      <c r="R78" s="18">
        <f t="shared" si="16"/>
        <v>55000</v>
      </c>
      <c r="S78" s="18">
        <f t="shared" si="16"/>
        <v>55000</v>
      </c>
      <c r="T78" s="18">
        <f t="shared" si="16"/>
        <v>55000</v>
      </c>
      <c r="U78" s="18">
        <f t="shared" si="16"/>
        <v>55000</v>
      </c>
      <c r="V78" s="18">
        <f t="shared" si="16"/>
        <v>55000</v>
      </c>
      <c r="W78" s="18">
        <f t="shared" si="16"/>
        <v>55000</v>
      </c>
      <c r="X78" s="18">
        <f t="shared" si="16"/>
        <v>55000</v>
      </c>
      <c r="Y78" s="18">
        <f t="shared" si="16"/>
        <v>55000</v>
      </c>
      <c r="Z78" s="18">
        <f t="shared" si="16"/>
        <v>55000</v>
      </c>
      <c r="AA78" s="18">
        <f t="shared" si="16"/>
        <v>55000</v>
      </c>
      <c r="AB78" s="18">
        <f t="shared" si="16"/>
        <v>55000</v>
      </c>
      <c r="AC78" s="18">
        <f t="shared" si="16"/>
        <v>55000</v>
      </c>
      <c r="AD78" s="18">
        <f t="shared" si="16"/>
        <v>55000</v>
      </c>
      <c r="AE78" s="18">
        <f t="shared" si="16"/>
        <v>55000</v>
      </c>
      <c r="AF78" s="18">
        <f t="shared" si="16"/>
        <v>55000</v>
      </c>
    </row>
    <row r="79" spans="2:32">
      <c r="B79" s="20" t="s">
        <v>90</v>
      </c>
      <c r="C79" s="21">
        <v>8.8000000000000007</v>
      </c>
      <c r="D79" s="233">
        <f>SUM(E79:AF79)</f>
        <v>3863200</v>
      </c>
      <c r="E79" s="173">
        <f t="shared" ref="E79:AF79" si="17">$C$79*E41</f>
        <v>123200.00000000001</v>
      </c>
      <c r="F79" s="23">
        <f t="shared" si="17"/>
        <v>132000</v>
      </c>
      <c r="G79" s="23">
        <f t="shared" si="17"/>
        <v>158400</v>
      </c>
      <c r="H79" s="23">
        <f t="shared" si="17"/>
        <v>132000</v>
      </c>
      <c r="I79" s="23">
        <f t="shared" si="17"/>
        <v>140800</v>
      </c>
      <c r="J79" s="23">
        <f t="shared" si="17"/>
        <v>105600.00000000001</v>
      </c>
      <c r="K79" s="22">
        <f t="shared" si="17"/>
        <v>132000</v>
      </c>
      <c r="L79" s="23">
        <f t="shared" si="17"/>
        <v>132000</v>
      </c>
      <c r="M79" s="22">
        <f t="shared" si="17"/>
        <v>140800</v>
      </c>
      <c r="N79" s="23">
        <f t="shared" si="17"/>
        <v>140800</v>
      </c>
      <c r="O79" s="23">
        <f t="shared" si="17"/>
        <v>140800</v>
      </c>
      <c r="P79" s="23">
        <f t="shared" si="17"/>
        <v>123200.00000000001</v>
      </c>
      <c r="Q79" s="23">
        <f t="shared" si="17"/>
        <v>114400.00000000001</v>
      </c>
      <c r="R79" s="23">
        <f t="shared" si="17"/>
        <v>158400</v>
      </c>
      <c r="S79" s="23">
        <f t="shared" si="17"/>
        <v>149600</v>
      </c>
      <c r="T79" s="23">
        <f t="shared" si="17"/>
        <v>158400</v>
      </c>
      <c r="U79" s="23">
        <f t="shared" si="17"/>
        <v>149600</v>
      </c>
      <c r="V79" s="23">
        <f t="shared" si="17"/>
        <v>158400</v>
      </c>
      <c r="W79" s="23">
        <f t="shared" si="17"/>
        <v>158400</v>
      </c>
      <c r="X79" s="23">
        <f t="shared" si="17"/>
        <v>140800</v>
      </c>
      <c r="Y79" s="23">
        <f t="shared" si="17"/>
        <v>140800</v>
      </c>
      <c r="Z79" s="23">
        <f t="shared" si="17"/>
        <v>149600</v>
      </c>
      <c r="AA79" s="23">
        <f t="shared" si="17"/>
        <v>140800</v>
      </c>
      <c r="AB79" s="23">
        <f t="shared" si="17"/>
        <v>149600</v>
      </c>
      <c r="AC79" s="23">
        <f t="shared" si="17"/>
        <v>158400</v>
      </c>
      <c r="AD79" s="23">
        <f t="shared" si="17"/>
        <v>167200</v>
      </c>
      <c r="AE79" s="23">
        <f t="shared" si="17"/>
        <v>123200.00000000001</v>
      </c>
      <c r="AF79" s="23">
        <f t="shared" si="17"/>
        <v>44000</v>
      </c>
    </row>
    <row r="80" spans="2:32">
      <c r="B80" s="24" t="s">
        <v>91</v>
      </c>
      <c r="C80" s="25">
        <f>SUM(E80:AF80)</f>
        <v>11216236.180000005</v>
      </c>
      <c r="D80" s="174">
        <f>D59-D76-D77-D78-D79</f>
        <v>11216236.18</v>
      </c>
      <c r="E80" s="26">
        <f t="shared" ref="E80:AF80" si="18">E59-E76-E77-E78-E79</f>
        <v>-145578.54000000004</v>
      </c>
      <c r="F80" s="26">
        <f t="shared" si="18"/>
        <v>286499.71999999997</v>
      </c>
      <c r="G80" s="26">
        <f t="shared" si="18"/>
        <v>105341</v>
      </c>
      <c r="H80" s="26">
        <f t="shared" si="18"/>
        <v>160117.94</v>
      </c>
      <c r="I80" s="26">
        <f t="shared" si="18"/>
        <v>219852.88</v>
      </c>
      <c r="J80" s="26">
        <f t="shared" si="18"/>
        <v>-151279.84000000003</v>
      </c>
      <c r="K80" s="27">
        <f t="shared" si="18"/>
        <v>28982.059999999998</v>
      </c>
      <c r="L80" s="26">
        <f t="shared" si="18"/>
        <v>302458.04000000004</v>
      </c>
      <c r="M80" s="27">
        <f t="shared" si="18"/>
        <v>58693.719999999972</v>
      </c>
      <c r="N80" s="26">
        <f t="shared" si="18"/>
        <v>-30394.940000000002</v>
      </c>
      <c r="O80" s="26">
        <f t="shared" si="18"/>
        <v>21763.540000000037</v>
      </c>
      <c r="P80" s="26">
        <f t="shared" si="18"/>
        <v>-238200</v>
      </c>
      <c r="Q80" s="26">
        <f t="shared" si="18"/>
        <v>536419.27</v>
      </c>
      <c r="R80" s="26">
        <f t="shared" si="18"/>
        <v>1128782.1200000001</v>
      </c>
      <c r="S80" s="26">
        <f t="shared" si="18"/>
        <v>812732.19</v>
      </c>
      <c r="T80" s="26">
        <f t="shared" si="18"/>
        <v>1454285.48</v>
      </c>
      <c r="U80" s="26">
        <f t="shared" si="18"/>
        <v>1857310.08</v>
      </c>
      <c r="V80" s="26">
        <f t="shared" si="18"/>
        <v>1109769.8599999999</v>
      </c>
      <c r="W80" s="26">
        <f t="shared" si="18"/>
        <v>879877.04</v>
      </c>
      <c r="X80" s="26">
        <f t="shared" si="18"/>
        <v>323451.55000000005</v>
      </c>
      <c r="Y80" s="26">
        <f t="shared" si="18"/>
        <v>289718.14</v>
      </c>
      <c r="Z80" s="26">
        <f t="shared" si="18"/>
        <v>632961.65999999992</v>
      </c>
      <c r="AA80" s="26">
        <f t="shared" si="18"/>
        <v>172687.24</v>
      </c>
      <c r="AB80" s="26">
        <f t="shared" si="18"/>
        <v>560844.24</v>
      </c>
      <c r="AC80" s="26">
        <f t="shared" si="18"/>
        <v>463287.47</v>
      </c>
      <c r="AD80" s="26">
        <f t="shared" si="18"/>
        <v>619227.04</v>
      </c>
      <c r="AE80" s="26">
        <f t="shared" si="18"/>
        <v>-84372.780000000013</v>
      </c>
      <c r="AF80" s="26">
        <f t="shared" si="18"/>
        <v>-159000</v>
      </c>
    </row>
    <row r="81" spans="2:32">
      <c r="B81" s="320" t="s">
        <v>92</v>
      </c>
      <c r="C81" s="321"/>
      <c r="D81" s="326"/>
      <c r="E81" s="29">
        <f>+E80</f>
        <v>-145578.54000000004</v>
      </c>
      <c r="F81" s="29">
        <f>F80+E81</f>
        <v>140921.17999999993</v>
      </c>
      <c r="G81" s="29">
        <f t="shared" ref="G81:AF81" si="19">G80+F81</f>
        <v>246262.17999999993</v>
      </c>
      <c r="H81" s="29">
        <f t="shared" si="19"/>
        <v>406380.11999999994</v>
      </c>
      <c r="I81" s="29">
        <f t="shared" si="19"/>
        <v>626233</v>
      </c>
      <c r="J81" s="29">
        <f t="shared" si="19"/>
        <v>474953.16</v>
      </c>
      <c r="K81" s="28">
        <f t="shared" si="19"/>
        <v>503935.22</v>
      </c>
      <c r="L81" s="29">
        <f t="shared" si="19"/>
        <v>806393.26</v>
      </c>
      <c r="M81" s="28">
        <f t="shared" si="19"/>
        <v>865086.98</v>
      </c>
      <c r="N81" s="29">
        <f t="shared" si="19"/>
        <v>834692.04</v>
      </c>
      <c r="O81" s="29">
        <f t="shared" si="19"/>
        <v>856455.58000000007</v>
      </c>
      <c r="P81" s="29">
        <f t="shared" si="19"/>
        <v>618255.58000000007</v>
      </c>
      <c r="Q81" s="29">
        <f t="shared" si="19"/>
        <v>1154674.8500000001</v>
      </c>
      <c r="R81" s="29">
        <f t="shared" si="19"/>
        <v>2283456.9700000002</v>
      </c>
      <c r="S81" s="29">
        <f t="shared" si="19"/>
        <v>3096189.16</v>
      </c>
      <c r="T81" s="29">
        <f t="shared" si="19"/>
        <v>4550474.6400000006</v>
      </c>
      <c r="U81" s="29">
        <f t="shared" si="19"/>
        <v>6407784.7200000007</v>
      </c>
      <c r="V81" s="29">
        <f t="shared" si="19"/>
        <v>7517554.5800000001</v>
      </c>
      <c r="W81" s="29">
        <f t="shared" si="19"/>
        <v>8397431.620000001</v>
      </c>
      <c r="X81" s="29">
        <f t="shared" si="19"/>
        <v>8720883.1700000018</v>
      </c>
      <c r="Y81" s="29">
        <f t="shared" si="19"/>
        <v>9010601.3100000024</v>
      </c>
      <c r="Z81" s="29">
        <f t="shared" si="19"/>
        <v>9643562.9700000025</v>
      </c>
      <c r="AA81" s="29">
        <f t="shared" si="19"/>
        <v>9816250.2100000028</v>
      </c>
      <c r="AB81" s="29">
        <f t="shared" si="19"/>
        <v>10377094.450000003</v>
      </c>
      <c r="AC81" s="29">
        <f t="shared" si="19"/>
        <v>10840381.920000004</v>
      </c>
      <c r="AD81" s="29">
        <f t="shared" si="19"/>
        <v>11459608.960000005</v>
      </c>
      <c r="AE81" s="29">
        <f t="shared" si="19"/>
        <v>11375236.180000005</v>
      </c>
      <c r="AF81" s="29">
        <f t="shared" si="19"/>
        <v>11216236.180000005</v>
      </c>
    </row>
    <row r="82" spans="2:32">
      <c r="B82" s="341" t="s">
        <v>270</v>
      </c>
      <c r="C82" s="342"/>
      <c r="D82" s="224">
        <f t="shared" ref="D82:Z82" si="20">+D80/D59</f>
        <v>0.42292029590826441</v>
      </c>
      <c r="E82" s="223">
        <f t="shared" si="20"/>
        <v>-1.0845131635800174</v>
      </c>
      <c r="F82" s="223">
        <f t="shared" si="20"/>
        <v>0.37054341246889499</v>
      </c>
      <c r="G82" s="223">
        <f t="shared" si="20"/>
        <v>0.19191291674257607</v>
      </c>
      <c r="H82" s="223">
        <f t="shared" si="20"/>
        <v>0.27137438011206289</v>
      </c>
      <c r="I82" s="223">
        <f t="shared" si="20"/>
        <v>0.31892687625480159</v>
      </c>
      <c r="J82" s="223">
        <f t="shared" si="20"/>
        <v>-1.5058114349418701</v>
      </c>
      <c r="K82" s="223">
        <f t="shared" si="20"/>
        <v>7.2459859890892903E-2</v>
      </c>
      <c r="L82" s="223">
        <f t="shared" si="20"/>
        <v>0.3798216285997017</v>
      </c>
      <c r="M82" s="223">
        <f t="shared" si="20"/>
        <v>0.12877416693726024</v>
      </c>
      <c r="N82" s="223">
        <f t="shared" si="20"/>
        <v>-9.3043645958968274E-2</v>
      </c>
      <c r="O82" s="223">
        <f t="shared" si="20"/>
        <v>5.4102360129864413E-2</v>
      </c>
      <c r="P82" s="223" t="e">
        <f t="shared" si="20"/>
        <v>#DIV/0!</v>
      </c>
      <c r="Q82" s="223">
        <f t="shared" si="20"/>
        <v>0.48331154725317893</v>
      </c>
      <c r="R82" s="223">
        <f t="shared" si="20"/>
        <v>0.5554625548926555</v>
      </c>
      <c r="S82" s="223">
        <f t="shared" si="20"/>
        <v>0.52053137955526974</v>
      </c>
      <c r="T82" s="223">
        <f t="shared" si="20"/>
        <v>0.58080998701221942</v>
      </c>
      <c r="U82" s="223">
        <f t="shared" si="20"/>
        <v>0.60395771115805252</v>
      </c>
      <c r="V82" s="223">
        <f t="shared" si="20"/>
        <v>0.55361328029516199</v>
      </c>
      <c r="W82" s="223">
        <f t="shared" si="20"/>
        <v>0.52642612012808299</v>
      </c>
      <c r="X82" s="223">
        <f t="shared" si="20"/>
        <v>0.38529300353188528</v>
      </c>
      <c r="Y82" s="223">
        <f t="shared" si="20"/>
        <v>0.36645072261025091</v>
      </c>
      <c r="Z82" s="223">
        <f t="shared" si="20"/>
        <v>0.48658890510095981</v>
      </c>
    </row>
    <row r="83" spans="2:32">
      <c r="E83" t="s">
        <v>271</v>
      </c>
      <c r="F83" s="202">
        <f>500000/1.35</f>
        <v>370370.37037037034</v>
      </c>
    </row>
    <row r="84" spans="2:32">
      <c r="B84" s="30" t="s">
        <v>93</v>
      </c>
      <c r="C84" s="31">
        <f>D41/D26</f>
        <v>0.56686560765668859</v>
      </c>
      <c r="E84" t="s">
        <v>272</v>
      </c>
      <c r="F84" s="202">
        <f>+F83-D30</f>
        <v>237340.37037037034</v>
      </c>
    </row>
    <row r="85" spans="2:32">
      <c r="E85" s="201"/>
      <c r="F85" s="201"/>
      <c r="G85" s="201"/>
    </row>
    <row r="86" spans="2:32">
      <c r="D86" s="200"/>
      <c r="E86" s="10"/>
      <c r="F86" s="10"/>
      <c r="G86" s="10"/>
    </row>
    <row r="87" spans="2:32" ht="15.75">
      <c r="D87" s="346" t="s">
        <v>273</v>
      </c>
      <c r="E87" s="346"/>
      <c r="F87" s="346"/>
      <c r="G87" s="346"/>
      <c r="H87" s="346"/>
      <c r="I87" s="346"/>
      <c r="J87" s="346"/>
      <c r="K87" s="346"/>
      <c r="L87" s="346"/>
      <c r="M87" s="346"/>
    </row>
    <row r="88" spans="2:32" ht="15.75">
      <c r="D88" s="203" t="s">
        <v>274</v>
      </c>
      <c r="E88" s="207" t="s">
        <v>271</v>
      </c>
      <c r="F88" s="207" t="s">
        <v>275</v>
      </c>
      <c r="G88" s="207" t="s">
        <v>61</v>
      </c>
      <c r="H88" s="207" t="s">
        <v>276</v>
      </c>
      <c r="I88" s="207" t="s">
        <v>277</v>
      </c>
      <c r="J88" s="207" t="s">
        <v>278</v>
      </c>
      <c r="K88" s="207" t="s">
        <v>279</v>
      </c>
      <c r="L88" s="203" t="s">
        <v>280</v>
      </c>
      <c r="M88" s="203" t="s">
        <v>281</v>
      </c>
      <c r="O88" s="336" t="s">
        <v>282</v>
      </c>
      <c r="P88" s="337"/>
      <c r="Q88" s="338"/>
      <c r="R88" s="336" t="s">
        <v>283</v>
      </c>
      <c r="S88" s="337"/>
      <c r="T88" s="338"/>
    </row>
    <row r="89" spans="2:32" ht="15.75">
      <c r="D89" s="214">
        <v>16000</v>
      </c>
      <c r="E89" s="208">
        <f>+$F$83</f>
        <v>370370.37037037034</v>
      </c>
      <c r="F89" s="209">
        <f>+E89/D89</f>
        <v>23.148148148148145</v>
      </c>
      <c r="G89" s="209">
        <v>15000</v>
      </c>
      <c r="H89" s="208">
        <f>(D89*$C$63)*F89</f>
        <v>10370370.370370369</v>
      </c>
      <c r="I89" s="208">
        <f>+($C$78+$C$77)*F89</f>
        <v>2662037.0370370368</v>
      </c>
      <c r="J89" s="208">
        <f>H89*$C$76</f>
        <v>3214814.8148148144</v>
      </c>
      <c r="K89" s="208">
        <f>+(G89*$C$79)*F89</f>
        <v>3055555.555555555</v>
      </c>
      <c r="L89" s="204">
        <f>+H89-I89-J89-K89</f>
        <v>1437962.9629629627</v>
      </c>
      <c r="M89" s="217">
        <f>+L89/H89</f>
        <v>0.13866071428571428</v>
      </c>
      <c r="O89" s="347">
        <f>(L89/(F89*24))</f>
        <v>2588.3333333333335</v>
      </c>
      <c r="P89" s="348"/>
      <c r="Q89" s="349"/>
      <c r="R89" s="339">
        <f>+O89/60</f>
        <v>43.138888888888893</v>
      </c>
      <c r="S89" s="339"/>
      <c r="T89" s="340"/>
    </row>
    <row r="90" spans="2:32" ht="15.75">
      <c r="D90" s="215">
        <v>17000</v>
      </c>
      <c r="E90" s="210">
        <f t="shared" ref="E90:E99" si="21">+$F$83</f>
        <v>370370.37037037034</v>
      </c>
      <c r="F90" s="211">
        <f>+E90/D90</f>
        <v>21.786492374727668</v>
      </c>
      <c r="G90" s="211">
        <f>+G89</f>
        <v>15000</v>
      </c>
      <c r="H90" s="210">
        <f>(D90*$C$63)*F90</f>
        <v>10370370.370370369</v>
      </c>
      <c r="I90" s="210">
        <f t="shared" ref="I90:I99" si="22">+($C$78+$C$77)*F90</f>
        <v>2505446.6230936819</v>
      </c>
      <c r="J90" s="210">
        <f t="shared" ref="J90:J99" si="23">H90*$C$76</f>
        <v>3214814.8148148144</v>
      </c>
      <c r="K90" s="210">
        <f t="shared" ref="K90:K99" si="24">+(G90*$C$79)*F90</f>
        <v>2875816.9934640522</v>
      </c>
      <c r="L90" s="205">
        <f t="shared" ref="L90:L99" si="25">+H90-I90-J90-K90</f>
        <v>1774291.9389978214</v>
      </c>
      <c r="M90" s="217">
        <f t="shared" ref="M90:M99" si="26">+L90/H90</f>
        <v>0.17109243697478993</v>
      </c>
      <c r="O90" s="333">
        <f t="shared" ref="O90:O99" si="27">(L90/(F90*24))</f>
        <v>3393.3333333333335</v>
      </c>
      <c r="P90" s="334"/>
      <c r="Q90" s="335"/>
      <c r="R90" s="329">
        <f t="shared" ref="R90:R99" si="28">+O90/60</f>
        <v>56.555555555555557</v>
      </c>
      <c r="S90" s="329"/>
      <c r="T90" s="330"/>
    </row>
    <row r="91" spans="2:32" ht="15.75">
      <c r="D91" s="215">
        <v>18000</v>
      </c>
      <c r="E91" s="210">
        <f t="shared" si="21"/>
        <v>370370.37037037034</v>
      </c>
      <c r="F91" s="211">
        <f t="shared" ref="F91:F99" si="29">+E91/D91</f>
        <v>20.576131687242796</v>
      </c>
      <c r="G91" s="211">
        <f t="shared" ref="G91:G99" si="30">+G90</f>
        <v>15000</v>
      </c>
      <c r="H91" s="210">
        <f t="shared" ref="H91:H99" si="31">(D91*$C$63)*F91</f>
        <v>10370370.370370369</v>
      </c>
      <c r="I91" s="210">
        <f t="shared" si="22"/>
        <v>2366255.1440329216</v>
      </c>
      <c r="J91" s="210">
        <f t="shared" si="23"/>
        <v>3214814.8148148144</v>
      </c>
      <c r="K91" s="210">
        <f t="shared" si="24"/>
        <v>2716049.382716049</v>
      </c>
      <c r="L91" s="205">
        <f t="shared" si="25"/>
        <v>2073251.0288065844</v>
      </c>
      <c r="M91" s="217">
        <f t="shared" si="26"/>
        <v>0.19992063492063494</v>
      </c>
      <c r="O91" s="333">
        <f t="shared" si="27"/>
        <v>4198.3333333333339</v>
      </c>
      <c r="P91" s="334"/>
      <c r="Q91" s="335"/>
      <c r="R91" s="329">
        <f t="shared" si="28"/>
        <v>69.972222222222229</v>
      </c>
      <c r="S91" s="329"/>
      <c r="T91" s="330"/>
    </row>
    <row r="92" spans="2:32" ht="15.75">
      <c r="D92" s="215">
        <v>19000</v>
      </c>
      <c r="E92" s="210">
        <f t="shared" si="21"/>
        <v>370370.37037037034</v>
      </c>
      <c r="F92" s="211">
        <f t="shared" si="29"/>
        <v>19.49317738791423</v>
      </c>
      <c r="G92" s="211">
        <f t="shared" si="30"/>
        <v>15000</v>
      </c>
      <c r="H92" s="210">
        <f t="shared" si="31"/>
        <v>10370370.370370369</v>
      </c>
      <c r="I92" s="210">
        <f t="shared" si="22"/>
        <v>2241715.3996101366</v>
      </c>
      <c r="J92" s="210">
        <f t="shared" si="23"/>
        <v>3214814.8148148144</v>
      </c>
      <c r="K92" s="210">
        <f t="shared" si="24"/>
        <v>2573099.4152046782</v>
      </c>
      <c r="L92" s="205">
        <f t="shared" si="25"/>
        <v>2340740.7407407402</v>
      </c>
      <c r="M92" s="217">
        <f t="shared" si="26"/>
        <v>0.22571428571428567</v>
      </c>
      <c r="O92" s="333">
        <f t="shared" si="27"/>
        <v>5003.3333333333321</v>
      </c>
      <c r="P92" s="334"/>
      <c r="Q92" s="335"/>
      <c r="R92" s="329">
        <f t="shared" si="28"/>
        <v>83.388888888888872</v>
      </c>
      <c r="S92" s="329"/>
      <c r="T92" s="330"/>
    </row>
    <row r="93" spans="2:32" ht="15.75">
      <c r="D93" s="215">
        <v>20000</v>
      </c>
      <c r="E93" s="219">
        <f t="shared" si="21"/>
        <v>370370.37037037034</v>
      </c>
      <c r="F93" s="220">
        <f t="shared" si="29"/>
        <v>18.518518518518515</v>
      </c>
      <c r="G93" s="220">
        <f t="shared" si="30"/>
        <v>15000</v>
      </c>
      <c r="H93" s="219">
        <f t="shared" si="31"/>
        <v>10370370.370370369</v>
      </c>
      <c r="I93" s="219">
        <f t="shared" si="22"/>
        <v>2129629.6296296292</v>
      </c>
      <c r="J93" s="219">
        <f t="shared" si="23"/>
        <v>3214814.8148148144</v>
      </c>
      <c r="K93" s="219">
        <f t="shared" si="24"/>
        <v>2444444.444444444</v>
      </c>
      <c r="L93" s="221">
        <f t="shared" si="25"/>
        <v>2581481.4814814823</v>
      </c>
      <c r="M93" s="222">
        <f t="shared" si="26"/>
        <v>0.24892857142857153</v>
      </c>
      <c r="O93" s="333">
        <f t="shared" si="27"/>
        <v>5808.3333333333367</v>
      </c>
      <c r="P93" s="334"/>
      <c r="Q93" s="335"/>
      <c r="R93" s="329">
        <f t="shared" si="28"/>
        <v>96.805555555555614</v>
      </c>
      <c r="S93" s="329"/>
      <c r="T93" s="330"/>
    </row>
    <row r="94" spans="2:32" ht="15.75">
      <c r="D94" s="215">
        <v>21000</v>
      </c>
      <c r="E94" s="210">
        <f t="shared" si="21"/>
        <v>370370.37037037034</v>
      </c>
      <c r="F94" s="211">
        <f t="shared" si="29"/>
        <v>17.636684303350968</v>
      </c>
      <c r="G94" s="211">
        <f t="shared" si="30"/>
        <v>15000</v>
      </c>
      <c r="H94" s="210">
        <f t="shared" si="31"/>
        <v>10370370.370370369</v>
      </c>
      <c r="I94" s="210">
        <f t="shared" si="22"/>
        <v>2028218.6948853612</v>
      </c>
      <c r="J94" s="210">
        <f t="shared" si="23"/>
        <v>3214814.8148148144</v>
      </c>
      <c r="K94" s="210">
        <f t="shared" si="24"/>
        <v>2328042.3280423279</v>
      </c>
      <c r="L94" s="205">
        <f t="shared" si="25"/>
        <v>2799294.5326278661</v>
      </c>
      <c r="M94" s="217">
        <f t="shared" si="26"/>
        <v>0.26993197278911568</v>
      </c>
      <c r="O94" s="333">
        <f t="shared" si="27"/>
        <v>6613.3333333333348</v>
      </c>
      <c r="P94" s="334"/>
      <c r="Q94" s="335"/>
      <c r="R94" s="329">
        <f t="shared" si="28"/>
        <v>110.22222222222224</v>
      </c>
      <c r="S94" s="329"/>
      <c r="T94" s="330"/>
    </row>
    <row r="95" spans="2:32" ht="15.75">
      <c r="D95" s="215">
        <v>22000</v>
      </c>
      <c r="E95" s="210">
        <f t="shared" si="21"/>
        <v>370370.37037037034</v>
      </c>
      <c r="F95" s="211">
        <f t="shared" si="29"/>
        <v>16.835016835016834</v>
      </c>
      <c r="G95" s="211">
        <f t="shared" si="30"/>
        <v>15000</v>
      </c>
      <c r="H95" s="210">
        <f t="shared" si="31"/>
        <v>10370370.370370369</v>
      </c>
      <c r="I95" s="210">
        <f t="shared" si="22"/>
        <v>1936026.9360269359</v>
      </c>
      <c r="J95" s="210">
        <f t="shared" si="23"/>
        <v>3214814.8148148144</v>
      </c>
      <c r="K95" s="210">
        <f t="shared" si="24"/>
        <v>2222222.222222222</v>
      </c>
      <c r="L95" s="205">
        <f t="shared" si="25"/>
        <v>2997306.3973063966</v>
      </c>
      <c r="M95" s="217">
        <f t="shared" si="26"/>
        <v>0.28902597402597396</v>
      </c>
      <c r="O95" s="333">
        <f t="shared" si="27"/>
        <v>7418.3333333333312</v>
      </c>
      <c r="P95" s="334"/>
      <c r="Q95" s="335"/>
      <c r="R95" s="329">
        <f t="shared" si="28"/>
        <v>123.63888888888886</v>
      </c>
      <c r="S95" s="329"/>
      <c r="T95" s="330"/>
    </row>
    <row r="96" spans="2:32" ht="15.75">
      <c r="D96" s="215">
        <v>23000</v>
      </c>
      <c r="E96" s="210">
        <f t="shared" si="21"/>
        <v>370370.37037037034</v>
      </c>
      <c r="F96" s="211">
        <f t="shared" si="29"/>
        <v>16.103059581320448</v>
      </c>
      <c r="G96" s="211">
        <f t="shared" si="30"/>
        <v>15000</v>
      </c>
      <c r="H96" s="210">
        <f t="shared" si="31"/>
        <v>10370370.370370368</v>
      </c>
      <c r="I96" s="210">
        <f t="shared" si="22"/>
        <v>1851851.8518518514</v>
      </c>
      <c r="J96" s="210">
        <f t="shared" si="23"/>
        <v>3214814.8148148139</v>
      </c>
      <c r="K96" s="210">
        <f t="shared" si="24"/>
        <v>2125603.864734299</v>
      </c>
      <c r="L96" s="205">
        <f t="shared" si="25"/>
        <v>3178099.8389694043</v>
      </c>
      <c r="M96" s="217">
        <f t="shared" si="26"/>
        <v>0.30645962732919263</v>
      </c>
      <c r="O96" s="333">
        <f t="shared" si="27"/>
        <v>8223.3333333333358</v>
      </c>
      <c r="P96" s="334"/>
      <c r="Q96" s="335"/>
      <c r="R96" s="329">
        <f t="shared" si="28"/>
        <v>137.0555555555556</v>
      </c>
      <c r="S96" s="329"/>
      <c r="T96" s="330"/>
    </row>
    <row r="97" spans="4:20" ht="15.75">
      <c r="D97" s="215">
        <v>24000</v>
      </c>
      <c r="E97" s="210">
        <f t="shared" si="21"/>
        <v>370370.37037037034</v>
      </c>
      <c r="F97" s="211">
        <f t="shared" si="29"/>
        <v>15.432098765432098</v>
      </c>
      <c r="G97" s="211">
        <f t="shared" si="30"/>
        <v>15000</v>
      </c>
      <c r="H97" s="210">
        <f t="shared" si="31"/>
        <v>10370370.370370369</v>
      </c>
      <c r="I97" s="210">
        <f t="shared" si="22"/>
        <v>1774691.3580246912</v>
      </c>
      <c r="J97" s="210">
        <f t="shared" si="23"/>
        <v>3214814.8148148144</v>
      </c>
      <c r="K97" s="210">
        <f t="shared" si="24"/>
        <v>2037037.0370370368</v>
      </c>
      <c r="L97" s="205">
        <f t="shared" si="25"/>
        <v>3343827.1604938279</v>
      </c>
      <c r="M97" s="217">
        <f t="shared" si="26"/>
        <v>0.32244047619047628</v>
      </c>
      <c r="O97" s="333">
        <f t="shared" si="27"/>
        <v>9028.3333333333358</v>
      </c>
      <c r="P97" s="334"/>
      <c r="Q97" s="335"/>
      <c r="R97" s="329">
        <f t="shared" si="28"/>
        <v>150.47222222222226</v>
      </c>
      <c r="S97" s="329"/>
      <c r="T97" s="330"/>
    </row>
    <row r="98" spans="4:20" ht="15.75">
      <c r="D98" s="215">
        <v>25000</v>
      </c>
      <c r="E98" s="210">
        <f t="shared" si="21"/>
        <v>370370.37037037034</v>
      </c>
      <c r="F98" s="211">
        <f t="shared" si="29"/>
        <v>14.814814814814813</v>
      </c>
      <c r="G98" s="211">
        <f t="shared" si="30"/>
        <v>15000</v>
      </c>
      <c r="H98" s="210">
        <f t="shared" si="31"/>
        <v>10370370.370370369</v>
      </c>
      <c r="I98" s="210">
        <f t="shared" si="22"/>
        <v>1703703.7037037036</v>
      </c>
      <c r="J98" s="210">
        <f t="shared" si="23"/>
        <v>3214814.8148148144</v>
      </c>
      <c r="K98" s="210">
        <f t="shared" si="24"/>
        <v>1955555.5555555553</v>
      </c>
      <c r="L98" s="205">
        <f t="shared" si="25"/>
        <v>3496296.2962962966</v>
      </c>
      <c r="M98" s="217">
        <f t="shared" si="26"/>
        <v>0.33714285714285719</v>
      </c>
      <c r="O98" s="333">
        <f t="shared" si="27"/>
        <v>9833.3333333333339</v>
      </c>
      <c r="P98" s="334"/>
      <c r="Q98" s="335"/>
      <c r="R98" s="329">
        <f t="shared" si="28"/>
        <v>163.88888888888889</v>
      </c>
      <c r="S98" s="329"/>
      <c r="T98" s="330"/>
    </row>
    <row r="99" spans="4:20" ht="15.75">
      <c r="D99" s="216">
        <v>26000</v>
      </c>
      <c r="E99" s="212">
        <f t="shared" si="21"/>
        <v>370370.37037037034</v>
      </c>
      <c r="F99" s="213">
        <f t="shared" si="29"/>
        <v>14.245014245014243</v>
      </c>
      <c r="G99" s="213">
        <f t="shared" si="30"/>
        <v>15000</v>
      </c>
      <c r="H99" s="212">
        <f t="shared" si="31"/>
        <v>10370370.370370369</v>
      </c>
      <c r="I99" s="212">
        <f t="shared" si="22"/>
        <v>1638176.6381766379</v>
      </c>
      <c r="J99" s="212">
        <f t="shared" si="23"/>
        <v>3214814.8148148144</v>
      </c>
      <c r="K99" s="212">
        <f t="shared" si="24"/>
        <v>1880341.88034188</v>
      </c>
      <c r="L99" s="206">
        <f t="shared" si="25"/>
        <v>3637037.0370370364</v>
      </c>
      <c r="M99" s="218">
        <f t="shared" si="26"/>
        <v>0.3507142857142857</v>
      </c>
      <c r="O99" s="343">
        <f t="shared" si="27"/>
        <v>10638.333333333334</v>
      </c>
      <c r="P99" s="344"/>
      <c r="Q99" s="345"/>
      <c r="R99" s="331">
        <f t="shared" si="28"/>
        <v>177.30555555555557</v>
      </c>
      <c r="S99" s="331"/>
      <c r="T99" s="332"/>
    </row>
  </sheetData>
  <mergeCells count="32">
    <mergeCell ref="B82:C82"/>
    <mergeCell ref="O96:Q96"/>
    <mergeCell ref="O97:Q97"/>
    <mergeCell ref="O98:Q98"/>
    <mergeCell ref="O99:Q99"/>
    <mergeCell ref="D87:M87"/>
    <mergeCell ref="O88:Q88"/>
    <mergeCell ref="O89:Q89"/>
    <mergeCell ref="O90:Q90"/>
    <mergeCell ref="R88:T88"/>
    <mergeCell ref="R89:T89"/>
    <mergeCell ref="R90:T90"/>
    <mergeCell ref="R91:T91"/>
    <mergeCell ref="R92:T92"/>
    <mergeCell ref="R98:T98"/>
    <mergeCell ref="R99:T99"/>
    <mergeCell ref="O91:Q91"/>
    <mergeCell ref="O92:Q92"/>
    <mergeCell ref="O93:Q93"/>
    <mergeCell ref="O94:Q94"/>
    <mergeCell ref="O95:Q95"/>
    <mergeCell ref="R93:T93"/>
    <mergeCell ref="R94:T94"/>
    <mergeCell ref="R95:T95"/>
    <mergeCell ref="R96:T96"/>
    <mergeCell ref="R97:T97"/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F81 B8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C2E-BE82-4C29-B419-9695867E6388}">
  <dimension ref="A2:AH86"/>
  <sheetViews>
    <sheetView topLeftCell="G5" workbookViewId="0">
      <selection activeCell="G5" sqref="G5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6.28515625" bestFit="1" customWidth="1"/>
    <col min="5" max="5" width="14" bestFit="1" customWidth="1"/>
    <col min="6" max="6" width="13.5703125" bestFit="1" customWidth="1"/>
    <col min="7" max="7" width="16.42578125" bestFit="1" customWidth="1"/>
    <col min="8" max="8" width="16.5703125" bestFit="1" customWidth="1"/>
    <col min="9" max="12" width="13.85546875" bestFit="1" customWidth="1"/>
    <col min="13" max="13" width="12.7109375" customWidth="1"/>
  </cols>
  <sheetData>
    <row r="2" spans="2:34" ht="15.75">
      <c r="B2" s="54" t="s">
        <v>0</v>
      </c>
      <c r="C2" s="109" t="s">
        <v>1</v>
      </c>
    </row>
    <row r="3" spans="2:34" ht="15.75">
      <c r="B3" s="54" t="s">
        <v>2</v>
      </c>
      <c r="C3" s="109">
        <v>2</v>
      </c>
    </row>
    <row r="4" spans="2:34" ht="15.75">
      <c r="B4" s="54" t="s">
        <v>3</v>
      </c>
      <c r="C4" s="110">
        <v>44971</v>
      </c>
    </row>
    <row r="5" spans="2:34" ht="15.75">
      <c r="B5" s="54" t="s">
        <v>4</v>
      </c>
      <c r="C5" s="110"/>
    </row>
    <row r="6" spans="2:34" ht="15.75">
      <c r="B6" s="179" t="s">
        <v>230</v>
      </c>
      <c r="C6" s="110" t="s">
        <v>284</v>
      </c>
    </row>
    <row r="7" spans="2:34" ht="15.75">
      <c r="B7" s="2"/>
      <c r="C7" s="2"/>
    </row>
    <row r="8" spans="2:34" ht="15.75">
      <c r="B8" s="54" t="s">
        <v>5</v>
      </c>
      <c r="D8" s="41" t="s">
        <v>6</v>
      </c>
      <c r="E8" s="42">
        <v>44971</v>
      </c>
      <c r="F8" s="42">
        <v>44972</v>
      </c>
      <c r="G8" s="42">
        <v>44973</v>
      </c>
      <c r="H8" s="42">
        <v>44974</v>
      </c>
      <c r="I8" s="42">
        <v>44975</v>
      </c>
      <c r="J8" s="42">
        <v>44976</v>
      </c>
      <c r="K8" s="42">
        <v>44977</v>
      </c>
      <c r="L8" s="42">
        <v>44978</v>
      </c>
      <c r="M8" s="42">
        <v>44979</v>
      </c>
      <c r="N8" s="42">
        <v>44980</v>
      </c>
      <c r="O8" s="42">
        <v>44981</v>
      </c>
      <c r="P8" s="42">
        <v>44982</v>
      </c>
      <c r="Q8" s="42">
        <v>44983</v>
      </c>
      <c r="R8" s="42">
        <v>44984</v>
      </c>
      <c r="S8" s="42">
        <v>44985</v>
      </c>
      <c r="T8" s="42">
        <v>44986</v>
      </c>
      <c r="U8" s="42">
        <v>44987</v>
      </c>
      <c r="V8" s="42">
        <v>44988</v>
      </c>
      <c r="W8" s="42">
        <v>44989</v>
      </c>
      <c r="X8" s="42">
        <v>44990</v>
      </c>
      <c r="Y8" s="42">
        <v>44991</v>
      </c>
      <c r="Z8" s="42">
        <v>44992</v>
      </c>
      <c r="AA8" s="42">
        <v>44993</v>
      </c>
      <c r="AB8" s="42">
        <v>44994</v>
      </c>
      <c r="AC8" s="42">
        <v>44995</v>
      </c>
      <c r="AD8" s="42">
        <v>44996</v>
      </c>
      <c r="AE8" s="42">
        <v>44997</v>
      </c>
      <c r="AF8" s="42">
        <v>44998</v>
      </c>
      <c r="AG8" s="42">
        <v>44999</v>
      </c>
      <c r="AH8" s="42">
        <v>45000</v>
      </c>
    </row>
    <row r="9" spans="2:34">
      <c r="B9" s="46" t="s">
        <v>7</v>
      </c>
      <c r="C9" s="47" t="s">
        <v>8</v>
      </c>
      <c r="D9" s="71">
        <f>SUM(E9:N9)</f>
        <v>205</v>
      </c>
      <c r="E9" s="114">
        <v>0</v>
      </c>
      <c r="F9" s="114">
        <v>14.5</v>
      </c>
      <c r="G9" s="114">
        <v>24</v>
      </c>
      <c r="H9" s="114">
        <v>24</v>
      </c>
      <c r="I9" s="114">
        <v>24</v>
      </c>
      <c r="J9" s="114">
        <v>22.5</v>
      </c>
      <c r="K9" s="114">
        <v>24</v>
      </c>
      <c r="L9" s="114">
        <v>24</v>
      </c>
      <c r="M9" s="114">
        <v>24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0</v>
      </c>
      <c r="AA9" s="114">
        <v>24</v>
      </c>
      <c r="AB9" s="114">
        <v>24</v>
      </c>
      <c r="AC9" s="114">
        <v>24</v>
      </c>
      <c r="AD9" s="114">
        <v>22</v>
      </c>
      <c r="AE9" s="114">
        <v>0</v>
      </c>
      <c r="AF9" s="114">
        <v>0</v>
      </c>
      <c r="AG9" s="114">
        <v>0</v>
      </c>
      <c r="AH9" s="114">
        <v>0</v>
      </c>
    </row>
    <row r="10" spans="2:34">
      <c r="B10" s="48" t="s">
        <v>9</v>
      </c>
      <c r="C10" s="38" t="s">
        <v>8</v>
      </c>
      <c r="D10" s="71">
        <f t="shared" ref="D10:D16" si="0">SUM(E10:K10)</f>
        <v>5</v>
      </c>
      <c r="E10" s="115">
        <v>0</v>
      </c>
      <c r="F10" s="115">
        <v>5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2</v>
      </c>
      <c r="AE10" s="115">
        <v>0</v>
      </c>
      <c r="AF10" s="115">
        <v>0</v>
      </c>
      <c r="AG10" s="115">
        <v>0</v>
      </c>
      <c r="AH10" s="115">
        <v>0</v>
      </c>
    </row>
    <row r="11" spans="2:34">
      <c r="B11" s="48" t="s">
        <v>10</v>
      </c>
      <c r="C11" s="38" t="s">
        <v>8</v>
      </c>
      <c r="D11" s="71">
        <f t="shared" si="0"/>
        <v>1.5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1.5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</row>
    <row r="12" spans="2:34">
      <c r="B12" s="48" t="s">
        <v>11</v>
      </c>
      <c r="C12" s="38" t="s">
        <v>8</v>
      </c>
      <c r="D12" s="71">
        <f t="shared" si="0"/>
        <v>6</v>
      </c>
      <c r="E12" s="115">
        <v>6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</row>
    <row r="13" spans="2:34">
      <c r="B13" s="48" t="s">
        <v>12</v>
      </c>
      <c r="C13" s="38" t="s">
        <v>8</v>
      </c>
      <c r="D13" s="71">
        <f t="shared" si="0"/>
        <v>16.5</v>
      </c>
      <c r="E13" s="115">
        <v>16.5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</row>
    <row r="14" spans="2:34">
      <c r="B14" s="48" t="s">
        <v>13</v>
      </c>
      <c r="C14" s="38" t="s">
        <v>8</v>
      </c>
      <c r="D14" s="71">
        <f t="shared" si="0"/>
        <v>6</v>
      </c>
      <c r="E14" s="115">
        <v>1.5</v>
      </c>
      <c r="F14" s="115">
        <v>4.5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</row>
    <row r="15" spans="2:34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</row>
    <row r="16" spans="2:34">
      <c r="B16" s="68" t="s">
        <v>15</v>
      </c>
      <c r="C16" s="69" t="s">
        <v>8</v>
      </c>
      <c r="D16" s="70">
        <f t="shared" si="0"/>
        <v>168</v>
      </c>
      <c r="E16" s="117">
        <f t="shared" ref="E16:F16" si="1">SUM(E9:E15)</f>
        <v>24</v>
      </c>
      <c r="F16" s="117">
        <f t="shared" si="1"/>
        <v>24</v>
      </c>
      <c r="G16" s="117">
        <f t="shared" ref="G16:AH16" si="2">SUM(G9:G15)</f>
        <v>24</v>
      </c>
      <c r="H16" s="117">
        <f t="shared" si="2"/>
        <v>24</v>
      </c>
      <c r="I16" s="117">
        <f t="shared" si="2"/>
        <v>24</v>
      </c>
      <c r="J16" s="117">
        <f t="shared" si="2"/>
        <v>24</v>
      </c>
      <c r="K16" s="117">
        <f t="shared" si="2"/>
        <v>24</v>
      </c>
      <c r="L16" s="117">
        <f t="shared" si="2"/>
        <v>24</v>
      </c>
      <c r="M16" s="117">
        <f t="shared" si="2"/>
        <v>24</v>
      </c>
      <c r="N16" s="117">
        <f t="shared" si="2"/>
        <v>24</v>
      </c>
      <c r="O16" s="117">
        <f t="shared" si="2"/>
        <v>24</v>
      </c>
      <c r="P16" s="117">
        <f t="shared" si="2"/>
        <v>24</v>
      </c>
      <c r="Q16" s="117">
        <f t="shared" si="2"/>
        <v>24</v>
      </c>
      <c r="R16" s="117">
        <f t="shared" si="2"/>
        <v>24</v>
      </c>
      <c r="S16" s="117">
        <f t="shared" si="2"/>
        <v>24</v>
      </c>
      <c r="T16" s="117">
        <f t="shared" si="2"/>
        <v>24</v>
      </c>
      <c r="U16" s="117">
        <f t="shared" si="2"/>
        <v>24</v>
      </c>
      <c r="V16" s="117">
        <f t="shared" si="2"/>
        <v>24</v>
      </c>
      <c r="W16" s="117">
        <f t="shared" si="2"/>
        <v>24</v>
      </c>
      <c r="X16" s="117">
        <f t="shared" si="2"/>
        <v>24</v>
      </c>
      <c r="Y16" s="117">
        <f t="shared" si="2"/>
        <v>24</v>
      </c>
      <c r="Z16" s="117">
        <f t="shared" si="2"/>
        <v>0</v>
      </c>
      <c r="AA16" s="117">
        <f t="shared" si="2"/>
        <v>24</v>
      </c>
      <c r="AB16" s="117">
        <f t="shared" si="2"/>
        <v>24</v>
      </c>
      <c r="AC16" s="117">
        <f t="shared" si="2"/>
        <v>24</v>
      </c>
      <c r="AD16" s="117">
        <f t="shared" si="2"/>
        <v>24</v>
      </c>
      <c r="AE16" s="117">
        <f t="shared" si="2"/>
        <v>0</v>
      </c>
      <c r="AF16" s="117">
        <f t="shared" si="2"/>
        <v>0</v>
      </c>
      <c r="AG16" s="117">
        <f t="shared" si="2"/>
        <v>0</v>
      </c>
      <c r="AH16" s="117">
        <f t="shared" si="2"/>
        <v>0</v>
      </c>
    </row>
    <row r="18" spans="1:34">
      <c r="B18" s="50" t="s">
        <v>16</v>
      </c>
      <c r="C18" s="50" t="s">
        <v>0</v>
      </c>
      <c r="D18" s="58">
        <f>SUM(E18:K18)</f>
        <v>0</v>
      </c>
      <c r="E18" s="127">
        <v>0</v>
      </c>
      <c r="F18" s="127" t="s">
        <v>220</v>
      </c>
      <c r="G18" s="127" t="s">
        <v>285</v>
      </c>
      <c r="H18" s="127" t="s">
        <v>286</v>
      </c>
      <c r="I18" s="127" t="s">
        <v>287</v>
      </c>
      <c r="J18" s="127" t="s">
        <v>288</v>
      </c>
      <c r="K18" s="127" t="s">
        <v>289</v>
      </c>
      <c r="L18" s="127" t="s">
        <v>289</v>
      </c>
      <c r="M18" s="127" t="s">
        <v>289</v>
      </c>
      <c r="N18" s="127" t="s">
        <v>290</v>
      </c>
      <c r="O18" s="127" t="s">
        <v>220</v>
      </c>
      <c r="P18" s="127" t="s">
        <v>220</v>
      </c>
      <c r="Q18" s="127" t="s">
        <v>291</v>
      </c>
      <c r="R18" s="127" t="s">
        <v>220</v>
      </c>
      <c r="S18" s="127" t="s">
        <v>124</v>
      </c>
      <c r="T18" s="127" t="s">
        <v>285</v>
      </c>
      <c r="U18" s="127" t="s">
        <v>292</v>
      </c>
      <c r="V18" s="127" t="s">
        <v>293</v>
      </c>
      <c r="W18" s="127" t="s">
        <v>293</v>
      </c>
      <c r="X18" s="127" t="s">
        <v>285</v>
      </c>
      <c r="Y18" s="127" t="s">
        <v>285</v>
      </c>
      <c r="Z18" s="127" t="s">
        <v>285</v>
      </c>
      <c r="AA18" s="127" t="s">
        <v>288</v>
      </c>
      <c r="AB18" s="127" t="s">
        <v>288</v>
      </c>
      <c r="AC18" s="127" t="s">
        <v>285</v>
      </c>
      <c r="AD18" s="127" t="s">
        <v>118</v>
      </c>
      <c r="AE18" s="127"/>
      <c r="AF18" s="127"/>
      <c r="AG18" s="127"/>
      <c r="AH18" s="127"/>
    </row>
    <row r="19" spans="1:34">
      <c r="B19" s="37" t="s">
        <v>31</v>
      </c>
      <c r="C19" s="37" t="s">
        <v>32</v>
      </c>
      <c r="D19" s="131">
        <f>SUM(E19:K19)</f>
        <v>88.5</v>
      </c>
      <c r="E19" s="162">
        <v>0</v>
      </c>
      <c r="F19" s="162">
        <v>11.5</v>
      </c>
      <c r="G19" s="162">
        <v>18</v>
      </c>
      <c r="H19" s="162">
        <v>17.5</v>
      </c>
      <c r="I19" s="162">
        <v>16</v>
      </c>
      <c r="J19" s="162">
        <v>13</v>
      </c>
      <c r="K19" s="162">
        <v>12.5</v>
      </c>
      <c r="L19" s="162">
        <v>19</v>
      </c>
      <c r="M19" s="162">
        <v>16</v>
      </c>
      <c r="N19" s="162">
        <v>11.5</v>
      </c>
      <c r="O19" s="162">
        <v>12</v>
      </c>
      <c r="P19" s="162">
        <v>18</v>
      </c>
      <c r="Q19" s="162">
        <v>17</v>
      </c>
      <c r="R19" s="162">
        <v>5</v>
      </c>
      <c r="S19" s="162">
        <v>9</v>
      </c>
      <c r="T19" s="162">
        <v>15</v>
      </c>
      <c r="U19" s="162">
        <v>18</v>
      </c>
      <c r="V19" s="162">
        <v>9</v>
      </c>
      <c r="W19" s="162">
        <v>6</v>
      </c>
      <c r="X19" s="162">
        <v>16</v>
      </c>
      <c r="Y19" s="162">
        <v>18.5</v>
      </c>
      <c r="Z19" s="162">
        <v>17</v>
      </c>
      <c r="AA19" s="162">
        <v>16.5</v>
      </c>
      <c r="AB19" s="162">
        <v>13.5</v>
      </c>
      <c r="AC19" s="162">
        <v>12.5</v>
      </c>
      <c r="AD19" s="162">
        <v>17</v>
      </c>
      <c r="AE19" s="162">
        <v>0</v>
      </c>
      <c r="AF19" s="162">
        <v>0</v>
      </c>
      <c r="AG19" s="162">
        <v>0</v>
      </c>
      <c r="AH19" s="162">
        <v>0</v>
      </c>
    </row>
    <row r="20" spans="1:34">
      <c r="B20" s="37" t="s">
        <v>35</v>
      </c>
      <c r="C20" s="37" t="s">
        <v>36</v>
      </c>
      <c r="D20" s="131">
        <f>SUM(E20:K20)</f>
        <v>17</v>
      </c>
      <c r="E20" s="162">
        <v>0</v>
      </c>
      <c r="F20" s="162">
        <v>2</v>
      </c>
      <c r="G20" s="162">
        <v>3</v>
      </c>
      <c r="H20" s="162">
        <v>4</v>
      </c>
      <c r="I20" s="162">
        <v>3</v>
      </c>
      <c r="J20" s="162">
        <v>3</v>
      </c>
      <c r="K20" s="162">
        <v>2</v>
      </c>
      <c r="L20" s="162">
        <v>3</v>
      </c>
      <c r="M20" s="162">
        <v>3</v>
      </c>
      <c r="N20" s="162">
        <v>2</v>
      </c>
      <c r="O20" s="162">
        <v>2</v>
      </c>
      <c r="P20" s="162">
        <v>4</v>
      </c>
      <c r="Q20" s="162">
        <v>3</v>
      </c>
      <c r="R20" s="162">
        <v>1</v>
      </c>
      <c r="S20" s="162">
        <v>2</v>
      </c>
      <c r="T20" s="162">
        <v>3</v>
      </c>
      <c r="U20" s="162">
        <v>3</v>
      </c>
      <c r="V20" s="162">
        <v>3</v>
      </c>
      <c r="W20" s="162">
        <v>2</v>
      </c>
      <c r="X20" s="162">
        <v>3</v>
      </c>
      <c r="Y20" s="162">
        <v>4</v>
      </c>
      <c r="Z20" s="162">
        <v>4</v>
      </c>
      <c r="AA20" s="162">
        <v>3</v>
      </c>
      <c r="AB20" s="162">
        <v>3</v>
      </c>
      <c r="AC20" s="162">
        <v>3</v>
      </c>
      <c r="AD20" s="162">
        <v>3</v>
      </c>
      <c r="AE20" s="162">
        <v>0</v>
      </c>
      <c r="AF20" s="162">
        <v>0</v>
      </c>
      <c r="AG20" s="162">
        <v>0</v>
      </c>
      <c r="AH20" s="162">
        <v>0</v>
      </c>
    </row>
    <row r="21" spans="1:34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 t="s">
        <v>40</v>
      </c>
      <c r="G21" s="129" t="s">
        <v>40</v>
      </c>
      <c r="H21" s="129" t="s">
        <v>227</v>
      </c>
      <c r="I21" s="129" t="s">
        <v>227</v>
      </c>
      <c r="J21" s="129" t="s">
        <v>228</v>
      </c>
      <c r="K21" s="129" t="s">
        <v>40</v>
      </c>
      <c r="L21" s="129" t="s">
        <v>40</v>
      </c>
      <c r="M21" s="129" t="s">
        <v>227</v>
      </c>
      <c r="N21" s="129" t="s">
        <v>40</v>
      </c>
      <c r="O21" s="129" t="s">
        <v>40</v>
      </c>
      <c r="P21" s="129" t="s">
        <v>40</v>
      </c>
      <c r="Q21" s="129" t="s">
        <v>40</v>
      </c>
      <c r="R21" s="129" t="s">
        <v>40</v>
      </c>
      <c r="S21" s="129" t="s">
        <v>40</v>
      </c>
      <c r="T21" s="129" t="s">
        <v>40</v>
      </c>
      <c r="U21" s="129" t="s">
        <v>40</v>
      </c>
      <c r="V21" s="129" t="s">
        <v>40</v>
      </c>
      <c r="W21" s="129" t="s">
        <v>40</v>
      </c>
      <c r="X21" s="129" t="s">
        <v>40</v>
      </c>
      <c r="Y21" s="129" t="s">
        <v>40</v>
      </c>
      <c r="Z21" s="129" t="s">
        <v>40</v>
      </c>
      <c r="AA21" s="129" t="s">
        <v>40</v>
      </c>
      <c r="AB21" s="129" t="s">
        <v>40</v>
      </c>
      <c r="AC21" s="129" t="s">
        <v>40</v>
      </c>
      <c r="AD21" s="129" t="s">
        <v>40</v>
      </c>
      <c r="AE21" s="129">
        <v>0</v>
      </c>
      <c r="AF21" s="129">
        <v>0</v>
      </c>
      <c r="AG21" s="129">
        <v>0</v>
      </c>
      <c r="AH21" s="129">
        <v>0</v>
      </c>
    </row>
    <row r="22" spans="1:3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4" spans="1:34">
      <c r="B24" s="167" t="s">
        <v>43</v>
      </c>
      <c r="C24" s="168">
        <f>D26/D19</f>
        <v>11170.598870056498</v>
      </c>
    </row>
    <row r="25" spans="1:34">
      <c r="D25" s="10"/>
    </row>
    <row r="26" spans="1:34">
      <c r="A26" s="312" t="s">
        <v>44</v>
      </c>
      <c r="B26" s="35" t="s">
        <v>45</v>
      </c>
      <c r="C26" s="35"/>
      <c r="D26" s="175">
        <f t="shared" ref="D26:D38" si="3">SUM(E26:AH26)</f>
        <v>988598</v>
      </c>
      <c r="E26" s="75">
        <f t="shared" ref="E26:F26" si="4">SUM(E27:E38)</f>
        <v>0</v>
      </c>
      <c r="F26" s="175">
        <f t="shared" si="4"/>
        <v>22817</v>
      </c>
      <c r="G26" s="75">
        <f t="shared" ref="G26:AH26" si="5">SUM(G27:G38)</f>
        <v>36736</v>
      </c>
      <c r="H26" s="175">
        <f t="shared" si="5"/>
        <v>43869</v>
      </c>
      <c r="I26" s="75">
        <f t="shared" si="5"/>
        <v>40951</v>
      </c>
      <c r="J26" s="175">
        <f t="shared" si="5"/>
        <v>39712</v>
      </c>
      <c r="K26" s="75">
        <f t="shared" si="5"/>
        <v>32573</v>
      </c>
      <c r="L26" s="175">
        <f t="shared" si="5"/>
        <v>23396</v>
      </c>
      <c r="M26" s="75">
        <f t="shared" si="5"/>
        <v>41693</v>
      </c>
      <c r="N26" s="175">
        <f t="shared" si="5"/>
        <v>32781</v>
      </c>
      <c r="O26" s="75">
        <f t="shared" si="5"/>
        <v>43522</v>
      </c>
      <c r="P26" s="175">
        <f t="shared" si="5"/>
        <v>50819</v>
      </c>
      <c r="Q26" s="75">
        <f t="shared" si="5"/>
        <v>42101</v>
      </c>
      <c r="R26" s="175">
        <f t="shared" si="5"/>
        <v>16095</v>
      </c>
      <c r="S26" s="75">
        <f t="shared" si="5"/>
        <v>24398</v>
      </c>
      <c r="T26" s="175">
        <f t="shared" si="5"/>
        <v>67545</v>
      </c>
      <c r="U26" s="75">
        <f t="shared" si="5"/>
        <v>45455</v>
      </c>
      <c r="V26" s="175">
        <f t="shared" si="5"/>
        <v>49743</v>
      </c>
      <c r="W26" s="75">
        <f t="shared" si="5"/>
        <v>27925</v>
      </c>
      <c r="X26" s="175">
        <f t="shared" si="5"/>
        <v>32787</v>
      </c>
      <c r="Y26" s="75">
        <f t="shared" si="5"/>
        <v>41281</v>
      </c>
      <c r="Z26" s="175">
        <f t="shared" si="5"/>
        <v>35666</v>
      </c>
      <c r="AA26" s="75">
        <f t="shared" si="5"/>
        <v>38955</v>
      </c>
      <c r="AB26" s="175">
        <f t="shared" si="5"/>
        <v>53630</v>
      </c>
      <c r="AC26" s="75">
        <f t="shared" si="5"/>
        <v>48949</v>
      </c>
      <c r="AD26" s="175">
        <f t="shared" si="5"/>
        <v>55199</v>
      </c>
      <c r="AE26" s="75">
        <f t="shared" si="5"/>
        <v>0</v>
      </c>
      <c r="AF26" s="175">
        <f t="shared" si="5"/>
        <v>0</v>
      </c>
      <c r="AG26" s="75">
        <f t="shared" si="5"/>
        <v>0</v>
      </c>
      <c r="AH26" s="175">
        <f t="shared" si="5"/>
        <v>0</v>
      </c>
    </row>
    <row r="27" spans="1:34">
      <c r="A27" s="313"/>
      <c r="B27" s="37" t="s">
        <v>47</v>
      </c>
      <c r="C27" s="38" t="s">
        <v>48</v>
      </c>
      <c r="D27" s="73">
        <f t="shared" si="3"/>
        <v>333964</v>
      </c>
      <c r="E27" s="55">
        <v>0</v>
      </c>
      <c r="F27" s="55">
        <v>11549</v>
      </c>
      <c r="G27" s="55">
        <v>14525</v>
      </c>
      <c r="H27" s="55">
        <v>13818</v>
      </c>
      <c r="I27" s="55">
        <v>15801</v>
      </c>
      <c r="J27" s="55">
        <v>12395</v>
      </c>
      <c r="K27" s="55">
        <v>6824</v>
      </c>
      <c r="L27" s="55">
        <v>8167</v>
      </c>
      <c r="M27" s="55">
        <v>9286</v>
      </c>
      <c r="N27" s="55">
        <v>24103</v>
      </c>
      <c r="O27" s="55">
        <v>32663</v>
      </c>
      <c r="P27" s="55">
        <v>23567</v>
      </c>
      <c r="Q27" s="55">
        <v>15931</v>
      </c>
      <c r="R27" s="55">
        <v>9407</v>
      </c>
      <c r="S27" s="55">
        <v>19340</v>
      </c>
      <c r="T27" s="55">
        <v>13236</v>
      </c>
      <c r="U27" s="55">
        <v>13493</v>
      </c>
      <c r="V27" s="55">
        <v>27635</v>
      </c>
      <c r="W27" s="55">
        <v>11252</v>
      </c>
      <c r="X27" s="55">
        <v>4772</v>
      </c>
      <c r="Y27" s="55">
        <v>9299</v>
      </c>
      <c r="Z27" s="55">
        <v>15965</v>
      </c>
      <c r="AA27" s="55">
        <v>7495</v>
      </c>
      <c r="AB27" s="55">
        <v>1455</v>
      </c>
      <c r="AC27" s="55">
        <v>995</v>
      </c>
      <c r="AD27" s="55">
        <v>10991</v>
      </c>
      <c r="AE27" s="55">
        <v>0</v>
      </c>
      <c r="AF27" s="55">
        <v>0</v>
      </c>
      <c r="AG27" s="55">
        <v>0</v>
      </c>
      <c r="AH27" s="55">
        <v>0</v>
      </c>
    </row>
    <row r="28" spans="1:34">
      <c r="A28" s="313"/>
      <c r="B28" s="37" t="s">
        <v>49</v>
      </c>
      <c r="C28" s="38" t="s">
        <v>48</v>
      </c>
      <c r="D28" s="73">
        <f t="shared" si="3"/>
        <v>513126</v>
      </c>
      <c r="E28" s="55">
        <v>0</v>
      </c>
      <c r="F28" s="55">
        <v>2976</v>
      </c>
      <c r="G28" s="55">
        <v>8976</v>
      </c>
      <c r="H28" s="55">
        <v>21072</v>
      </c>
      <c r="I28" s="55">
        <v>18192</v>
      </c>
      <c r="J28" s="55">
        <v>18624</v>
      </c>
      <c r="K28" s="55">
        <v>12000</v>
      </c>
      <c r="L28" s="55">
        <v>10464</v>
      </c>
      <c r="M28" s="55">
        <v>26304</v>
      </c>
      <c r="N28" s="55">
        <v>4656</v>
      </c>
      <c r="O28" s="55">
        <v>4512</v>
      </c>
      <c r="P28" s="55">
        <v>19872</v>
      </c>
      <c r="Q28" s="55">
        <v>18720</v>
      </c>
      <c r="R28" s="55">
        <v>3264</v>
      </c>
      <c r="S28" s="55">
        <v>1440</v>
      </c>
      <c r="T28" s="55">
        <v>50262</v>
      </c>
      <c r="U28" s="55">
        <v>28081</v>
      </c>
      <c r="V28" s="55">
        <v>17749</v>
      </c>
      <c r="W28" s="55">
        <v>13296</v>
      </c>
      <c r="X28" s="55">
        <v>26994</v>
      </c>
      <c r="Y28" s="55">
        <v>30144</v>
      </c>
      <c r="Z28" s="55">
        <v>12816</v>
      </c>
      <c r="AA28" s="55">
        <v>27456</v>
      </c>
      <c r="AB28" s="55">
        <v>48652</v>
      </c>
      <c r="AC28" s="55">
        <v>46324</v>
      </c>
      <c r="AD28" s="55">
        <v>40280</v>
      </c>
      <c r="AE28" s="55">
        <v>0</v>
      </c>
      <c r="AF28" s="55">
        <v>0</v>
      </c>
      <c r="AG28" s="55">
        <v>0</v>
      </c>
      <c r="AH28" s="55">
        <v>0</v>
      </c>
    </row>
    <row r="29" spans="1:34">
      <c r="A29" s="313"/>
      <c r="B29" s="37" t="s">
        <v>50</v>
      </c>
      <c r="C29" s="38" t="s">
        <v>48</v>
      </c>
      <c r="D29" s="73">
        <f t="shared" si="3"/>
        <v>74950</v>
      </c>
      <c r="E29" s="55">
        <v>0</v>
      </c>
      <c r="F29" s="55">
        <v>6024</v>
      </c>
      <c r="G29" s="55">
        <v>11205</v>
      </c>
      <c r="H29" s="55">
        <v>7072</v>
      </c>
      <c r="I29" s="55">
        <v>5428</v>
      </c>
      <c r="J29" s="55">
        <v>5515</v>
      </c>
      <c r="K29" s="55">
        <v>2168</v>
      </c>
      <c r="L29" s="55">
        <v>2161</v>
      </c>
      <c r="M29" s="55">
        <v>1976</v>
      </c>
      <c r="N29" s="55">
        <v>2942</v>
      </c>
      <c r="O29" s="55">
        <v>4549</v>
      </c>
      <c r="P29" s="55">
        <v>4408</v>
      </c>
      <c r="Q29" s="55">
        <v>1930</v>
      </c>
      <c r="R29" s="55">
        <v>2065</v>
      </c>
      <c r="S29" s="55">
        <v>2898</v>
      </c>
      <c r="T29" s="55">
        <v>1467</v>
      </c>
      <c r="U29" s="55">
        <v>1793</v>
      </c>
      <c r="V29" s="55">
        <v>1562</v>
      </c>
      <c r="W29" s="55">
        <v>2254</v>
      </c>
      <c r="X29" s="55">
        <v>368</v>
      </c>
      <c r="Y29" s="55">
        <v>504</v>
      </c>
      <c r="Z29" s="55">
        <v>2619</v>
      </c>
      <c r="AA29" s="55">
        <v>1288</v>
      </c>
      <c r="AB29" s="55">
        <v>46</v>
      </c>
      <c r="AC29" s="55">
        <v>46</v>
      </c>
      <c r="AD29" s="55">
        <v>2662</v>
      </c>
      <c r="AE29" s="55">
        <v>0</v>
      </c>
      <c r="AF29" s="55">
        <v>0</v>
      </c>
      <c r="AG29" s="55">
        <v>0</v>
      </c>
      <c r="AH29" s="55">
        <v>0</v>
      </c>
    </row>
    <row r="30" spans="1:34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</row>
    <row r="31" spans="1:34">
      <c r="A31" s="313"/>
      <c r="B31" s="37" t="s">
        <v>52</v>
      </c>
      <c r="C31" s="38" t="s">
        <v>48</v>
      </c>
      <c r="D31" s="73">
        <f t="shared" si="3"/>
        <v>56860</v>
      </c>
      <c r="E31" s="55">
        <v>0</v>
      </c>
      <c r="F31" s="55">
        <v>2268</v>
      </c>
      <c r="G31" s="55">
        <v>1710</v>
      </c>
      <c r="H31" s="55">
        <v>1382</v>
      </c>
      <c r="I31" s="55">
        <v>1198</v>
      </c>
      <c r="J31" s="55">
        <v>2930</v>
      </c>
      <c r="K31" s="55">
        <v>10934</v>
      </c>
      <c r="L31" s="55">
        <v>2246</v>
      </c>
      <c r="M31" s="55">
        <v>3740</v>
      </c>
      <c r="N31" s="55">
        <v>1080</v>
      </c>
      <c r="O31" s="55">
        <v>1602</v>
      </c>
      <c r="P31" s="55">
        <v>2972</v>
      </c>
      <c r="Q31" s="55">
        <v>5236</v>
      </c>
      <c r="R31" s="55">
        <v>1152</v>
      </c>
      <c r="S31" s="55">
        <v>720</v>
      </c>
      <c r="T31" s="55">
        <v>1656</v>
      </c>
      <c r="U31" s="55">
        <v>2088</v>
      </c>
      <c r="V31" s="55">
        <v>2772</v>
      </c>
      <c r="W31" s="55">
        <v>864</v>
      </c>
      <c r="X31" s="55">
        <v>216</v>
      </c>
      <c r="Y31" s="55">
        <v>908</v>
      </c>
      <c r="Z31" s="55">
        <v>2416</v>
      </c>
      <c r="AA31" s="55">
        <v>1340</v>
      </c>
      <c r="AB31" s="55">
        <v>2982</v>
      </c>
      <c r="AC31" s="55">
        <v>1224</v>
      </c>
      <c r="AD31" s="55">
        <v>1224</v>
      </c>
      <c r="AE31" s="55">
        <v>0</v>
      </c>
      <c r="AF31" s="55">
        <v>0</v>
      </c>
      <c r="AG31" s="55">
        <v>0</v>
      </c>
      <c r="AH31" s="55">
        <v>0</v>
      </c>
    </row>
    <row r="32" spans="1:34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</row>
    <row r="33" spans="1:34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</row>
    <row r="34" spans="1:34">
      <c r="A34" s="313"/>
      <c r="B34" s="37" t="s">
        <v>55</v>
      </c>
      <c r="C34" s="38" t="s">
        <v>48</v>
      </c>
      <c r="D34" s="73">
        <f t="shared" si="3"/>
        <v>6222</v>
      </c>
      <c r="E34" s="55">
        <v>0</v>
      </c>
      <c r="F34" s="55">
        <v>0</v>
      </c>
      <c r="G34" s="55">
        <v>0</v>
      </c>
      <c r="H34" s="55">
        <v>295</v>
      </c>
      <c r="I34" s="55">
        <v>248</v>
      </c>
      <c r="J34" s="55">
        <v>168</v>
      </c>
      <c r="K34" s="55">
        <v>527</v>
      </c>
      <c r="L34" s="55">
        <v>128</v>
      </c>
      <c r="M34" s="55">
        <v>127</v>
      </c>
      <c r="N34" s="55">
        <v>0</v>
      </c>
      <c r="O34" s="55">
        <v>0</v>
      </c>
      <c r="P34" s="55">
        <v>0</v>
      </c>
      <c r="Q34" s="55">
        <v>84</v>
      </c>
      <c r="R34" s="55">
        <v>21</v>
      </c>
      <c r="S34" s="55">
        <v>0</v>
      </c>
      <c r="T34" s="55">
        <v>608</v>
      </c>
      <c r="U34" s="55">
        <v>0</v>
      </c>
      <c r="V34" s="55">
        <v>0</v>
      </c>
      <c r="W34" s="55">
        <v>147</v>
      </c>
      <c r="X34" s="55">
        <v>317</v>
      </c>
      <c r="Y34" s="55">
        <v>254</v>
      </c>
      <c r="Z34" s="55">
        <v>1405</v>
      </c>
      <c r="AA34" s="55">
        <v>1176</v>
      </c>
      <c r="AB34" s="55">
        <v>395</v>
      </c>
      <c r="AC34" s="55">
        <v>280</v>
      </c>
      <c r="AD34" s="55">
        <v>42</v>
      </c>
      <c r="AE34" s="55">
        <v>0</v>
      </c>
      <c r="AF34" s="55">
        <v>0</v>
      </c>
      <c r="AG34" s="55">
        <v>0</v>
      </c>
      <c r="AH34" s="55">
        <v>0</v>
      </c>
    </row>
    <row r="35" spans="1:34">
      <c r="A35" s="313"/>
      <c r="B35" s="37" t="s">
        <v>56</v>
      </c>
      <c r="C35" s="38" t="s">
        <v>48</v>
      </c>
      <c r="D35" s="73">
        <f t="shared" si="3"/>
        <v>1604</v>
      </c>
      <c r="E35" s="55">
        <v>0</v>
      </c>
      <c r="F35" s="55">
        <v>0</v>
      </c>
      <c r="G35" s="55">
        <v>0</v>
      </c>
      <c r="H35" s="55">
        <v>80</v>
      </c>
      <c r="I35" s="55">
        <v>84</v>
      </c>
      <c r="J35" s="55">
        <v>80</v>
      </c>
      <c r="K35" s="55">
        <v>120</v>
      </c>
      <c r="L35" s="55">
        <v>80</v>
      </c>
      <c r="M35" s="55">
        <v>60</v>
      </c>
      <c r="N35" s="55">
        <v>0</v>
      </c>
      <c r="O35" s="55">
        <v>0</v>
      </c>
      <c r="P35" s="55">
        <v>0</v>
      </c>
      <c r="Q35" s="55">
        <v>0</v>
      </c>
      <c r="R35" s="55">
        <v>40</v>
      </c>
      <c r="S35" s="55">
        <v>0</v>
      </c>
      <c r="T35" s="55">
        <v>120</v>
      </c>
      <c r="U35" s="55">
        <v>0</v>
      </c>
      <c r="V35" s="55">
        <v>0</v>
      </c>
      <c r="W35" s="55">
        <v>40</v>
      </c>
      <c r="X35" s="55">
        <v>120</v>
      </c>
      <c r="Y35" s="55">
        <v>100</v>
      </c>
      <c r="Z35" s="55">
        <v>300</v>
      </c>
      <c r="AA35" s="55">
        <v>200</v>
      </c>
      <c r="AB35" s="55">
        <v>100</v>
      </c>
      <c r="AC35" s="55">
        <v>80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</row>
    <row r="36" spans="1:34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</row>
    <row r="37" spans="1:34">
      <c r="A37" s="313"/>
      <c r="B37" s="37" t="s">
        <v>58</v>
      </c>
      <c r="C37" s="38" t="s">
        <v>48</v>
      </c>
      <c r="D37" s="73">
        <f t="shared" si="3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</row>
    <row r="38" spans="1:34">
      <c r="A38" s="314"/>
      <c r="B38" s="39" t="s">
        <v>59</v>
      </c>
      <c r="C38" s="40" t="s">
        <v>48</v>
      </c>
      <c r="D38" s="74">
        <f t="shared" si="3"/>
        <v>1872</v>
      </c>
      <c r="E38" s="55">
        <v>0</v>
      </c>
      <c r="F38" s="55">
        <v>0</v>
      </c>
      <c r="G38" s="55">
        <v>320</v>
      </c>
      <c r="H38" s="55">
        <v>150</v>
      </c>
      <c r="I38" s="55">
        <v>0</v>
      </c>
      <c r="J38" s="55">
        <v>0</v>
      </c>
      <c r="K38" s="55">
        <v>0</v>
      </c>
      <c r="L38" s="55">
        <v>150</v>
      </c>
      <c r="M38" s="55">
        <v>200</v>
      </c>
      <c r="N38" s="55">
        <v>0</v>
      </c>
      <c r="O38" s="55">
        <v>196</v>
      </c>
      <c r="P38" s="55">
        <v>0</v>
      </c>
      <c r="Q38" s="55">
        <v>200</v>
      </c>
      <c r="R38" s="55">
        <v>146</v>
      </c>
      <c r="S38" s="55">
        <v>0</v>
      </c>
      <c r="T38" s="55">
        <v>196</v>
      </c>
      <c r="U38" s="55">
        <v>0</v>
      </c>
      <c r="V38" s="55">
        <v>25</v>
      </c>
      <c r="W38" s="55">
        <v>72</v>
      </c>
      <c r="X38" s="55">
        <v>0</v>
      </c>
      <c r="Y38" s="55">
        <v>72</v>
      </c>
      <c r="Z38" s="55">
        <v>145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</row>
    <row r="39" spans="1:34">
      <c r="A39" s="164"/>
      <c r="B39" s="94" t="s">
        <v>149</v>
      </c>
      <c r="C39" s="166"/>
      <c r="D39" s="180">
        <f t="shared" ref="D39:AH39" si="6">D37/D26</f>
        <v>0</v>
      </c>
      <c r="E39" s="170" t="e">
        <f t="shared" ref="E39:F39" si="7">E37/E26</f>
        <v>#DIV/0!</v>
      </c>
      <c r="F39" s="170">
        <f t="shared" si="7"/>
        <v>0</v>
      </c>
      <c r="G39" s="170">
        <f t="shared" si="6"/>
        <v>0</v>
      </c>
      <c r="H39" s="170">
        <f t="shared" si="6"/>
        <v>0</v>
      </c>
      <c r="I39" s="170">
        <f t="shared" si="6"/>
        <v>0</v>
      </c>
      <c r="J39" s="170">
        <f t="shared" si="6"/>
        <v>0</v>
      </c>
      <c r="K39" s="170">
        <f t="shared" si="6"/>
        <v>0</v>
      </c>
      <c r="L39" s="170">
        <f t="shared" si="6"/>
        <v>0</v>
      </c>
      <c r="M39" s="170">
        <f t="shared" si="6"/>
        <v>0</v>
      </c>
      <c r="N39" s="170">
        <f t="shared" si="6"/>
        <v>0</v>
      </c>
      <c r="O39" s="170">
        <f t="shared" si="6"/>
        <v>0</v>
      </c>
      <c r="P39" s="170">
        <f t="shared" si="6"/>
        <v>0</v>
      </c>
      <c r="Q39" s="170">
        <f t="shared" si="6"/>
        <v>0</v>
      </c>
      <c r="R39" s="170">
        <f t="shared" si="6"/>
        <v>0</v>
      </c>
      <c r="S39" s="170">
        <f t="shared" si="6"/>
        <v>0</v>
      </c>
      <c r="T39" s="170">
        <f t="shared" si="6"/>
        <v>0</v>
      </c>
      <c r="U39" s="170">
        <f t="shared" si="6"/>
        <v>0</v>
      </c>
      <c r="V39" s="170">
        <f t="shared" si="6"/>
        <v>0</v>
      </c>
      <c r="W39" s="170">
        <f t="shared" si="6"/>
        <v>0</v>
      </c>
      <c r="X39" s="170">
        <f t="shared" si="6"/>
        <v>0</v>
      </c>
      <c r="Y39" s="170">
        <f t="shared" si="6"/>
        <v>0</v>
      </c>
      <c r="Z39" s="170">
        <f t="shared" si="6"/>
        <v>0</v>
      </c>
      <c r="AA39" s="170">
        <f t="shared" si="6"/>
        <v>0</v>
      </c>
      <c r="AB39" s="170">
        <f t="shared" si="6"/>
        <v>0</v>
      </c>
      <c r="AC39" s="170">
        <f t="shared" si="6"/>
        <v>0</v>
      </c>
      <c r="AD39" s="170">
        <f t="shared" si="6"/>
        <v>0</v>
      </c>
      <c r="AE39" s="170" t="e">
        <f t="shared" si="6"/>
        <v>#DIV/0!</v>
      </c>
      <c r="AF39" s="170" t="e">
        <f t="shared" si="6"/>
        <v>#DIV/0!</v>
      </c>
      <c r="AG39" s="170" t="e">
        <f t="shared" si="6"/>
        <v>#DIV/0!</v>
      </c>
      <c r="AH39" s="170" t="e">
        <f t="shared" si="6"/>
        <v>#DIV/0!</v>
      </c>
    </row>
    <row r="40" spans="1:3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</row>
    <row r="41" spans="1:34">
      <c r="A41" s="324" t="s">
        <v>60</v>
      </c>
      <c r="B41" s="50" t="s">
        <v>61</v>
      </c>
      <c r="C41" s="91" t="s">
        <v>62</v>
      </c>
      <c r="D41" s="81">
        <f>SUM(E41:AH41)</f>
        <v>395000</v>
      </c>
      <c r="E41" s="86">
        <v>0</v>
      </c>
      <c r="F41" s="86">
        <v>12000</v>
      </c>
      <c r="G41" s="86">
        <v>16000</v>
      </c>
      <c r="H41" s="86">
        <v>17000</v>
      </c>
      <c r="I41" s="86">
        <v>19000</v>
      </c>
      <c r="J41" s="86">
        <v>17000</v>
      </c>
      <c r="K41" s="86">
        <v>18000</v>
      </c>
      <c r="L41" s="86">
        <v>14000</v>
      </c>
      <c r="M41" s="86">
        <v>18000</v>
      </c>
      <c r="N41" s="86">
        <v>16000</v>
      </c>
      <c r="O41" s="86">
        <v>15000</v>
      </c>
      <c r="P41" s="86">
        <v>17000</v>
      </c>
      <c r="Q41" s="86">
        <v>16000</v>
      </c>
      <c r="R41" s="86">
        <v>11000</v>
      </c>
      <c r="S41" s="86">
        <v>13000</v>
      </c>
      <c r="T41" s="86">
        <v>15000</v>
      </c>
      <c r="U41" s="86">
        <v>16000</v>
      </c>
      <c r="V41" s="86">
        <v>14000</v>
      </c>
      <c r="W41" s="86">
        <v>12000</v>
      </c>
      <c r="X41" s="86">
        <v>14000</v>
      </c>
      <c r="Y41" s="86">
        <v>16000</v>
      </c>
      <c r="Z41" s="86">
        <v>16000</v>
      </c>
      <c r="AA41" s="86">
        <v>17000</v>
      </c>
      <c r="AB41" s="86">
        <v>15000</v>
      </c>
      <c r="AC41" s="86">
        <v>14000</v>
      </c>
      <c r="AD41" s="86">
        <v>16000</v>
      </c>
      <c r="AE41" s="86">
        <v>7000</v>
      </c>
      <c r="AF41" s="86">
        <v>4000</v>
      </c>
      <c r="AG41" s="86">
        <v>0</v>
      </c>
      <c r="AH41" s="86">
        <v>0</v>
      </c>
    </row>
    <row r="42" spans="1:34">
      <c r="A42" s="325"/>
      <c r="B42" s="39" t="s">
        <v>63</v>
      </c>
      <c r="C42" s="92" t="s">
        <v>62</v>
      </c>
      <c r="D42" s="82">
        <f>SUM(E42:AH42)</f>
        <v>1100</v>
      </c>
      <c r="E42" s="87">
        <v>0</v>
      </c>
      <c r="F42" s="87">
        <v>300</v>
      </c>
      <c r="G42" s="87">
        <v>0</v>
      </c>
      <c r="H42" s="87">
        <v>0</v>
      </c>
      <c r="I42" s="87">
        <v>0</v>
      </c>
      <c r="J42" s="87">
        <v>300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300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0</v>
      </c>
      <c r="Z42" s="87">
        <v>200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</row>
    <row r="44" spans="1:34">
      <c r="B44" s="167" t="s">
        <v>240</v>
      </c>
      <c r="C44" s="184" t="s">
        <v>241</v>
      </c>
      <c r="D44" s="187">
        <f>D41/D26</f>
        <v>0.39955573448459331</v>
      </c>
      <c r="E44" s="186" t="e">
        <f t="shared" ref="E44:F44" si="8">E41/E26</f>
        <v>#DIV/0!</v>
      </c>
      <c r="F44" s="188">
        <f t="shared" si="8"/>
        <v>0.52592365341631242</v>
      </c>
      <c r="G44" s="186">
        <f t="shared" ref="G44:AH44" si="9">G41/G26</f>
        <v>0.43554006968641112</v>
      </c>
      <c r="H44" s="188">
        <f t="shared" si="9"/>
        <v>0.38751738129430807</v>
      </c>
      <c r="I44" s="186">
        <f t="shared" si="9"/>
        <v>0.46396913384288541</v>
      </c>
      <c r="J44" s="188">
        <f t="shared" si="9"/>
        <v>0.42808219178082191</v>
      </c>
      <c r="K44" s="186">
        <f t="shared" si="9"/>
        <v>0.55260491818377189</v>
      </c>
      <c r="L44" s="188">
        <f t="shared" si="9"/>
        <v>0.5983928876731065</v>
      </c>
      <c r="M44" s="186">
        <f t="shared" si="9"/>
        <v>0.43172714844218452</v>
      </c>
      <c r="N44" s="188">
        <f t="shared" si="9"/>
        <v>0.48808761172630488</v>
      </c>
      <c r="O44" s="186">
        <f t="shared" si="9"/>
        <v>0.34465327880152569</v>
      </c>
      <c r="P44" s="188">
        <f t="shared" si="9"/>
        <v>0.33452055333635056</v>
      </c>
      <c r="Q44" s="186">
        <f t="shared" si="9"/>
        <v>0.38003847889598824</v>
      </c>
      <c r="R44" s="188">
        <f t="shared" si="9"/>
        <v>0.6834420627524076</v>
      </c>
      <c r="S44" s="186">
        <f t="shared" si="9"/>
        <v>0.53283055988195749</v>
      </c>
      <c r="T44" s="188">
        <f t="shared" si="9"/>
        <v>0.22207417277370642</v>
      </c>
      <c r="U44" s="186">
        <f t="shared" si="9"/>
        <v>0.35199648003519962</v>
      </c>
      <c r="V44" s="188">
        <f t="shared" si="9"/>
        <v>0.28144663570753675</v>
      </c>
      <c r="W44" s="186">
        <f t="shared" si="9"/>
        <v>0.42972247090420768</v>
      </c>
      <c r="X44" s="188">
        <f t="shared" si="9"/>
        <v>0.42699850550523072</v>
      </c>
      <c r="Y44" s="186">
        <f t="shared" si="9"/>
        <v>0.38758750999249048</v>
      </c>
      <c r="Z44" s="188">
        <f t="shared" si="9"/>
        <v>0.44860651600964502</v>
      </c>
      <c r="AA44" s="186">
        <f t="shared" si="9"/>
        <v>0.43640097548453344</v>
      </c>
      <c r="AB44" s="188">
        <f t="shared" si="9"/>
        <v>0.27969420100689912</v>
      </c>
      <c r="AC44" s="186">
        <f t="shared" si="9"/>
        <v>0.28601197164395598</v>
      </c>
      <c r="AD44" s="188">
        <f t="shared" si="9"/>
        <v>0.2898603235565862</v>
      </c>
      <c r="AE44" s="186" t="e">
        <f t="shared" si="9"/>
        <v>#DIV/0!</v>
      </c>
      <c r="AF44" s="188" t="e">
        <f t="shared" si="9"/>
        <v>#DIV/0!</v>
      </c>
      <c r="AG44" s="186" t="e">
        <f t="shared" si="9"/>
        <v>#DIV/0!</v>
      </c>
      <c r="AH44" s="188" t="e">
        <f t="shared" si="9"/>
        <v>#DIV/0!</v>
      </c>
    </row>
    <row r="46" spans="1:34">
      <c r="A46" s="312" t="s">
        <v>64</v>
      </c>
      <c r="B46" s="93" t="s">
        <v>65</v>
      </c>
      <c r="C46" s="47" t="s">
        <v>8</v>
      </c>
      <c r="D46" s="181">
        <f t="shared" ref="D46:D51" si="10">SUM(E46:AH46)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</row>
    <row r="47" spans="1:34">
      <c r="A47" s="313"/>
      <c r="B47" s="94" t="s">
        <v>66</v>
      </c>
      <c r="C47" s="38" t="s">
        <v>8</v>
      </c>
      <c r="D47" s="182">
        <f t="shared" si="10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</row>
    <row r="48" spans="1:34">
      <c r="A48" s="313"/>
      <c r="B48" s="94" t="s">
        <v>67</v>
      </c>
      <c r="C48" s="38" t="s">
        <v>8</v>
      </c>
      <c r="D48" s="182">
        <f t="shared" si="10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</row>
    <row r="49" spans="1:34">
      <c r="A49" s="313"/>
      <c r="B49" s="95" t="s">
        <v>68</v>
      </c>
      <c r="C49" s="40" t="s">
        <v>8</v>
      </c>
      <c r="D49" s="182">
        <f t="shared" si="10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</row>
    <row r="50" spans="1:34">
      <c r="A50" s="313"/>
      <c r="B50" s="93" t="s">
        <v>69</v>
      </c>
      <c r="C50" s="91" t="s">
        <v>48</v>
      </c>
      <c r="D50" s="181">
        <f t="shared" si="10"/>
        <v>360000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360000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</row>
    <row r="51" spans="1:34">
      <c r="A51" s="314"/>
      <c r="B51" s="95" t="s">
        <v>70</v>
      </c>
      <c r="C51" s="92" t="s">
        <v>48</v>
      </c>
      <c r="D51" s="183">
        <f t="shared" si="10"/>
        <v>11700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11700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</row>
    <row r="52" spans="1:3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</row>
    <row r="54" spans="1:3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</row>
    <row r="55" spans="1:3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294</v>
      </c>
      <c r="I55" s="8" t="s">
        <v>295</v>
      </c>
      <c r="J55" s="8" t="s">
        <v>296</v>
      </c>
      <c r="K55" s="8" t="s">
        <v>297</v>
      </c>
      <c r="L55" s="8" t="s">
        <v>298</v>
      </c>
      <c r="M55" s="8" t="s">
        <v>299</v>
      </c>
      <c r="N55" s="8" t="s">
        <v>300</v>
      </c>
      <c r="O55" s="8" t="s">
        <v>75</v>
      </c>
      <c r="P55" s="8" t="s">
        <v>75</v>
      </c>
      <c r="Q55" s="8" t="s">
        <v>75</v>
      </c>
      <c r="R55" s="8" t="s">
        <v>301</v>
      </c>
      <c r="S55" s="8" t="s">
        <v>75</v>
      </c>
      <c r="T55" s="8" t="s">
        <v>229</v>
      </c>
      <c r="U55" s="8" t="s">
        <v>300</v>
      </c>
      <c r="V55" s="8" t="s">
        <v>75</v>
      </c>
      <c r="W55" s="8" t="s">
        <v>302</v>
      </c>
      <c r="X55" s="8"/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</row>
    <row r="56" spans="1:3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303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304</v>
      </c>
      <c r="AC56" s="8" t="s">
        <v>305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</row>
    <row r="57" spans="1:3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306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</row>
    <row r="59" spans="1:34" ht="15.75">
      <c r="B59" s="53" t="s">
        <v>83</v>
      </c>
      <c r="C59" s="99" t="s">
        <v>84</v>
      </c>
      <c r="D59" s="100">
        <f>SUM(D60:D72)</f>
        <v>33415759.559999999</v>
      </c>
      <c r="E59" s="101">
        <f>SUM(E60:E72)</f>
        <v>0</v>
      </c>
      <c r="F59" s="101">
        <f t="shared" ref="F59:AH59" si="11">SUM(F60:F72)</f>
        <v>819106</v>
      </c>
      <c r="G59" s="101">
        <f t="shared" si="11"/>
        <v>1239230</v>
      </c>
      <c r="H59" s="101">
        <f t="shared" si="11"/>
        <v>1419389.2</v>
      </c>
      <c r="I59" s="101">
        <f t="shared" si="11"/>
        <v>1401802.76</v>
      </c>
      <c r="J59" s="101">
        <f t="shared" si="11"/>
        <v>1257601.2</v>
      </c>
      <c r="K59" s="101">
        <f t="shared" si="11"/>
        <v>832208.8</v>
      </c>
      <c r="L59" s="101">
        <f t="shared" si="11"/>
        <v>754065.2</v>
      </c>
      <c r="M59" s="101">
        <f t="shared" si="11"/>
        <v>1216317.3999999999</v>
      </c>
      <c r="N59" s="101">
        <f t="shared" si="11"/>
        <v>1402958</v>
      </c>
      <c r="O59" s="101">
        <f t="shared" si="11"/>
        <v>1872714</v>
      </c>
      <c r="P59" s="101">
        <f t="shared" si="11"/>
        <v>1810662</v>
      </c>
      <c r="Q59" s="101">
        <f t="shared" si="11"/>
        <v>1369030</v>
      </c>
      <c r="R59" s="101">
        <f t="shared" si="11"/>
        <v>616343.6</v>
      </c>
      <c r="S59" s="101">
        <f t="shared" si="11"/>
        <v>1079752</v>
      </c>
      <c r="T59" s="101">
        <f t="shared" si="11"/>
        <v>2005372.8</v>
      </c>
      <c r="U59" s="101">
        <f t="shared" si="11"/>
        <v>1440587</v>
      </c>
      <c r="V59" s="101">
        <f t="shared" si="11"/>
        <v>1890883</v>
      </c>
      <c r="W59" s="101">
        <f t="shared" si="11"/>
        <v>966757.6</v>
      </c>
      <c r="X59" s="101">
        <f t="shared" si="11"/>
        <v>943578.8</v>
      </c>
      <c r="Y59" s="101">
        <f t="shared" si="11"/>
        <v>1255741</v>
      </c>
      <c r="Z59" s="101">
        <f t="shared" si="11"/>
        <v>1285293</v>
      </c>
      <c r="AA59" s="101">
        <f t="shared" si="11"/>
        <v>1169740</v>
      </c>
      <c r="AB59" s="101">
        <f t="shared" si="11"/>
        <v>1342463</v>
      </c>
      <c r="AC59" s="101">
        <f t="shared" si="11"/>
        <v>1237385.2</v>
      </c>
      <c r="AD59" s="101">
        <f t="shared" si="11"/>
        <v>1634778</v>
      </c>
      <c r="AE59" s="101">
        <f t="shared" si="11"/>
        <v>0</v>
      </c>
      <c r="AF59" s="101">
        <f t="shared" si="11"/>
        <v>0</v>
      </c>
      <c r="AG59" s="101">
        <f t="shared" si="11"/>
        <v>0</v>
      </c>
      <c r="AH59" s="101">
        <f t="shared" si="11"/>
        <v>0</v>
      </c>
    </row>
    <row r="60" spans="1:34">
      <c r="B60" s="96" t="s">
        <v>47</v>
      </c>
      <c r="C60" s="111">
        <v>50</v>
      </c>
      <c r="D60" s="97">
        <f>D27*$C60</f>
        <v>16698200</v>
      </c>
      <c r="E60" s="104">
        <f t="shared" ref="E60:AH60" si="12">E27*$C60</f>
        <v>0</v>
      </c>
      <c r="F60" s="104">
        <f t="shared" si="12"/>
        <v>577450</v>
      </c>
      <c r="G60" s="104">
        <f t="shared" si="12"/>
        <v>726250</v>
      </c>
      <c r="H60" s="104">
        <f t="shared" si="12"/>
        <v>690900</v>
      </c>
      <c r="I60" s="104">
        <f t="shared" si="12"/>
        <v>790050</v>
      </c>
      <c r="J60" s="104">
        <f t="shared" si="12"/>
        <v>619750</v>
      </c>
      <c r="K60" s="104">
        <f t="shared" si="12"/>
        <v>341200</v>
      </c>
      <c r="L60" s="104">
        <f t="shared" si="12"/>
        <v>408350</v>
      </c>
      <c r="M60" s="104">
        <f t="shared" si="12"/>
        <v>464300</v>
      </c>
      <c r="N60" s="104">
        <f t="shared" si="12"/>
        <v>1205150</v>
      </c>
      <c r="O60" s="104">
        <f t="shared" si="12"/>
        <v>1633150</v>
      </c>
      <c r="P60" s="104">
        <f t="shared" si="12"/>
        <v>1178350</v>
      </c>
      <c r="Q60" s="104">
        <f t="shared" si="12"/>
        <v>796550</v>
      </c>
      <c r="R60" s="104">
        <f t="shared" si="12"/>
        <v>470350</v>
      </c>
      <c r="S60" s="104">
        <f t="shared" si="12"/>
        <v>967000</v>
      </c>
      <c r="T60" s="104">
        <f t="shared" si="12"/>
        <v>661800</v>
      </c>
      <c r="U60" s="104">
        <f t="shared" si="12"/>
        <v>674650</v>
      </c>
      <c r="V60" s="104">
        <f t="shared" si="12"/>
        <v>1381750</v>
      </c>
      <c r="W60" s="104">
        <f t="shared" si="12"/>
        <v>562600</v>
      </c>
      <c r="X60" s="104">
        <f t="shared" si="12"/>
        <v>238600</v>
      </c>
      <c r="Y60" s="104">
        <f t="shared" si="12"/>
        <v>464950</v>
      </c>
      <c r="Z60" s="104">
        <f t="shared" si="12"/>
        <v>798250</v>
      </c>
      <c r="AA60" s="104">
        <f t="shared" si="12"/>
        <v>374750</v>
      </c>
      <c r="AB60" s="104">
        <f t="shared" si="12"/>
        <v>72750</v>
      </c>
      <c r="AC60" s="104">
        <f t="shared" si="12"/>
        <v>49750</v>
      </c>
      <c r="AD60" s="104">
        <f t="shared" si="12"/>
        <v>549550</v>
      </c>
      <c r="AE60" s="104">
        <f t="shared" si="12"/>
        <v>0</v>
      </c>
      <c r="AF60" s="104">
        <f t="shared" si="12"/>
        <v>0</v>
      </c>
      <c r="AG60" s="104">
        <f t="shared" si="12"/>
        <v>0</v>
      </c>
      <c r="AH60" s="104">
        <f t="shared" si="12"/>
        <v>0</v>
      </c>
    </row>
    <row r="61" spans="1:34">
      <c r="B61" s="96" t="s">
        <v>49</v>
      </c>
      <c r="C61" s="111">
        <v>25</v>
      </c>
      <c r="D61" s="97">
        <f t="shared" ref="D61:AH68" si="13">D28*$C61</f>
        <v>12828150</v>
      </c>
      <c r="E61" s="104">
        <f t="shared" si="13"/>
        <v>0</v>
      </c>
      <c r="F61" s="104">
        <f t="shared" si="13"/>
        <v>74400</v>
      </c>
      <c r="G61" s="104">
        <f t="shared" si="13"/>
        <v>224400</v>
      </c>
      <c r="H61" s="104">
        <f t="shared" si="13"/>
        <v>526800</v>
      </c>
      <c r="I61" s="104">
        <f t="shared" si="13"/>
        <v>454800</v>
      </c>
      <c r="J61" s="104">
        <f t="shared" si="13"/>
        <v>465600</v>
      </c>
      <c r="K61" s="104">
        <f t="shared" si="13"/>
        <v>300000</v>
      </c>
      <c r="L61" s="104">
        <f t="shared" si="13"/>
        <v>261600</v>
      </c>
      <c r="M61" s="104">
        <f t="shared" si="13"/>
        <v>657600</v>
      </c>
      <c r="N61" s="104">
        <f t="shared" si="13"/>
        <v>116400</v>
      </c>
      <c r="O61" s="104">
        <f t="shared" si="13"/>
        <v>112800</v>
      </c>
      <c r="P61" s="104">
        <f t="shared" si="13"/>
        <v>496800</v>
      </c>
      <c r="Q61" s="104">
        <f t="shared" si="13"/>
        <v>468000</v>
      </c>
      <c r="R61" s="104">
        <f t="shared" si="13"/>
        <v>81600</v>
      </c>
      <c r="S61" s="104">
        <f t="shared" si="13"/>
        <v>36000</v>
      </c>
      <c r="T61" s="104">
        <f t="shared" si="13"/>
        <v>1256550</v>
      </c>
      <c r="U61" s="104">
        <f t="shared" si="13"/>
        <v>702025</v>
      </c>
      <c r="V61" s="104">
        <f t="shared" si="13"/>
        <v>443725</v>
      </c>
      <c r="W61" s="104">
        <f t="shared" si="13"/>
        <v>332400</v>
      </c>
      <c r="X61" s="104">
        <f t="shared" si="13"/>
        <v>674850</v>
      </c>
      <c r="Y61" s="104">
        <f t="shared" si="13"/>
        <v>753600</v>
      </c>
      <c r="Z61" s="104">
        <f t="shared" si="13"/>
        <v>320400</v>
      </c>
      <c r="AA61" s="104">
        <f t="shared" si="13"/>
        <v>686400</v>
      </c>
      <c r="AB61" s="104">
        <f t="shared" si="13"/>
        <v>1216300</v>
      </c>
      <c r="AC61" s="104">
        <f t="shared" si="13"/>
        <v>1158100</v>
      </c>
      <c r="AD61" s="104">
        <f t="shared" si="13"/>
        <v>1007000</v>
      </c>
      <c r="AE61" s="104">
        <f t="shared" si="13"/>
        <v>0</v>
      </c>
      <c r="AF61" s="104">
        <f t="shared" si="13"/>
        <v>0</v>
      </c>
      <c r="AG61" s="104">
        <f t="shared" si="13"/>
        <v>0</v>
      </c>
      <c r="AH61" s="104">
        <f t="shared" si="13"/>
        <v>0</v>
      </c>
    </row>
    <row r="62" spans="1:34">
      <c r="B62" s="96" t="s">
        <v>50</v>
      </c>
      <c r="C62" s="111">
        <v>24</v>
      </c>
      <c r="D62" s="97">
        <f t="shared" si="13"/>
        <v>1798800</v>
      </c>
      <c r="E62" s="104">
        <f t="shared" si="13"/>
        <v>0</v>
      </c>
      <c r="F62" s="104">
        <f t="shared" si="13"/>
        <v>144576</v>
      </c>
      <c r="G62" s="104">
        <f t="shared" si="13"/>
        <v>268920</v>
      </c>
      <c r="H62" s="104">
        <f t="shared" si="13"/>
        <v>169728</v>
      </c>
      <c r="I62" s="104">
        <f t="shared" si="13"/>
        <v>130272</v>
      </c>
      <c r="J62" s="104">
        <f t="shared" si="13"/>
        <v>132360</v>
      </c>
      <c r="K62" s="104">
        <f t="shared" si="13"/>
        <v>52032</v>
      </c>
      <c r="L62" s="104">
        <f t="shared" si="13"/>
        <v>51864</v>
      </c>
      <c r="M62" s="104">
        <f t="shared" si="13"/>
        <v>47424</v>
      </c>
      <c r="N62" s="104">
        <f t="shared" si="13"/>
        <v>70608</v>
      </c>
      <c r="O62" s="104">
        <f t="shared" si="13"/>
        <v>109176</v>
      </c>
      <c r="P62" s="104">
        <f t="shared" si="13"/>
        <v>105792</v>
      </c>
      <c r="Q62" s="104">
        <f t="shared" si="13"/>
        <v>46320</v>
      </c>
      <c r="R62" s="104">
        <f t="shared" si="13"/>
        <v>49560</v>
      </c>
      <c r="S62" s="104">
        <f t="shared" si="13"/>
        <v>69552</v>
      </c>
      <c r="T62" s="104">
        <f t="shared" si="13"/>
        <v>35208</v>
      </c>
      <c r="U62" s="104">
        <f t="shared" si="13"/>
        <v>43032</v>
      </c>
      <c r="V62" s="104">
        <f t="shared" si="13"/>
        <v>37488</v>
      </c>
      <c r="W62" s="104">
        <f t="shared" si="13"/>
        <v>54096</v>
      </c>
      <c r="X62" s="104">
        <f t="shared" si="13"/>
        <v>8832</v>
      </c>
      <c r="Y62" s="104">
        <f t="shared" si="13"/>
        <v>12096</v>
      </c>
      <c r="Z62" s="104">
        <f t="shared" si="13"/>
        <v>62856</v>
      </c>
      <c r="AA62" s="104">
        <f t="shared" si="13"/>
        <v>30912</v>
      </c>
      <c r="AB62" s="104">
        <f t="shared" si="13"/>
        <v>1104</v>
      </c>
      <c r="AC62" s="104">
        <f t="shared" si="13"/>
        <v>1104</v>
      </c>
      <c r="AD62" s="104">
        <f t="shared" si="13"/>
        <v>63888</v>
      </c>
      <c r="AE62" s="104">
        <f t="shared" si="13"/>
        <v>0</v>
      </c>
      <c r="AF62" s="104">
        <f t="shared" si="13"/>
        <v>0</v>
      </c>
      <c r="AG62" s="104">
        <f t="shared" si="13"/>
        <v>0</v>
      </c>
      <c r="AH62" s="104">
        <f t="shared" si="13"/>
        <v>0</v>
      </c>
    </row>
    <row r="63" spans="1:34">
      <c r="B63" s="96" t="s">
        <v>51</v>
      </c>
      <c r="C63" s="111">
        <v>28</v>
      </c>
      <c r="D63" s="97">
        <f t="shared" si="13"/>
        <v>0</v>
      </c>
      <c r="E63" s="104">
        <f t="shared" si="13"/>
        <v>0</v>
      </c>
      <c r="F63" s="104">
        <f t="shared" si="13"/>
        <v>0</v>
      </c>
      <c r="G63" s="104">
        <f t="shared" si="13"/>
        <v>0</v>
      </c>
      <c r="H63" s="104">
        <f t="shared" si="13"/>
        <v>0</v>
      </c>
      <c r="I63" s="104">
        <f t="shared" si="13"/>
        <v>0</v>
      </c>
      <c r="J63" s="104">
        <f t="shared" si="13"/>
        <v>0</v>
      </c>
      <c r="K63" s="104">
        <f t="shared" si="13"/>
        <v>0</v>
      </c>
      <c r="L63" s="104">
        <f t="shared" si="13"/>
        <v>0</v>
      </c>
      <c r="M63" s="104">
        <f t="shared" si="13"/>
        <v>0</v>
      </c>
      <c r="N63" s="104">
        <f t="shared" si="13"/>
        <v>0</v>
      </c>
      <c r="O63" s="104">
        <f t="shared" si="13"/>
        <v>0</v>
      </c>
      <c r="P63" s="104">
        <f t="shared" si="13"/>
        <v>0</v>
      </c>
      <c r="Q63" s="104">
        <f t="shared" si="13"/>
        <v>0</v>
      </c>
      <c r="R63" s="104">
        <f t="shared" si="13"/>
        <v>0</v>
      </c>
      <c r="S63" s="104">
        <f t="shared" si="13"/>
        <v>0</v>
      </c>
      <c r="T63" s="104">
        <f t="shared" si="13"/>
        <v>0</v>
      </c>
      <c r="U63" s="104">
        <f t="shared" si="13"/>
        <v>0</v>
      </c>
      <c r="V63" s="104">
        <f t="shared" si="13"/>
        <v>0</v>
      </c>
      <c r="W63" s="104">
        <f t="shared" si="13"/>
        <v>0</v>
      </c>
      <c r="X63" s="104">
        <f t="shared" si="13"/>
        <v>0</v>
      </c>
      <c r="Y63" s="104">
        <f t="shared" si="13"/>
        <v>0</v>
      </c>
      <c r="Z63" s="104">
        <f t="shared" si="13"/>
        <v>0</v>
      </c>
      <c r="AA63" s="104">
        <f t="shared" si="13"/>
        <v>0</v>
      </c>
      <c r="AB63" s="104">
        <f t="shared" si="13"/>
        <v>0</v>
      </c>
      <c r="AC63" s="104">
        <f t="shared" si="13"/>
        <v>0</v>
      </c>
      <c r="AD63" s="104">
        <f t="shared" si="13"/>
        <v>0</v>
      </c>
      <c r="AE63" s="104">
        <f t="shared" si="13"/>
        <v>0</v>
      </c>
      <c r="AF63" s="104">
        <f t="shared" si="13"/>
        <v>0</v>
      </c>
      <c r="AG63" s="104">
        <f t="shared" si="13"/>
        <v>0</v>
      </c>
      <c r="AH63" s="104">
        <f t="shared" si="13"/>
        <v>0</v>
      </c>
    </row>
    <row r="64" spans="1:34">
      <c r="B64" s="96" t="s">
        <v>52</v>
      </c>
      <c r="C64" s="111">
        <v>10</v>
      </c>
      <c r="D64" s="97">
        <f t="shared" si="13"/>
        <v>568600</v>
      </c>
      <c r="E64" s="104">
        <f t="shared" si="13"/>
        <v>0</v>
      </c>
      <c r="F64" s="104">
        <f t="shared" si="13"/>
        <v>22680</v>
      </c>
      <c r="G64" s="104">
        <f t="shared" si="13"/>
        <v>17100</v>
      </c>
      <c r="H64" s="104">
        <f t="shared" si="13"/>
        <v>13820</v>
      </c>
      <c r="I64" s="104">
        <f t="shared" si="13"/>
        <v>11980</v>
      </c>
      <c r="J64" s="104">
        <f t="shared" si="13"/>
        <v>29300</v>
      </c>
      <c r="K64" s="104">
        <f t="shared" si="13"/>
        <v>109340</v>
      </c>
      <c r="L64" s="104">
        <f t="shared" si="13"/>
        <v>22460</v>
      </c>
      <c r="M64" s="104">
        <f t="shared" si="13"/>
        <v>37400</v>
      </c>
      <c r="N64" s="104">
        <f t="shared" si="13"/>
        <v>10800</v>
      </c>
      <c r="O64" s="104">
        <f t="shared" si="13"/>
        <v>16020</v>
      </c>
      <c r="P64" s="104">
        <f t="shared" si="13"/>
        <v>29720</v>
      </c>
      <c r="Q64" s="104">
        <f t="shared" si="13"/>
        <v>52360</v>
      </c>
      <c r="R64" s="104">
        <f t="shared" si="13"/>
        <v>11520</v>
      </c>
      <c r="S64" s="104">
        <f t="shared" si="13"/>
        <v>7200</v>
      </c>
      <c r="T64" s="104">
        <f t="shared" si="13"/>
        <v>16560</v>
      </c>
      <c r="U64" s="104">
        <f t="shared" si="13"/>
        <v>20880</v>
      </c>
      <c r="V64" s="104">
        <f t="shared" si="13"/>
        <v>27720</v>
      </c>
      <c r="W64" s="104">
        <f t="shared" si="13"/>
        <v>8640</v>
      </c>
      <c r="X64" s="104">
        <f t="shared" si="13"/>
        <v>2160</v>
      </c>
      <c r="Y64" s="104">
        <f t="shared" si="13"/>
        <v>9080</v>
      </c>
      <c r="Z64" s="104">
        <f t="shared" si="13"/>
        <v>24160</v>
      </c>
      <c r="AA64" s="104">
        <f t="shared" si="13"/>
        <v>13400</v>
      </c>
      <c r="AB64" s="104">
        <f t="shared" si="13"/>
        <v>29820</v>
      </c>
      <c r="AC64" s="104">
        <f t="shared" si="13"/>
        <v>12240</v>
      </c>
      <c r="AD64" s="104">
        <f t="shared" si="13"/>
        <v>12240</v>
      </c>
      <c r="AE64" s="104">
        <f t="shared" si="13"/>
        <v>0</v>
      </c>
      <c r="AF64" s="104">
        <f t="shared" si="13"/>
        <v>0</v>
      </c>
      <c r="AG64" s="104">
        <f t="shared" si="13"/>
        <v>0</v>
      </c>
      <c r="AH64" s="104">
        <f t="shared" si="13"/>
        <v>0</v>
      </c>
    </row>
    <row r="65" spans="2:34">
      <c r="B65" s="96" t="s">
        <v>53</v>
      </c>
      <c r="C65" s="111">
        <v>19</v>
      </c>
      <c r="D65" s="97">
        <f t="shared" si="13"/>
        <v>0</v>
      </c>
      <c r="E65" s="104">
        <f t="shared" si="13"/>
        <v>0</v>
      </c>
      <c r="F65" s="104">
        <f t="shared" si="13"/>
        <v>0</v>
      </c>
      <c r="G65" s="104">
        <f t="shared" si="13"/>
        <v>0</v>
      </c>
      <c r="H65" s="104">
        <f t="shared" si="13"/>
        <v>0</v>
      </c>
      <c r="I65" s="104">
        <f t="shared" si="13"/>
        <v>0</v>
      </c>
      <c r="J65" s="104">
        <f t="shared" si="13"/>
        <v>0</v>
      </c>
      <c r="K65" s="104">
        <f t="shared" si="13"/>
        <v>0</v>
      </c>
      <c r="L65" s="104">
        <f t="shared" si="13"/>
        <v>0</v>
      </c>
      <c r="M65" s="104">
        <f t="shared" si="13"/>
        <v>0</v>
      </c>
      <c r="N65" s="104">
        <f t="shared" si="13"/>
        <v>0</v>
      </c>
      <c r="O65" s="104">
        <f t="shared" si="13"/>
        <v>0</v>
      </c>
      <c r="P65" s="104">
        <f t="shared" si="13"/>
        <v>0</v>
      </c>
      <c r="Q65" s="104">
        <f t="shared" si="13"/>
        <v>0</v>
      </c>
      <c r="R65" s="104">
        <f t="shared" si="13"/>
        <v>0</v>
      </c>
      <c r="S65" s="104">
        <f t="shared" si="13"/>
        <v>0</v>
      </c>
      <c r="T65" s="104">
        <f t="shared" si="13"/>
        <v>0</v>
      </c>
      <c r="U65" s="104">
        <f t="shared" si="13"/>
        <v>0</v>
      </c>
      <c r="V65" s="104">
        <f t="shared" si="13"/>
        <v>0</v>
      </c>
      <c r="W65" s="104">
        <f t="shared" si="13"/>
        <v>0</v>
      </c>
      <c r="X65" s="104">
        <f t="shared" si="13"/>
        <v>0</v>
      </c>
      <c r="Y65" s="104">
        <f t="shared" si="13"/>
        <v>0</v>
      </c>
      <c r="Z65" s="104">
        <f t="shared" si="13"/>
        <v>0</v>
      </c>
      <c r="AA65" s="104">
        <f t="shared" si="13"/>
        <v>0</v>
      </c>
      <c r="AB65" s="104">
        <f t="shared" si="13"/>
        <v>0</v>
      </c>
      <c r="AC65" s="104">
        <f t="shared" si="13"/>
        <v>0</v>
      </c>
      <c r="AD65" s="104">
        <f t="shared" si="13"/>
        <v>0</v>
      </c>
      <c r="AE65" s="104">
        <f t="shared" si="13"/>
        <v>0</v>
      </c>
      <c r="AF65" s="104">
        <f t="shared" si="13"/>
        <v>0</v>
      </c>
      <c r="AG65" s="104">
        <f t="shared" si="13"/>
        <v>0</v>
      </c>
      <c r="AH65" s="104">
        <f t="shared" si="13"/>
        <v>0</v>
      </c>
    </row>
    <row r="66" spans="2:34">
      <c r="B66" s="96" t="s">
        <v>54</v>
      </c>
      <c r="C66" s="111">
        <v>10</v>
      </c>
      <c r="D66" s="97">
        <f t="shared" si="13"/>
        <v>0</v>
      </c>
      <c r="E66" s="104">
        <f t="shared" si="13"/>
        <v>0</v>
      </c>
      <c r="F66" s="104">
        <f t="shared" si="13"/>
        <v>0</v>
      </c>
      <c r="G66" s="104">
        <f t="shared" si="13"/>
        <v>0</v>
      </c>
      <c r="H66" s="104">
        <f t="shared" si="13"/>
        <v>0</v>
      </c>
      <c r="I66" s="104">
        <f t="shared" si="13"/>
        <v>0</v>
      </c>
      <c r="J66" s="104">
        <f t="shared" si="13"/>
        <v>0</v>
      </c>
      <c r="K66" s="104">
        <f t="shared" si="13"/>
        <v>0</v>
      </c>
      <c r="L66" s="104">
        <f t="shared" si="13"/>
        <v>0</v>
      </c>
      <c r="M66" s="104">
        <f t="shared" si="13"/>
        <v>0</v>
      </c>
      <c r="N66" s="104">
        <f t="shared" si="13"/>
        <v>0</v>
      </c>
      <c r="O66" s="104">
        <f t="shared" si="13"/>
        <v>0</v>
      </c>
      <c r="P66" s="104">
        <f t="shared" si="13"/>
        <v>0</v>
      </c>
      <c r="Q66" s="104">
        <f t="shared" si="13"/>
        <v>0</v>
      </c>
      <c r="R66" s="104">
        <f t="shared" si="13"/>
        <v>0</v>
      </c>
      <c r="S66" s="104">
        <f t="shared" si="13"/>
        <v>0</v>
      </c>
      <c r="T66" s="104">
        <f t="shared" si="13"/>
        <v>0</v>
      </c>
      <c r="U66" s="104">
        <f t="shared" si="13"/>
        <v>0</v>
      </c>
      <c r="V66" s="104">
        <f t="shared" si="13"/>
        <v>0</v>
      </c>
      <c r="W66" s="104">
        <f t="shared" si="13"/>
        <v>0</v>
      </c>
      <c r="X66" s="104">
        <f t="shared" si="13"/>
        <v>0</v>
      </c>
      <c r="Y66" s="104">
        <f t="shared" si="13"/>
        <v>0</v>
      </c>
      <c r="Z66" s="104">
        <f t="shared" si="13"/>
        <v>0</v>
      </c>
      <c r="AA66" s="104">
        <f t="shared" si="13"/>
        <v>0</v>
      </c>
      <c r="AB66" s="104">
        <f t="shared" si="13"/>
        <v>0</v>
      </c>
      <c r="AC66" s="104">
        <f t="shared" si="13"/>
        <v>0</v>
      </c>
      <c r="AD66" s="104">
        <f t="shared" si="13"/>
        <v>0</v>
      </c>
      <c r="AE66" s="104">
        <f t="shared" si="13"/>
        <v>0</v>
      </c>
      <c r="AF66" s="104">
        <f t="shared" si="13"/>
        <v>0</v>
      </c>
      <c r="AG66" s="104">
        <f t="shared" si="13"/>
        <v>0</v>
      </c>
      <c r="AH66" s="104">
        <f t="shared" si="13"/>
        <v>0</v>
      </c>
    </row>
    <row r="67" spans="2:34">
      <c r="B67" s="96" t="s">
        <v>55</v>
      </c>
      <c r="C67" s="111">
        <v>50</v>
      </c>
      <c r="D67" s="97">
        <f t="shared" si="13"/>
        <v>311100</v>
      </c>
      <c r="E67" s="104">
        <f t="shared" si="13"/>
        <v>0</v>
      </c>
      <c r="F67" s="104">
        <f t="shared" si="13"/>
        <v>0</v>
      </c>
      <c r="G67" s="104">
        <f t="shared" si="13"/>
        <v>0</v>
      </c>
      <c r="H67" s="104">
        <f t="shared" si="13"/>
        <v>14750</v>
      </c>
      <c r="I67" s="104">
        <f t="shared" si="13"/>
        <v>12400</v>
      </c>
      <c r="J67" s="104">
        <f t="shared" si="13"/>
        <v>8400</v>
      </c>
      <c r="K67" s="104">
        <f t="shared" si="13"/>
        <v>26350</v>
      </c>
      <c r="L67" s="104">
        <f t="shared" si="13"/>
        <v>6400</v>
      </c>
      <c r="M67" s="104">
        <f t="shared" si="13"/>
        <v>6350</v>
      </c>
      <c r="N67" s="104">
        <f t="shared" si="13"/>
        <v>0</v>
      </c>
      <c r="O67" s="104">
        <f t="shared" si="13"/>
        <v>0</v>
      </c>
      <c r="P67" s="104">
        <f t="shared" si="13"/>
        <v>0</v>
      </c>
      <c r="Q67" s="104">
        <f t="shared" si="13"/>
        <v>4200</v>
      </c>
      <c r="R67" s="104">
        <f t="shared" si="13"/>
        <v>1050</v>
      </c>
      <c r="S67" s="104">
        <f t="shared" si="13"/>
        <v>0</v>
      </c>
      <c r="T67" s="104">
        <f t="shared" si="13"/>
        <v>30400</v>
      </c>
      <c r="U67" s="104">
        <f t="shared" si="13"/>
        <v>0</v>
      </c>
      <c r="V67" s="104">
        <f t="shared" si="13"/>
        <v>0</v>
      </c>
      <c r="W67" s="104">
        <f t="shared" si="13"/>
        <v>7350</v>
      </c>
      <c r="X67" s="104">
        <f t="shared" si="13"/>
        <v>15850</v>
      </c>
      <c r="Y67" s="104">
        <f t="shared" si="13"/>
        <v>12700</v>
      </c>
      <c r="Z67" s="104">
        <f t="shared" si="13"/>
        <v>70250</v>
      </c>
      <c r="AA67" s="104">
        <f t="shared" si="13"/>
        <v>58800</v>
      </c>
      <c r="AB67" s="104">
        <f t="shared" si="13"/>
        <v>19750</v>
      </c>
      <c r="AC67" s="104">
        <f t="shared" si="13"/>
        <v>14000</v>
      </c>
      <c r="AD67" s="104">
        <f t="shared" si="13"/>
        <v>2100</v>
      </c>
      <c r="AE67" s="104">
        <f t="shared" si="13"/>
        <v>0</v>
      </c>
      <c r="AF67" s="104">
        <f t="shared" si="13"/>
        <v>0</v>
      </c>
      <c r="AG67" s="104">
        <f t="shared" si="13"/>
        <v>0</v>
      </c>
      <c r="AH67" s="104">
        <f t="shared" si="13"/>
        <v>0</v>
      </c>
    </row>
    <row r="68" spans="2:34">
      <c r="B68" s="96" t="s">
        <v>56</v>
      </c>
      <c r="C68" s="111">
        <v>27.39</v>
      </c>
      <c r="D68" s="97">
        <f t="shared" si="13"/>
        <v>43933.56</v>
      </c>
      <c r="E68" s="104">
        <f t="shared" si="13"/>
        <v>0</v>
      </c>
      <c r="F68" s="104">
        <f t="shared" si="13"/>
        <v>0</v>
      </c>
      <c r="G68" s="104">
        <f t="shared" si="13"/>
        <v>0</v>
      </c>
      <c r="H68" s="104">
        <f t="shared" si="13"/>
        <v>2191.1999999999998</v>
      </c>
      <c r="I68" s="104">
        <f t="shared" si="13"/>
        <v>2300.7600000000002</v>
      </c>
      <c r="J68" s="104">
        <f t="shared" si="13"/>
        <v>2191.1999999999998</v>
      </c>
      <c r="K68" s="104">
        <f t="shared" si="13"/>
        <v>3286.8</v>
      </c>
      <c r="L68" s="104">
        <f t="shared" si="13"/>
        <v>2191.1999999999998</v>
      </c>
      <c r="M68" s="104">
        <f t="shared" si="13"/>
        <v>1643.4</v>
      </c>
      <c r="N68" s="104">
        <f t="shared" si="13"/>
        <v>0</v>
      </c>
      <c r="O68" s="104">
        <f t="shared" si="13"/>
        <v>0</v>
      </c>
      <c r="P68" s="104">
        <f t="shared" si="13"/>
        <v>0</v>
      </c>
      <c r="Q68" s="104">
        <f t="shared" si="13"/>
        <v>0</v>
      </c>
      <c r="R68" s="104">
        <f t="shared" si="13"/>
        <v>1095.5999999999999</v>
      </c>
      <c r="S68" s="104">
        <f t="shared" si="13"/>
        <v>0</v>
      </c>
      <c r="T68" s="104">
        <f t="shared" si="13"/>
        <v>3286.8</v>
      </c>
      <c r="U68" s="104">
        <f t="shared" si="13"/>
        <v>0</v>
      </c>
      <c r="V68" s="104">
        <f t="shared" si="13"/>
        <v>0</v>
      </c>
      <c r="W68" s="104">
        <f t="shared" si="13"/>
        <v>1095.5999999999999</v>
      </c>
      <c r="X68" s="104">
        <f t="shared" si="13"/>
        <v>3286.8</v>
      </c>
      <c r="Y68" s="104">
        <f t="shared" si="13"/>
        <v>2739</v>
      </c>
      <c r="Z68" s="104">
        <f t="shared" si="13"/>
        <v>8217</v>
      </c>
      <c r="AA68" s="104">
        <f t="shared" si="13"/>
        <v>5478</v>
      </c>
      <c r="AB68" s="104">
        <f t="shared" ref="AB68:AH68" si="14">AB35*$C68</f>
        <v>2739</v>
      </c>
      <c r="AC68" s="104">
        <f t="shared" si="14"/>
        <v>2191.1999999999998</v>
      </c>
      <c r="AD68" s="104">
        <f t="shared" si="14"/>
        <v>0</v>
      </c>
      <c r="AE68" s="104">
        <f t="shared" si="14"/>
        <v>0</v>
      </c>
      <c r="AF68" s="104">
        <f t="shared" si="14"/>
        <v>0</v>
      </c>
      <c r="AG68" s="104">
        <f t="shared" si="14"/>
        <v>0</v>
      </c>
      <c r="AH68" s="104">
        <f t="shared" si="14"/>
        <v>0</v>
      </c>
    </row>
    <row r="69" spans="2:34">
      <c r="B69" s="96" t="s">
        <v>57</v>
      </c>
      <c r="C69" s="111">
        <v>26</v>
      </c>
      <c r="D69" s="97">
        <f t="shared" ref="D69:AH71" si="15">D36*$C69</f>
        <v>0</v>
      </c>
      <c r="E69" s="104">
        <f t="shared" si="15"/>
        <v>0</v>
      </c>
      <c r="F69" s="104">
        <f t="shared" si="15"/>
        <v>0</v>
      </c>
      <c r="G69" s="104">
        <f t="shared" si="15"/>
        <v>0</v>
      </c>
      <c r="H69" s="104">
        <f t="shared" si="15"/>
        <v>0</v>
      </c>
      <c r="I69" s="104">
        <f t="shared" si="15"/>
        <v>0</v>
      </c>
      <c r="J69" s="104">
        <f t="shared" si="15"/>
        <v>0</v>
      </c>
      <c r="K69" s="104">
        <f t="shared" si="15"/>
        <v>0</v>
      </c>
      <c r="L69" s="104">
        <f t="shared" si="15"/>
        <v>0</v>
      </c>
      <c r="M69" s="104">
        <f t="shared" si="15"/>
        <v>0</v>
      </c>
      <c r="N69" s="104">
        <f t="shared" si="15"/>
        <v>0</v>
      </c>
      <c r="O69" s="104">
        <f t="shared" si="15"/>
        <v>0</v>
      </c>
      <c r="P69" s="104">
        <f t="shared" si="15"/>
        <v>0</v>
      </c>
      <c r="Q69" s="104">
        <f t="shared" si="15"/>
        <v>0</v>
      </c>
      <c r="R69" s="104">
        <f t="shared" si="15"/>
        <v>0</v>
      </c>
      <c r="S69" s="104">
        <f t="shared" si="15"/>
        <v>0</v>
      </c>
      <c r="T69" s="104">
        <f t="shared" si="15"/>
        <v>0</v>
      </c>
      <c r="U69" s="104">
        <f t="shared" si="15"/>
        <v>0</v>
      </c>
      <c r="V69" s="104">
        <f t="shared" si="15"/>
        <v>0</v>
      </c>
      <c r="W69" s="104">
        <f t="shared" si="15"/>
        <v>0</v>
      </c>
      <c r="X69" s="104">
        <f t="shared" si="15"/>
        <v>0</v>
      </c>
      <c r="Y69" s="104">
        <f t="shared" si="15"/>
        <v>0</v>
      </c>
      <c r="Z69" s="104">
        <f t="shared" si="15"/>
        <v>0</v>
      </c>
      <c r="AA69" s="104">
        <f t="shared" si="15"/>
        <v>0</v>
      </c>
      <c r="AB69" s="104">
        <f t="shared" si="15"/>
        <v>0</v>
      </c>
      <c r="AC69" s="104">
        <f t="shared" si="15"/>
        <v>0</v>
      </c>
      <c r="AD69" s="104">
        <f t="shared" si="15"/>
        <v>0</v>
      </c>
      <c r="AE69" s="104">
        <f t="shared" si="15"/>
        <v>0</v>
      </c>
      <c r="AF69" s="104">
        <f t="shared" si="15"/>
        <v>0</v>
      </c>
      <c r="AG69" s="104">
        <f t="shared" si="15"/>
        <v>0</v>
      </c>
      <c r="AH69" s="104">
        <f t="shared" si="15"/>
        <v>0</v>
      </c>
    </row>
    <row r="70" spans="2:34">
      <c r="B70" s="96" t="s">
        <v>58</v>
      </c>
      <c r="C70" s="111">
        <v>48</v>
      </c>
      <c r="D70" s="97">
        <f t="shared" si="15"/>
        <v>0</v>
      </c>
      <c r="E70" s="104">
        <f t="shared" si="15"/>
        <v>0</v>
      </c>
      <c r="F70" s="104">
        <f t="shared" si="15"/>
        <v>0</v>
      </c>
      <c r="G70" s="104">
        <f t="shared" si="15"/>
        <v>0</v>
      </c>
      <c r="H70" s="104">
        <f t="shared" si="15"/>
        <v>0</v>
      </c>
      <c r="I70" s="104">
        <f t="shared" si="15"/>
        <v>0</v>
      </c>
      <c r="J70" s="104">
        <f t="shared" si="15"/>
        <v>0</v>
      </c>
      <c r="K70" s="104">
        <f t="shared" si="15"/>
        <v>0</v>
      </c>
      <c r="L70" s="104">
        <f t="shared" si="15"/>
        <v>0</v>
      </c>
      <c r="M70" s="104">
        <f t="shared" si="15"/>
        <v>0</v>
      </c>
      <c r="N70" s="104">
        <f t="shared" si="15"/>
        <v>0</v>
      </c>
      <c r="O70" s="104">
        <f t="shared" si="15"/>
        <v>0</v>
      </c>
      <c r="P70" s="104">
        <f t="shared" si="15"/>
        <v>0</v>
      </c>
      <c r="Q70" s="104">
        <f t="shared" si="15"/>
        <v>0</v>
      </c>
      <c r="R70" s="104">
        <f t="shared" si="15"/>
        <v>0</v>
      </c>
      <c r="S70" s="104">
        <f t="shared" si="15"/>
        <v>0</v>
      </c>
      <c r="T70" s="104">
        <f t="shared" si="15"/>
        <v>0</v>
      </c>
      <c r="U70" s="104">
        <f t="shared" si="15"/>
        <v>0</v>
      </c>
      <c r="V70" s="104">
        <f t="shared" si="15"/>
        <v>0</v>
      </c>
      <c r="W70" s="104">
        <f t="shared" si="15"/>
        <v>0</v>
      </c>
      <c r="X70" s="104">
        <f t="shared" si="15"/>
        <v>0</v>
      </c>
      <c r="Y70" s="104">
        <f t="shared" si="15"/>
        <v>0</v>
      </c>
      <c r="Z70" s="104">
        <f t="shared" si="15"/>
        <v>0</v>
      </c>
      <c r="AA70" s="104">
        <f t="shared" si="15"/>
        <v>0</v>
      </c>
      <c r="AB70" s="104">
        <f t="shared" si="15"/>
        <v>0</v>
      </c>
      <c r="AC70" s="104">
        <f t="shared" si="15"/>
        <v>0</v>
      </c>
      <c r="AD70" s="104">
        <f t="shared" si="15"/>
        <v>0</v>
      </c>
      <c r="AE70" s="104">
        <f t="shared" si="15"/>
        <v>0</v>
      </c>
      <c r="AF70" s="104">
        <f t="shared" si="15"/>
        <v>0</v>
      </c>
      <c r="AG70" s="104">
        <f t="shared" si="15"/>
        <v>0</v>
      </c>
      <c r="AH70" s="104">
        <f t="shared" si="15"/>
        <v>0</v>
      </c>
    </row>
    <row r="71" spans="2:34">
      <c r="B71" s="96" t="s">
        <v>59</v>
      </c>
      <c r="C71" s="112">
        <v>8</v>
      </c>
      <c r="D71" s="97">
        <f t="shared" si="15"/>
        <v>14976</v>
      </c>
      <c r="E71" s="104">
        <f t="shared" si="15"/>
        <v>0</v>
      </c>
      <c r="F71" s="104">
        <f t="shared" si="15"/>
        <v>0</v>
      </c>
      <c r="G71" s="104">
        <f t="shared" si="15"/>
        <v>2560</v>
      </c>
      <c r="H71" s="104">
        <f t="shared" si="15"/>
        <v>1200</v>
      </c>
      <c r="I71" s="104">
        <f t="shared" si="15"/>
        <v>0</v>
      </c>
      <c r="J71" s="104">
        <f t="shared" si="15"/>
        <v>0</v>
      </c>
      <c r="K71" s="104">
        <f t="shared" si="15"/>
        <v>0</v>
      </c>
      <c r="L71" s="104">
        <f t="shared" si="15"/>
        <v>1200</v>
      </c>
      <c r="M71" s="104">
        <f t="shared" si="15"/>
        <v>1600</v>
      </c>
      <c r="N71" s="104">
        <f t="shared" si="15"/>
        <v>0</v>
      </c>
      <c r="O71" s="104">
        <f t="shared" si="15"/>
        <v>1568</v>
      </c>
      <c r="P71" s="104">
        <f t="shared" si="15"/>
        <v>0</v>
      </c>
      <c r="Q71" s="104">
        <f t="shared" si="15"/>
        <v>1600</v>
      </c>
      <c r="R71" s="104">
        <f t="shared" si="15"/>
        <v>1168</v>
      </c>
      <c r="S71" s="104">
        <f t="shared" si="15"/>
        <v>0</v>
      </c>
      <c r="T71" s="104">
        <f t="shared" si="15"/>
        <v>1568</v>
      </c>
      <c r="U71" s="104">
        <f t="shared" si="15"/>
        <v>0</v>
      </c>
      <c r="V71" s="104">
        <f t="shared" si="15"/>
        <v>200</v>
      </c>
      <c r="W71" s="104">
        <f t="shared" si="15"/>
        <v>576</v>
      </c>
      <c r="X71" s="104">
        <f t="shared" si="15"/>
        <v>0</v>
      </c>
      <c r="Y71" s="104">
        <f t="shared" si="15"/>
        <v>576</v>
      </c>
      <c r="Z71" s="104">
        <f t="shared" si="15"/>
        <v>1160</v>
      </c>
      <c r="AA71" s="104">
        <f t="shared" si="15"/>
        <v>0</v>
      </c>
      <c r="AB71" s="104">
        <f t="shared" si="15"/>
        <v>0</v>
      </c>
      <c r="AC71" s="104">
        <f t="shared" si="15"/>
        <v>0</v>
      </c>
      <c r="AD71" s="104">
        <f t="shared" si="15"/>
        <v>0</v>
      </c>
      <c r="AE71" s="104">
        <f t="shared" si="15"/>
        <v>0</v>
      </c>
      <c r="AF71" s="104">
        <f t="shared" si="15"/>
        <v>0</v>
      </c>
      <c r="AG71" s="104">
        <f t="shared" si="15"/>
        <v>0</v>
      </c>
      <c r="AH71" s="104">
        <f t="shared" si="15"/>
        <v>0</v>
      </c>
    </row>
    <row r="72" spans="2:34">
      <c r="B72" s="35" t="s">
        <v>85</v>
      </c>
      <c r="C72" s="113">
        <v>3.2</v>
      </c>
      <c r="D72" s="98">
        <f>D50*C72</f>
        <v>1152000</v>
      </c>
      <c r="E72" s="107">
        <f>E50*$C$72</f>
        <v>0</v>
      </c>
      <c r="F72" s="107">
        <f t="shared" ref="F72:AH72" si="16">F50*E72</f>
        <v>0</v>
      </c>
      <c r="G72" s="107">
        <f t="shared" si="16"/>
        <v>0</v>
      </c>
      <c r="H72" s="107">
        <f t="shared" si="16"/>
        <v>0</v>
      </c>
      <c r="I72" s="107">
        <f t="shared" si="16"/>
        <v>0</v>
      </c>
      <c r="J72" s="107">
        <f t="shared" si="16"/>
        <v>0</v>
      </c>
      <c r="K72" s="107">
        <f t="shared" si="16"/>
        <v>0</v>
      </c>
      <c r="L72" s="107">
        <f t="shared" si="16"/>
        <v>0</v>
      </c>
      <c r="M72" s="107">
        <f t="shared" si="16"/>
        <v>0</v>
      </c>
      <c r="N72" s="107">
        <f t="shared" si="16"/>
        <v>0</v>
      </c>
      <c r="O72" s="107">
        <f t="shared" si="16"/>
        <v>0</v>
      </c>
      <c r="P72" s="107">
        <f t="shared" si="16"/>
        <v>0</v>
      </c>
      <c r="Q72" s="107">
        <f t="shared" si="16"/>
        <v>0</v>
      </c>
      <c r="R72" s="107">
        <f t="shared" si="16"/>
        <v>0</v>
      </c>
      <c r="S72" s="107">
        <f t="shared" si="16"/>
        <v>0</v>
      </c>
      <c r="T72" s="107">
        <f t="shared" si="16"/>
        <v>0</v>
      </c>
      <c r="U72" s="107">
        <f t="shared" si="16"/>
        <v>0</v>
      </c>
      <c r="V72" s="107">
        <f t="shared" si="16"/>
        <v>0</v>
      </c>
      <c r="W72" s="107">
        <f t="shared" si="16"/>
        <v>0</v>
      </c>
      <c r="X72" s="107">
        <f t="shared" si="16"/>
        <v>0</v>
      </c>
      <c r="Y72" s="107">
        <f t="shared" si="16"/>
        <v>0</v>
      </c>
      <c r="Z72" s="107">
        <f t="shared" si="16"/>
        <v>0</v>
      </c>
      <c r="AA72" s="107">
        <f t="shared" si="16"/>
        <v>0</v>
      </c>
      <c r="AB72" s="107">
        <f t="shared" si="16"/>
        <v>0</v>
      </c>
      <c r="AC72" s="107">
        <f t="shared" si="16"/>
        <v>0</v>
      </c>
      <c r="AD72" s="107">
        <f t="shared" si="16"/>
        <v>0</v>
      </c>
      <c r="AE72" s="107">
        <f t="shared" si="16"/>
        <v>0</v>
      </c>
      <c r="AF72" s="107">
        <f t="shared" si="16"/>
        <v>0</v>
      </c>
      <c r="AG72" s="107">
        <f t="shared" si="16"/>
        <v>0</v>
      </c>
      <c r="AH72" s="107">
        <f t="shared" si="16"/>
        <v>0</v>
      </c>
    </row>
    <row r="74" spans="2:34">
      <c r="B74" s="318" t="s">
        <v>86</v>
      </c>
      <c r="C74" s="319"/>
      <c r="D74" s="108">
        <f>AVERAGEIF(E59:N59, "&gt;0")</f>
        <v>1149186.5066666668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6" spans="2:34">
      <c r="B76" s="12" t="s">
        <v>87</v>
      </c>
      <c r="C76" s="13">
        <v>0.31</v>
      </c>
      <c r="D76" s="231">
        <f>SUM(F76:AH76)</f>
        <v>10001765.463599999</v>
      </c>
      <c r="E76" s="171">
        <f t="shared" ref="E76:AH76" si="17">E59*$C$76</f>
        <v>0</v>
      </c>
      <c r="F76" s="14">
        <f t="shared" si="17"/>
        <v>253922.86</v>
      </c>
      <c r="G76" s="14">
        <f t="shared" si="17"/>
        <v>384161.3</v>
      </c>
      <c r="H76" s="14">
        <f t="shared" si="17"/>
        <v>440010.652</v>
      </c>
      <c r="I76" s="14">
        <f t="shared" si="17"/>
        <v>434558.85560000001</v>
      </c>
      <c r="J76" s="14">
        <f t="shared" si="17"/>
        <v>389856.37199999997</v>
      </c>
      <c r="K76" s="15">
        <f t="shared" si="17"/>
        <v>257984.728</v>
      </c>
      <c r="L76" s="14">
        <f t="shared" si="17"/>
        <v>233760.21199999997</v>
      </c>
      <c r="M76" s="15">
        <f t="shared" si="17"/>
        <v>377058.39399999997</v>
      </c>
      <c r="N76" s="14">
        <f t="shared" si="17"/>
        <v>434916.98</v>
      </c>
      <c r="O76" s="14">
        <f t="shared" si="17"/>
        <v>580541.34</v>
      </c>
      <c r="P76" s="14">
        <f t="shared" si="17"/>
        <v>561305.22</v>
      </c>
      <c r="Q76" s="14">
        <f t="shared" si="17"/>
        <v>424399.3</v>
      </c>
      <c r="R76" s="14">
        <f t="shared" si="17"/>
        <v>191066.516</v>
      </c>
      <c r="S76" s="14">
        <f t="shared" si="17"/>
        <v>334723.12</v>
      </c>
      <c r="T76" s="14">
        <f t="shared" si="17"/>
        <v>621665.56799999997</v>
      </c>
      <c r="U76" s="14">
        <f t="shared" si="17"/>
        <v>446581.97</v>
      </c>
      <c r="V76" s="14">
        <f t="shared" si="17"/>
        <v>586173.73</v>
      </c>
      <c r="W76" s="14">
        <f t="shared" si="17"/>
        <v>299694.85599999997</v>
      </c>
      <c r="X76" s="14">
        <f t="shared" si="17"/>
        <v>292509.42800000001</v>
      </c>
      <c r="Y76" s="14">
        <f t="shared" si="17"/>
        <v>389279.71</v>
      </c>
      <c r="Z76" s="14">
        <f t="shared" si="17"/>
        <v>398440.83</v>
      </c>
      <c r="AA76" s="14">
        <f t="shared" si="17"/>
        <v>362619.4</v>
      </c>
      <c r="AB76" s="14">
        <f t="shared" si="17"/>
        <v>416163.52999999997</v>
      </c>
      <c r="AC76" s="14">
        <f t="shared" si="17"/>
        <v>383589.41200000001</v>
      </c>
      <c r="AD76" s="14">
        <f t="shared" si="17"/>
        <v>506781.18</v>
      </c>
      <c r="AE76" s="14">
        <f t="shared" si="17"/>
        <v>0</v>
      </c>
      <c r="AF76" s="14">
        <f t="shared" si="17"/>
        <v>0</v>
      </c>
      <c r="AG76" s="14">
        <f t="shared" si="17"/>
        <v>0</v>
      </c>
      <c r="AH76" s="14">
        <f t="shared" si="17"/>
        <v>0</v>
      </c>
    </row>
    <row r="77" spans="2:34">
      <c r="B77" s="16" t="s">
        <v>88</v>
      </c>
      <c r="C77" s="17">
        <v>60000</v>
      </c>
      <c r="D77" s="232">
        <f>SUM(F77:AH77)</f>
        <v>1740000</v>
      </c>
      <c r="E77" s="172">
        <f t="shared" ref="E77:AH77" si="18">$C$77</f>
        <v>60000</v>
      </c>
      <c r="F77" s="18">
        <f t="shared" si="18"/>
        <v>60000</v>
      </c>
      <c r="G77" s="18">
        <f t="shared" si="18"/>
        <v>60000</v>
      </c>
      <c r="H77" s="18">
        <f t="shared" si="18"/>
        <v>60000</v>
      </c>
      <c r="I77" s="18">
        <f t="shared" si="18"/>
        <v>60000</v>
      </c>
      <c r="J77" s="18">
        <f t="shared" si="18"/>
        <v>60000</v>
      </c>
      <c r="K77" s="19">
        <f t="shared" si="18"/>
        <v>60000</v>
      </c>
      <c r="L77" s="18">
        <f t="shared" si="18"/>
        <v>60000</v>
      </c>
      <c r="M77" s="19">
        <f t="shared" si="18"/>
        <v>60000</v>
      </c>
      <c r="N77" s="18">
        <f t="shared" si="18"/>
        <v>60000</v>
      </c>
      <c r="O77" s="18">
        <f t="shared" si="18"/>
        <v>60000</v>
      </c>
      <c r="P77" s="18">
        <f t="shared" si="18"/>
        <v>60000</v>
      </c>
      <c r="Q77" s="18">
        <f t="shared" si="18"/>
        <v>60000</v>
      </c>
      <c r="R77" s="18">
        <f t="shared" si="18"/>
        <v>60000</v>
      </c>
      <c r="S77" s="18">
        <f t="shared" si="18"/>
        <v>60000</v>
      </c>
      <c r="T77" s="18">
        <f t="shared" si="18"/>
        <v>60000</v>
      </c>
      <c r="U77" s="18">
        <f t="shared" si="18"/>
        <v>60000</v>
      </c>
      <c r="V77" s="18">
        <f t="shared" si="18"/>
        <v>60000</v>
      </c>
      <c r="W77" s="18">
        <f t="shared" si="18"/>
        <v>60000</v>
      </c>
      <c r="X77" s="18">
        <f t="shared" si="18"/>
        <v>60000</v>
      </c>
      <c r="Y77" s="18">
        <f t="shared" si="18"/>
        <v>60000</v>
      </c>
      <c r="Z77" s="18">
        <f t="shared" si="18"/>
        <v>60000</v>
      </c>
      <c r="AA77" s="18">
        <f t="shared" si="18"/>
        <v>60000</v>
      </c>
      <c r="AB77" s="18">
        <f t="shared" si="18"/>
        <v>60000</v>
      </c>
      <c r="AC77" s="18">
        <f t="shared" si="18"/>
        <v>60000</v>
      </c>
      <c r="AD77" s="18">
        <f t="shared" si="18"/>
        <v>60000</v>
      </c>
      <c r="AE77" s="18">
        <f t="shared" si="18"/>
        <v>60000</v>
      </c>
      <c r="AF77" s="18">
        <f t="shared" si="18"/>
        <v>60000</v>
      </c>
      <c r="AG77" s="18">
        <f t="shared" si="18"/>
        <v>60000</v>
      </c>
      <c r="AH77" s="18">
        <f t="shared" si="18"/>
        <v>60000</v>
      </c>
    </row>
    <row r="78" spans="2:34">
      <c r="B78" s="16" t="s">
        <v>89</v>
      </c>
      <c r="C78" s="17">
        <v>55000</v>
      </c>
      <c r="D78" s="232">
        <f>SUM(F78:AH78)</f>
        <v>1595000</v>
      </c>
      <c r="E78" s="172">
        <f t="shared" ref="E78:AH78" si="19">$C$78</f>
        <v>55000</v>
      </c>
      <c r="F78" s="18">
        <f t="shared" si="19"/>
        <v>55000</v>
      </c>
      <c r="G78" s="18">
        <f t="shared" si="19"/>
        <v>55000</v>
      </c>
      <c r="H78" s="18">
        <f t="shared" si="19"/>
        <v>55000</v>
      </c>
      <c r="I78" s="18">
        <f t="shared" si="19"/>
        <v>55000</v>
      </c>
      <c r="J78" s="18">
        <f t="shared" si="19"/>
        <v>55000</v>
      </c>
      <c r="K78" s="19">
        <f t="shared" si="19"/>
        <v>55000</v>
      </c>
      <c r="L78" s="18">
        <f t="shared" si="19"/>
        <v>55000</v>
      </c>
      <c r="M78" s="19">
        <f t="shared" si="19"/>
        <v>55000</v>
      </c>
      <c r="N78" s="18">
        <f t="shared" si="19"/>
        <v>55000</v>
      </c>
      <c r="O78" s="18">
        <f t="shared" si="19"/>
        <v>55000</v>
      </c>
      <c r="P78" s="18">
        <f t="shared" si="19"/>
        <v>55000</v>
      </c>
      <c r="Q78" s="18">
        <f t="shared" si="19"/>
        <v>55000</v>
      </c>
      <c r="R78" s="18">
        <f t="shared" si="19"/>
        <v>55000</v>
      </c>
      <c r="S78" s="18">
        <f t="shared" si="19"/>
        <v>55000</v>
      </c>
      <c r="T78" s="18">
        <f t="shared" si="19"/>
        <v>55000</v>
      </c>
      <c r="U78" s="18">
        <f t="shared" si="19"/>
        <v>55000</v>
      </c>
      <c r="V78" s="18">
        <f t="shared" si="19"/>
        <v>55000</v>
      </c>
      <c r="W78" s="18">
        <f t="shared" si="19"/>
        <v>55000</v>
      </c>
      <c r="X78" s="18">
        <f t="shared" si="19"/>
        <v>55000</v>
      </c>
      <c r="Y78" s="18">
        <f t="shared" si="19"/>
        <v>55000</v>
      </c>
      <c r="Z78" s="18">
        <f t="shared" si="19"/>
        <v>55000</v>
      </c>
      <c r="AA78" s="18">
        <f t="shared" si="19"/>
        <v>55000</v>
      </c>
      <c r="AB78" s="18">
        <f t="shared" si="19"/>
        <v>55000</v>
      </c>
      <c r="AC78" s="18">
        <f t="shared" si="19"/>
        <v>55000</v>
      </c>
      <c r="AD78" s="18">
        <f t="shared" si="19"/>
        <v>55000</v>
      </c>
      <c r="AE78" s="18">
        <f t="shared" si="19"/>
        <v>55000</v>
      </c>
      <c r="AF78" s="18">
        <f t="shared" si="19"/>
        <v>55000</v>
      </c>
      <c r="AG78" s="18">
        <f t="shared" si="19"/>
        <v>55000</v>
      </c>
      <c r="AH78" s="18">
        <f t="shared" si="19"/>
        <v>55000</v>
      </c>
    </row>
    <row r="79" spans="2:34">
      <c r="B79" s="20" t="s">
        <v>90</v>
      </c>
      <c r="C79" s="21">
        <v>8.8000000000000007</v>
      </c>
      <c r="D79" s="233">
        <f>SUM(F79:AH79)</f>
        <v>3476000</v>
      </c>
      <c r="E79" s="173">
        <f t="shared" ref="E79:AH79" si="20">$C$79*E41</f>
        <v>0</v>
      </c>
      <c r="F79" s="23">
        <f t="shared" si="20"/>
        <v>105600.00000000001</v>
      </c>
      <c r="G79" s="23">
        <f t="shared" si="20"/>
        <v>140800</v>
      </c>
      <c r="H79" s="23">
        <f t="shared" si="20"/>
        <v>149600</v>
      </c>
      <c r="I79" s="23">
        <f t="shared" si="20"/>
        <v>167200</v>
      </c>
      <c r="J79" s="23">
        <f t="shared" si="20"/>
        <v>149600</v>
      </c>
      <c r="K79" s="22">
        <f t="shared" si="20"/>
        <v>158400</v>
      </c>
      <c r="L79" s="23">
        <f t="shared" si="20"/>
        <v>123200.00000000001</v>
      </c>
      <c r="M79" s="22">
        <f t="shared" si="20"/>
        <v>158400</v>
      </c>
      <c r="N79" s="23">
        <f t="shared" si="20"/>
        <v>140800</v>
      </c>
      <c r="O79" s="23">
        <f t="shared" si="20"/>
        <v>132000</v>
      </c>
      <c r="P79" s="23">
        <f t="shared" si="20"/>
        <v>149600</v>
      </c>
      <c r="Q79" s="23">
        <f t="shared" si="20"/>
        <v>140800</v>
      </c>
      <c r="R79" s="23">
        <f t="shared" si="20"/>
        <v>96800.000000000015</v>
      </c>
      <c r="S79" s="23">
        <f t="shared" si="20"/>
        <v>114400.00000000001</v>
      </c>
      <c r="T79" s="23">
        <f t="shared" si="20"/>
        <v>132000</v>
      </c>
      <c r="U79" s="23">
        <f t="shared" si="20"/>
        <v>140800</v>
      </c>
      <c r="V79" s="23">
        <f t="shared" si="20"/>
        <v>123200.00000000001</v>
      </c>
      <c r="W79" s="23">
        <f t="shared" si="20"/>
        <v>105600.00000000001</v>
      </c>
      <c r="X79" s="23">
        <f t="shared" si="20"/>
        <v>123200.00000000001</v>
      </c>
      <c r="Y79" s="23">
        <f t="shared" si="20"/>
        <v>140800</v>
      </c>
      <c r="Z79" s="23">
        <f t="shared" si="20"/>
        <v>140800</v>
      </c>
      <c r="AA79" s="23">
        <f t="shared" si="20"/>
        <v>149600</v>
      </c>
      <c r="AB79" s="23">
        <f t="shared" si="20"/>
        <v>132000</v>
      </c>
      <c r="AC79" s="23">
        <f t="shared" si="20"/>
        <v>123200.00000000001</v>
      </c>
      <c r="AD79" s="23">
        <f t="shared" si="20"/>
        <v>140800</v>
      </c>
      <c r="AE79" s="23">
        <f t="shared" si="20"/>
        <v>61600.000000000007</v>
      </c>
      <c r="AF79" s="23">
        <f t="shared" si="20"/>
        <v>35200</v>
      </c>
      <c r="AG79" s="23">
        <f t="shared" si="20"/>
        <v>0</v>
      </c>
      <c r="AH79" s="23">
        <f t="shared" si="20"/>
        <v>0</v>
      </c>
    </row>
    <row r="80" spans="2:34">
      <c r="B80" s="24" t="s">
        <v>91</v>
      </c>
      <c r="C80" s="25">
        <f>SUM(E80:AH80)</f>
        <v>15335994.0964</v>
      </c>
      <c r="D80" s="260">
        <f>D59-D76-D77-D78-D79</f>
        <v>16602994.0964</v>
      </c>
      <c r="E80" s="177">
        <f t="shared" ref="E80:AH80" si="21">E59-E76-E77-E78-E79</f>
        <v>-115000</v>
      </c>
      <c r="F80" s="26">
        <f t="shared" si="21"/>
        <v>344583.14</v>
      </c>
      <c r="G80" s="26">
        <f t="shared" si="21"/>
        <v>599268.69999999995</v>
      </c>
      <c r="H80" s="26">
        <f t="shared" si="21"/>
        <v>714778.54799999995</v>
      </c>
      <c r="I80" s="26">
        <f t="shared" si="21"/>
        <v>685043.9044</v>
      </c>
      <c r="J80" s="26">
        <f t="shared" si="21"/>
        <v>603144.82799999998</v>
      </c>
      <c r="K80" s="27">
        <f t="shared" si="21"/>
        <v>300824.07200000004</v>
      </c>
      <c r="L80" s="26">
        <f t="shared" si="21"/>
        <v>282104.98800000001</v>
      </c>
      <c r="M80" s="27">
        <f t="shared" si="21"/>
        <v>565859.00599999994</v>
      </c>
      <c r="N80" s="26">
        <f t="shared" si="21"/>
        <v>712241.02</v>
      </c>
      <c r="O80" s="26">
        <f t="shared" si="21"/>
        <v>1045172.6600000001</v>
      </c>
      <c r="P80" s="26">
        <f t="shared" si="21"/>
        <v>984756.78</v>
      </c>
      <c r="Q80" s="26">
        <f t="shared" si="21"/>
        <v>688830.7</v>
      </c>
      <c r="R80" s="26">
        <f t="shared" si="21"/>
        <v>213477.08399999997</v>
      </c>
      <c r="S80" s="26">
        <f t="shared" si="21"/>
        <v>515628.88</v>
      </c>
      <c r="T80" s="26">
        <f t="shared" si="21"/>
        <v>1136707.2320000001</v>
      </c>
      <c r="U80" s="26">
        <f t="shared" si="21"/>
        <v>738205.03</v>
      </c>
      <c r="V80" s="26">
        <f t="shared" si="21"/>
        <v>1066509.27</v>
      </c>
      <c r="W80" s="26">
        <f t="shared" si="21"/>
        <v>446462.74399999995</v>
      </c>
      <c r="X80" s="26">
        <f t="shared" si="21"/>
        <v>412869.37199999997</v>
      </c>
      <c r="Y80" s="26">
        <f t="shared" si="21"/>
        <v>610661.29</v>
      </c>
      <c r="Z80" s="26">
        <f t="shared" si="21"/>
        <v>631052.16999999993</v>
      </c>
      <c r="AA80" s="26">
        <f t="shared" si="21"/>
        <v>542520.6</v>
      </c>
      <c r="AB80" s="26">
        <f t="shared" si="21"/>
        <v>679299.47</v>
      </c>
      <c r="AC80" s="26">
        <f t="shared" si="21"/>
        <v>615595.78799999994</v>
      </c>
      <c r="AD80" s="26">
        <f t="shared" si="21"/>
        <v>872196.82000000007</v>
      </c>
      <c r="AE80" s="26">
        <f t="shared" si="21"/>
        <v>-176600</v>
      </c>
      <c r="AF80" s="26">
        <f t="shared" si="21"/>
        <v>-150200</v>
      </c>
      <c r="AG80" s="26">
        <f t="shared" si="21"/>
        <v>-115000</v>
      </c>
      <c r="AH80" s="26">
        <f t="shared" si="21"/>
        <v>-115000</v>
      </c>
    </row>
    <row r="81" spans="2:34">
      <c r="B81" s="320" t="s">
        <v>92</v>
      </c>
      <c r="C81" s="321"/>
      <c r="D81" s="326"/>
      <c r="E81" s="29">
        <f>+E80</f>
        <v>-115000</v>
      </c>
      <c r="F81" s="29">
        <f>F80+E81</f>
        <v>229583.14</v>
      </c>
      <c r="G81" s="29">
        <f t="shared" ref="G81:AH81" si="22">G80+F81</f>
        <v>828851.84</v>
      </c>
      <c r="H81" s="29">
        <f t="shared" si="22"/>
        <v>1543630.3879999998</v>
      </c>
      <c r="I81" s="29">
        <f t="shared" si="22"/>
        <v>2228674.2923999997</v>
      </c>
      <c r="J81" s="29">
        <f t="shared" si="22"/>
        <v>2831819.1203999994</v>
      </c>
      <c r="K81" s="28">
        <f t="shared" si="22"/>
        <v>3132643.1923999996</v>
      </c>
      <c r="L81" s="29">
        <f t="shared" si="22"/>
        <v>3414748.1803999995</v>
      </c>
      <c r="M81" s="28">
        <f t="shared" si="22"/>
        <v>3980607.1863999995</v>
      </c>
      <c r="N81" s="29">
        <f t="shared" si="22"/>
        <v>4692848.2063999996</v>
      </c>
      <c r="O81" s="29">
        <f t="shared" si="22"/>
        <v>5738020.8663999997</v>
      </c>
      <c r="P81" s="29">
        <f t="shared" si="22"/>
        <v>6722777.6464</v>
      </c>
      <c r="Q81" s="29">
        <f t="shared" si="22"/>
        <v>7411608.3464000002</v>
      </c>
      <c r="R81" s="29">
        <f t="shared" si="22"/>
        <v>7625085.4304</v>
      </c>
      <c r="S81" s="29">
        <f t="shared" si="22"/>
        <v>8140714.3103999998</v>
      </c>
      <c r="T81" s="29">
        <f t="shared" si="22"/>
        <v>9277421.5424000006</v>
      </c>
      <c r="U81" s="29">
        <f t="shared" si="22"/>
        <v>10015626.5724</v>
      </c>
      <c r="V81" s="29">
        <f t="shared" si="22"/>
        <v>11082135.842399999</v>
      </c>
      <c r="W81" s="29">
        <f t="shared" si="22"/>
        <v>11528598.586399999</v>
      </c>
      <c r="X81" s="29">
        <f t="shared" si="22"/>
        <v>11941467.958399998</v>
      </c>
      <c r="Y81" s="29">
        <f t="shared" si="22"/>
        <v>12552129.248399999</v>
      </c>
      <c r="Z81" s="29">
        <f t="shared" si="22"/>
        <v>13183181.418399999</v>
      </c>
      <c r="AA81" s="29">
        <f t="shared" si="22"/>
        <v>13725702.018399999</v>
      </c>
      <c r="AB81" s="29">
        <f t="shared" si="22"/>
        <v>14405001.488399999</v>
      </c>
      <c r="AC81" s="29">
        <f t="shared" si="22"/>
        <v>15020597.2764</v>
      </c>
      <c r="AD81" s="29">
        <f t="shared" si="22"/>
        <v>15892794.0964</v>
      </c>
      <c r="AE81" s="29">
        <f t="shared" si="22"/>
        <v>15716194.0964</v>
      </c>
      <c r="AF81" s="29">
        <f t="shared" si="22"/>
        <v>15565994.0964</v>
      </c>
      <c r="AG81" s="29">
        <f t="shared" si="22"/>
        <v>15450994.0964</v>
      </c>
      <c r="AH81" s="29">
        <f t="shared" si="22"/>
        <v>15335994.0964</v>
      </c>
    </row>
    <row r="82" spans="2:34">
      <c r="B82" s="341" t="s">
        <v>270</v>
      </c>
      <c r="C82" s="342"/>
      <c r="D82" s="224">
        <f t="shared" ref="D82:Z82" si="23">+D80/D59</f>
        <v>0.49686119109722254</v>
      </c>
      <c r="E82" s="223" t="e">
        <f t="shared" si="23"/>
        <v>#DIV/0!</v>
      </c>
      <c r="F82" s="223">
        <f t="shared" si="23"/>
        <v>0.42068198743508167</v>
      </c>
      <c r="G82" s="223">
        <f t="shared" si="23"/>
        <v>0.48358149818839113</v>
      </c>
      <c r="H82" s="223">
        <f t="shared" si="23"/>
        <v>0.50358178574276879</v>
      </c>
      <c r="I82" s="223">
        <f t="shared" si="23"/>
        <v>0.48868779827484432</v>
      </c>
      <c r="J82" s="223">
        <f t="shared" si="23"/>
        <v>0.47959943740511696</v>
      </c>
      <c r="K82" s="223">
        <f t="shared" si="23"/>
        <v>0.36147667748766898</v>
      </c>
      <c r="L82" s="223">
        <f t="shared" si="23"/>
        <v>0.37411219613370306</v>
      </c>
      <c r="M82" s="223">
        <f t="shared" si="23"/>
        <v>0.46522314487978217</v>
      </c>
      <c r="N82" s="223">
        <f t="shared" si="23"/>
        <v>0.50767094952236635</v>
      </c>
      <c r="O82" s="223">
        <f t="shared" si="23"/>
        <v>0.55810586133280371</v>
      </c>
      <c r="P82" s="223">
        <f t="shared" si="23"/>
        <v>0.54386560274639884</v>
      </c>
      <c r="Q82" s="223">
        <f t="shared" si="23"/>
        <v>0.50315237796103807</v>
      </c>
      <c r="R82" s="223">
        <f t="shared" si="23"/>
        <v>0.34636051059830908</v>
      </c>
      <c r="S82" s="223">
        <f t="shared" si="23"/>
        <v>0.47754380635553351</v>
      </c>
      <c r="T82" s="223">
        <f t="shared" si="23"/>
        <v>0.56683088151988503</v>
      </c>
      <c r="U82" s="223">
        <f t="shared" si="23"/>
        <v>0.51243349412427019</v>
      </c>
      <c r="V82" s="223">
        <f t="shared" si="23"/>
        <v>0.56402710797019173</v>
      </c>
      <c r="W82" s="223">
        <f t="shared" si="23"/>
        <v>0.46181456861575226</v>
      </c>
      <c r="X82" s="223">
        <f t="shared" si="23"/>
        <v>0.43755685481700091</v>
      </c>
      <c r="Y82" s="223">
        <f t="shared" si="23"/>
        <v>0.48629557368916043</v>
      </c>
      <c r="Z82" s="223">
        <f t="shared" si="23"/>
        <v>0.49097923197278748</v>
      </c>
    </row>
    <row r="84" spans="2:34">
      <c r="B84" s="30" t="s">
        <v>93</v>
      </c>
      <c r="C84" s="31">
        <f>D41/D26</f>
        <v>0.39955573448459331</v>
      </c>
    </row>
    <row r="85" spans="2:34">
      <c r="E85" s="201"/>
      <c r="F85" s="201"/>
      <c r="G85" s="201"/>
    </row>
    <row r="86" spans="2:34">
      <c r="D86" s="200"/>
      <c r="E86" s="10"/>
      <c r="F86" s="10"/>
      <c r="G86" s="10"/>
    </row>
  </sheetData>
  <mergeCells count="7">
    <mergeCell ref="B82:C82"/>
    <mergeCell ref="B81:D81"/>
    <mergeCell ref="A26:A38"/>
    <mergeCell ref="A41:A42"/>
    <mergeCell ref="A46:A51"/>
    <mergeCell ref="A53:A57"/>
    <mergeCell ref="B74:C74"/>
  </mergeCells>
  <conditionalFormatting sqref="E81:AH81 B8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9EFD-8F76-4BEA-85A3-5B388F5B0567}">
  <dimension ref="A2:AH89"/>
  <sheetViews>
    <sheetView topLeftCell="C1" workbookViewId="0">
      <selection activeCell="AD1" sqref="AD1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.42578125" bestFit="1" customWidth="1"/>
    <col min="6" max="6" width="11.140625" customWidth="1"/>
    <col min="7" max="7" width="17.28515625" customWidth="1"/>
    <col min="8" max="8" width="11.28515625" bestFit="1" customWidth="1"/>
    <col min="24" max="29" width="9.140625"/>
    <col min="30" max="30" width="14.85546875" bestFit="1" customWidth="1"/>
    <col min="31" max="32" width="11.5703125" bestFit="1" customWidth="1"/>
    <col min="33" max="33" width="12.7109375" bestFit="1" customWidth="1"/>
    <col min="34" max="34" width="11.28515625" bestFit="1" customWidth="1"/>
  </cols>
  <sheetData>
    <row r="2" spans="2:34" ht="15.75">
      <c r="B2" s="54" t="s">
        <v>0</v>
      </c>
      <c r="C2" s="109" t="s">
        <v>1</v>
      </c>
    </row>
    <row r="3" spans="2:34" ht="15.75">
      <c r="B3" s="54" t="s">
        <v>2</v>
      </c>
      <c r="C3" s="109"/>
    </row>
    <row r="4" spans="2:34" ht="15.75">
      <c r="B4" s="54" t="s">
        <v>3</v>
      </c>
      <c r="C4" s="110"/>
    </row>
    <row r="5" spans="2:34" ht="15.75">
      <c r="B5" s="54" t="s">
        <v>4</v>
      </c>
      <c r="C5" s="110"/>
    </row>
    <row r="6" spans="2:34" ht="15.75">
      <c r="B6" s="179" t="s">
        <v>230</v>
      </c>
      <c r="C6" s="110"/>
    </row>
    <row r="7" spans="2:34" ht="15.75">
      <c r="B7" s="2"/>
      <c r="C7" s="2"/>
    </row>
    <row r="8" spans="2:34" ht="15.75">
      <c r="B8" s="54" t="s">
        <v>5</v>
      </c>
      <c r="D8" s="41" t="s">
        <v>6</v>
      </c>
      <c r="E8" s="42">
        <v>45001</v>
      </c>
      <c r="F8" s="42">
        <v>45002</v>
      </c>
      <c r="G8" s="42">
        <v>45003</v>
      </c>
      <c r="H8" s="42">
        <v>45004</v>
      </c>
      <c r="I8" s="42">
        <v>45005</v>
      </c>
      <c r="J8" s="42">
        <v>45006</v>
      </c>
      <c r="K8" s="42">
        <v>45007</v>
      </c>
      <c r="L8" s="42">
        <v>45008</v>
      </c>
      <c r="M8" s="42">
        <v>45009</v>
      </c>
      <c r="N8" s="42">
        <v>45010</v>
      </c>
      <c r="O8" s="42">
        <v>45011</v>
      </c>
      <c r="P8" s="42">
        <v>45012</v>
      </c>
      <c r="Q8" s="42">
        <v>45013</v>
      </c>
      <c r="R8" s="42">
        <v>45014</v>
      </c>
      <c r="S8" s="42">
        <v>45015</v>
      </c>
      <c r="T8" s="42">
        <v>45016</v>
      </c>
      <c r="U8" s="42">
        <v>45017</v>
      </c>
      <c r="V8" s="42">
        <v>45018</v>
      </c>
      <c r="W8" s="42">
        <v>45019</v>
      </c>
      <c r="X8" s="42">
        <v>45020</v>
      </c>
      <c r="Y8" s="42">
        <v>45021</v>
      </c>
      <c r="Z8" s="42">
        <v>45022</v>
      </c>
      <c r="AA8" s="42">
        <v>45023</v>
      </c>
      <c r="AB8" s="42">
        <v>45024</v>
      </c>
      <c r="AC8" s="42">
        <v>45025</v>
      </c>
      <c r="AD8" s="42">
        <v>45026</v>
      </c>
      <c r="AE8" s="42">
        <v>45027</v>
      </c>
      <c r="AF8" s="42">
        <v>45028</v>
      </c>
      <c r="AG8" s="42">
        <v>45029</v>
      </c>
      <c r="AH8" s="42">
        <v>45030</v>
      </c>
    </row>
    <row r="9" spans="2:34">
      <c r="B9" s="46" t="s">
        <v>7</v>
      </c>
      <c r="C9" s="47" t="s">
        <v>8</v>
      </c>
      <c r="D9" s="71">
        <f>SUM(E9:N9)</f>
        <v>181</v>
      </c>
      <c r="E9" s="114">
        <v>0</v>
      </c>
      <c r="F9" s="114">
        <v>2</v>
      </c>
      <c r="G9" s="114">
        <v>24</v>
      </c>
      <c r="H9" s="114">
        <v>24</v>
      </c>
      <c r="I9" s="114">
        <v>24</v>
      </c>
      <c r="J9" s="114">
        <v>19</v>
      </c>
      <c r="K9" s="114">
        <v>16</v>
      </c>
      <c r="L9" s="114">
        <v>24</v>
      </c>
      <c r="M9" s="114">
        <v>24</v>
      </c>
      <c r="N9" s="114">
        <v>24</v>
      </c>
      <c r="O9" s="114">
        <v>24</v>
      </c>
      <c r="P9" s="114">
        <v>24</v>
      </c>
      <c r="Q9" s="114">
        <v>21</v>
      </c>
      <c r="R9" s="114">
        <v>13</v>
      </c>
      <c r="S9" s="114">
        <v>24</v>
      </c>
      <c r="T9" s="114">
        <v>24</v>
      </c>
      <c r="U9" s="114">
        <v>23</v>
      </c>
      <c r="V9" s="114">
        <v>0</v>
      </c>
      <c r="W9" s="114">
        <v>0</v>
      </c>
      <c r="X9" s="114">
        <v>0</v>
      </c>
      <c r="Y9" s="114">
        <v>9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10</v>
      </c>
    </row>
    <row r="10" spans="2:34">
      <c r="B10" s="48" t="s">
        <v>9</v>
      </c>
      <c r="C10" s="38" t="s">
        <v>8</v>
      </c>
      <c r="D10" s="71">
        <f t="shared" ref="D10:D16" si="0">SUM(E10:K10)</f>
        <v>18</v>
      </c>
      <c r="E10" s="115">
        <v>0</v>
      </c>
      <c r="F10" s="115">
        <v>5</v>
      </c>
      <c r="G10" s="115">
        <v>0</v>
      </c>
      <c r="H10" s="115">
        <v>0</v>
      </c>
      <c r="I10" s="115">
        <v>0</v>
      </c>
      <c r="J10" s="115">
        <v>5</v>
      </c>
      <c r="K10" s="115">
        <v>8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3</v>
      </c>
      <c r="R10" s="115">
        <v>11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8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</row>
    <row r="11" spans="2:34">
      <c r="B11" s="48" t="s">
        <v>10</v>
      </c>
      <c r="C11" s="38" t="s">
        <v>8</v>
      </c>
      <c r="D11" s="71">
        <f t="shared" si="0"/>
        <v>41</v>
      </c>
      <c r="E11" s="115">
        <v>24</v>
      </c>
      <c r="F11" s="115">
        <v>17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</row>
    <row r="12" spans="2:34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24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14</v>
      </c>
    </row>
    <row r="13" spans="2:34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</row>
    <row r="14" spans="2:34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</row>
    <row r="15" spans="2:34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7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</row>
    <row r="16" spans="2:34">
      <c r="B16" s="68" t="s">
        <v>15</v>
      </c>
      <c r="C16" s="69" t="s">
        <v>8</v>
      </c>
      <c r="D16" s="70">
        <f t="shared" si="0"/>
        <v>168</v>
      </c>
      <c r="E16" s="117">
        <f t="shared" ref="E16:W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23</v>
      </c>
      <c r="V16" s="117">
        <f t="shared" si="1"/>
        <v>24</v>
      </c>
      <c r="W16" s="117">
        <f t="shared" si="1"/>
        <v>0</v>
      </c>
      <c r="X16" s="117">
        <f t="shared" ref="X16:AH16" si="2">SUM(X9:X15)</f>
        <v>0</v>
      </c>
      <c r="Y16" s="117">
        <f t="shared" si="2"/>
        <v>24</v>
      </c>
      <c r="Z16" s="117">
        <f t="shared" si="2"/>
        <v>24</v>
      </c>
      <c r="AA16" s="117">
        <f t="shared" si="2"/>
        <v>24</v>
      </c>
      <c r="AB16" s="117">
        <f t="shared" si="2"/>
        <v>24</v>
      </c>
      <c r="AC16" s="117">
        <f t="shared" si="2"/>
        <v>24</v>
      </c>
      <c r="AD16" s="117">
        <f t="shared" si="2"/>
        <v>24</v>
      </c>
      <c r="AE16" s="117">
        <f t="shared" si="2"/>
        <v>24</v>
      </c>
      <c r="AF16" s="117">
        <f t="shared" si="2"/>
        <v>24</v>
      </c>
      <c r="AG16" s="117">
        <f t="shared" si="2"/>
        <v>24</v>
      </c>
      <c r="AH16" s="117">
        <f t="shared" si="2"/>
        <v>24</v>
      </c>
    </row>
    <row r="18" spans="1:34">
      <c r="B18" s="50" t="s">
        <v>16</v>
      </c>
      <c r="C18" s="50" t="s">
        <v>0</v>
      </c>
      <c r="D18" s="226">
        <f>SUM(E18:K18)</f>
        <v>0</v>
      </c>
      <c r="E18" s="226">
        <v>0</v>
      </c>
      <c r="F18" s="127">
        <v>0</v>
      </c>
      <c r="G18" s="127" t="s">
        <v>22</v>
      </c>
      <c r="H18" s="127" t="s">
        <v>22</v>
      </c>
      <c r="I18" s="127" t="s">
        <v>22</v>
      </c>
      <c r="J18" s="127" t="s">
        <v>22</v>
      </c>
      <c r="K18" s="127" t="s">
        <v>307</v>
      </c>
      <c r="L18" s="127" t="s">
        <v>308</v>
      </c>
      <c r="M18" s="127" t="s">
        <v>309</v>
      </c>
      <c r="N18" s="127" t="s">
        <v>309</v>
      </c>
      <c r="O18" s="127" t="s">
        <v>307</v>
      </c>
      <c r="P18" s="127" t="s">
        <v>307</v>
      </c>
      <c r="Q18" s="127" t="s">
        <v>307</v>
      </c>
      <c r="R18" s="127" t="s">
        <v>21</v>
      </c>
      <c r="S18" s="127" t="s">
        <v>22</v>
      </c>
      <c r="T18" s="127" t="s">
        <v>22</v>
      </c>
      <c r="U18" s="127" t="s">
        <v>22</v>
      </c>
      <c r="V18" s="127">
        <v>0</v>
      </c>
      <c r="W18" s="127">
        <v>0</v>
      </c>
      <c r="X18" s="226">
        <v>0</v>
      </c>
      <c r="Y18" s="127" t="s">
        <v>220</v>
      </c>
      <c r="Z18" s="127" t="s">
        <v>292</v>
      </c>
      <c r="AA18" s="127" t="s">
        <v>117</v>
      </c>
      <c r="AB18" s="127" t="s">
        <v>285</v>
      </c>
      <c r="AC18" s="127" t="s">
        <v>285</v>
      </c>
      <c r="AD18" s="127" t="s">
        <v>117</v>
      </c>
      <c r="AE18" s="127" t="s">
        <v>220</v>
      </c>
      <c r="AF18" s="127" t="s">
        <v>220</v>
      </c>
      <c r="AG18" s="127" t="s">
        <v>310</v>
      </c>
      <c r="AH18" s="127">
        <v>0</v>
      </c>
    </row>
    <row r="19" spans="1:34">
      <c r="B19" s="37" t="s">
        <v>31</v>
      </c>
      <c r="C19" s="37" t="s">
        <v>32</v>
      </c>
      <c r="D19" s="235">
        <f>SUM(E19:K19)</f>
        <v>61</v>
      </c>
      <c r="E19" s="126">
        <v>0</v>
      </c>
      <c r="F19" s="128">
        <v>0</v>
      </c>
      <c r="G19" s="128">
        <v>17</v>
      </c>
      <c r="H19" s="128">
        <v>12</v>
      </c>
      <c r="I19" s="128">
        <v>8</v>
      </c>
      <c r="J19" s="128">
        <v>14</v>
      </c>
      <c r="K19" s="128">
        <v>10</v>
      </c>
      <c r="L19" s="128">
        <v>20</v>
      </c>
      <c r="M19" s="128">
        <v>18</v>
      </c>
      <c r="N19" s="128">
        <v>9</v>
      </c>
      <c r="O19" s="128">
        <v>14</v>
      </c>
      <c r="P19" s="128" t="s">
        <v>183</v>
      </c>
      <c r="Q19" s="128" t="s">
        <v>184</v>
      </c>
      <c r="R19" s="128">
        <v>9</v>
      </c>
      <c r="S19" s="128">
        <v>21</v>
      </c>
      <c r="T19" s="128">
        <v>17</v>
      </c>
      <c r="U19" s="128" t="s">
        <v>189</v>
      </c>
      <c r="V19" s="128">
        <v>0</v>
      </c>
      <c r="W19" s="128">
        <v>0</v>
      </c>
      <c r="X19" s="126">
        <v>0</v>
      </c>
      <c r="Y19" s="128">
        <v>9</v>
      </c>
      <c r="Z19" s="128">
        <v>15</v>
      </c>
      <c r="AA19" s="128">
        <v>8</v>
      </c>
      <c r="AB19" s="128">
        <v>13</v>
      </c>
      <c r="AC19" s="128">
        <v>11</v>
      </c>
      <c r="AD19" s="128">
        <v>17</v>
      </c>
      <c r="AE19" s="128">
        <v>16.5</v>
      </c>
      <c r="AF19" s="128">
        <v>13.5</v>
      </c>
      <c r="AG19" s="128">
        <v>20</v>
      </c>
      <c r="AH19" s="128">
        <v>0</v>
      </c>
    </row>
    <row r="20" spans="1:34">
      <c r="B20" s="37" t="s">
        <v>35</v>
      </c>
      <c r="C20" s="37" t="s">
        <v>36</v>
      </c>
      <c r="D20" s="235">
        <f>SUM(E20:K20)</f>
        <v>16</v>
      </c>
      <c r="E20" s="126">
        <v>0</v>
      </c>
      <c r="F20" s="128">
        <v>0</v>
      </c>
      <c r="G20" s="128">
        <v>4</v>
      </c>
      <c r="H20" s="128">
        <v>4</v>
      </c>
      <c r="I20" s="128">
        <v>3</v>
      </c>
      <c r="J20" s="128">
        <v>3</v>
      </c>
      <c r="K20" s="128">
        <v>2</v>
      </c>
      <c r="L20" s="128">
        <v>4</v>
      </c>
      <c r="M20" s="128">
        <v>4</v>
      </c>
      <c r="N20" s="128">
        <v>3</v>
      </c>
      <c r="O20" s="128">
        <v>4</v>
      </c>
      <c r="P20" s="128">
        <v>4</v>
      </c>
      <c r="Q20" s="128">
        <v>5</v>
      </c>
      <c r="R20" s="128">
        <v>2</v>
      </c>
      <c r="S20" s="128">
        <v>4</v>
      </c>
      <c r="T20" s="128">
        <v>4</v>
      </c>
      <c r="U20" s="128">
        <v>4</v>
      </c>
      <c r="V20" s="128">
        <v>0</v>
      </c>
      <c r="W20" s="128">
        <v>0</v>
      </c>
      <c r="X20" s="126">
        <v>0</v>
      </c>
      <c r="Y20" s="128">
        <v>0</v>
      </c>
      <c r="Z20" s="128">
        <v>3</v>
      </c>
      <c r="AA20" s="128">
        <v>2</v>
      </c>
      <c r="AB20" s="128">
        <v>4</v>
      </c>
      <c r="AC20" s="128">
        <v>3</v>
      </c>
      <c r="AD20" s="128">
        <v>4</v>
      </c>
      <c r="AE20" s="128">
        <v>3</v>
      </c>
      <c r="AF20" s="128">
        <v>2</v>
      </c>
      <c r="AG20" s="128">
        <v>4</v>
      </c>
      <c r="AH20" s="128">
        <v>0</v>
      </c>
    </row>
    <row r="21" spans="1:34">
      <c r="B21" s="39" t="s">
        <v>37</v>
      </c>
      <c r="C21" s="39" t="s">
        <v>38</v>
      </c>
      <c r="D21" s="160">
        <f>SUM(E21:K21)</f>
        <v>0</v>
      </c>
      <c r="E21" s="160">
        <v>0</v>
      </c>
      <c r="F21" s="225">
        <v>0</v>
      </c>
      <c r="G21" s="225" t="s">
        <v>40</v>
      </c>
      <c r="H21" s="225" t="s">
        <v>40</v>
      </c>
      <c r="I21" s="225" t="s">
        <v>40</v>
      </c>
      <c r="J21" s="225" t="s">
        <v>40</v>
      </c>
      <c r="K21" s="225" t="s">
        <v>40</v>
      </c>
      <c r="L21" s="225" t="s">
        <v>40</v>
      </c>
      <c r="M21" s="225" t="s">
        <v>40</v>
      </c>
      <c r="N21" s="225" t="s">
        <v>40</v>
      </c>
      <c r="O21" s="225" t="s">
        <v>40</v>
      </c>
      <c r="P21" s="225" t="s">
        <v>40</v>
      </c>
      <c r="Q21" s="225" t="s">
        <v>40</v>
      </c>
      <c r="R21" s="225" t="s">
        <v>40</v>
      </c>
      <c r="S21" s="225" t="s">
        <v>40</v>
      </c>
      <c r="T21" s="225" t="s">
        <v>40</v>
      </c>
      <c r="U21" s="225" t="s">
        <v>40</v>
      </c>
      <c r="V21" s="225">
        <v>0</v>
      </c>
      <c r="W21" s="225">
        <v>0</v>
      </c>
      <c r="X21" s="160">
        <v>0</v>
      </c>
      <c r="Y21" s="225" t="s">
        <v>40</v>
      </c>
      <c r="Z21" s="225" t="s">
        <v>40</v>
      </c>
      <c r="AA21" s="225" t="s">
        <v>40</v>
      </c>
      <c r="AB21" s="225" t="s">
        <v>40</v>
      </c>
      <c r="AC21" s="225" t="s">
        <v>40</v>
      </c>
      <c r="AD21" s="225" t="s">
        <v>40</v>
      </c>
      <c r="AE21" s="225" t="s">
        <v>40</v>
      </c>
      <c r="AF21" s="225" t="s">
        <v>40</v>
      </c>
      <c r="AG21" s="225" t="s">
        <v>40</v>
      </c>
      <c r="AH21" s="225">
        <v>0</v>
      </c>
    </row>
    <row r="22" spans="1:3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6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4" spans="1:34">
      <c r="B24" s="167" t="s">
        <v>43</v>
      </c>
      <c r="C24" s="168">
        <f>D26/D19</f>
        <v>10946.639344262296</v>
      </c>
    </row>
    <row r="25" spans="1:34">
      <c r="D25" s="10"/>
    </row>
    <row r="26" spans="1:34">
      <c r="A26" s="312" t="s">
        <v>44</v>
      </c>
      <c r="B26" s="35" t="s">
        <v>45</v>
      </c>
      <c r="C26" s="35"/>
      <c r="D26" s="175">
        <f t="shared" ref="D26:D38" si="3">SUM(E26:W26)</f>
        <v>667745</v>
      </c>
      <c r="E26" s="75">
        <f t="shared" ref="E26:W26" si="4">SUM(E27:E38)</f>
        <v>0</v>
      </c>
      <c r="F26" s="175">
        <f t="shared" si="4"/>
        <v>0</v>
      </c>
      <c r="G26" s="75">
        <f t="shared" si="4"/>
        <v>39100</v>
      </c>
      <c r="H26" s="175">
        <f t="shared" si="4"/>
        <v>58104</v>
      </c>
      <c r="I26" s="75">
        <f t="shared" si="4"/>
        <v>46103</v>
      </c>
      <c r="J26" s="175">
        <f t="shared" si="4"/>
        <v>46406</v>
      </c>
      <c r="K26" s="75">
        <f t="shared" si="4"/>
        <v>23659</v>
      </c>
      <c r="L26" s="175">
        <f t="shared" si="4"/>
        <v>45936</v>
      </c>
      <c r="M26" s="75">
        <f t="shared" si="4"/>
        <v>39606</v>
      </c>
      <c r="N26" s="175">
        <f t="shared" si="4"/>
        <v>48995</v>
      </c>
      <c r="O26" s="75">
        <f t="shared" si="4"/>
        <v>70871</v>
      </c>
      <c r="P26" s="175">
        <f t="shared" si="4"/>
        <v>55208</v>
      </c>
      <c r="Q26" s="75">
        <f t="shared" si="4"/>
        <v>53261</v>
      </c>
      <c r="R26" s="175">
        <f t="shared" si="4"/>
        <v>20124</v>
      </c>
      <c r="S26" s="75">
        <f t="shared" si="4"/>
        <v>39340</v>
      </c>
      <c r="T26" s="175">
        <f t="shared" si="4"/>
        <v>43578</v>
      </c>
      <c r="U26" s="75">
        <f t="shared" si="4"/>
        <v>37454</v>
      </c>
      <c r="V26" s="175">
        <f t="shared" si="4"/>
        <v>0</v>
      </c>
      <c r="W26" s="75">
        <f t="shared" si="4"/>
        <v>0</v>
      </c>
      <c r="X26" s="175">
        <f t="shared" ref="X26:AH26" si="5">SUM(X27:X38)</f>
        <v>0</v>
      </c>
      <c r="Y26" s="75">
        <f t="shared" si="5"/>
        <v>14415</v>
      </c>
      <c r="Z26" s="175">
        <f t="shared" si="5"/>
        <v>43739</v>
      </c>
      <c r="AA26" s="75">
        <f t="shared" si="5"/>
        <v>27214</v>
      </c>
      <c r="AB26" s="175">
        <f t="shared" si="5"/>
        <v>41411</v>
      </c>
      <c r="AC26" s="75">
        <f t="shared" si="5"/>
        <v>54544</v>
      </c>
      <c r="AD26" s="175">
        <f t="shared" si="5"/>
        <v>42514</v>
      </c>
      <c r="AE26" s="75">
        <f t="shared" si="5"/>
        <v>58811</v>
      </c>
      <c r="AF26" s="175">
        <f t="shared" si="5"/>
        <v>25732</v>
      </c>
      <c r="AG26" s="75">
        <f t="shared" si="5"/>
        <v>51183</v>
      </c>
      <c r="AH26" s="175">
        <f t="shared" si="5"/>
        <v>0</v>
      </c>
    </row>
    <row r="27" spans="1:34">
      <c r="A27" s="313"/>
      <c r="B27" s="37" t="s">
        <v>47</v>
      </c>
      <c r="C27" s="38" t="s">
        <v>48</v>
      </c>
      <c r="D27" s="73">
        <f t="shared" si="3"/>
        <v>118455</v>
      </c>
      <c r="E27" s="55">
        <v>0</v>
      </c>
      <c r="F27" s="55">
        <v>0</v>
      </c>
      <c r="G27" s="55">
        <v>2026</v>
      </c>
      <c r="H27" s="55">
        <v>2411</v>
      </c>
      <c r="I27" s="55">
        <v>1519</v>
      </c>
      <c r="J27" s="55">
        <v>1655</v>
      </c>
      <c r="K27" s="55">
        <v>5171</v>
      </c>
      <c r="L27" s="55">
        <v>10502</v>
      </c>
      <c r="M27" s="55">
        <v>9836</v>
      </c>
      <c r="N27" s="55">
        <v>20823</v>
      </c>
      <c r="O27" s="55">
        <v>12871</v>
      </c>
      <c r="P27" s="55">
        <v>16647</v>
      </c>
      <c r="Q27" s="55">
        <v>26874</v>
      </c>
      <c r="R27" s="55">
        <v>520</v>
      </c>
      <c r="S27" s="55">
        <v>2105</v>
      </c>
      <c r="T27" s="55">
        <v>1531</v>
      </c>
      <c r="U27" s="55">
        <v>3964</v>
      </c>
      <c r="V27" s="55">
        <v>0</v>
      </c>
      <c r="W27" s="55">
        <v>0</v>
      </c>
      <c r="X27" s="55">
        <v>0</v>
      </c>
      <c r="Y27" s="55">
        <v>2872</v>
      </c>
      <c r="Z27" s="55">
        <v>1946</v>
      </c>
      <c r="AA27" s="55">
        <v>1284</v>
      </c>
      <c r="AB27" s="55">
        <v>1538</v>
      </c>
      <c r="AC27" s="55">
        <v>1928</v>
      </c>
      <c r="AD27" s="55">
        <v>11328</v>
      </c>
      <c r="AE27" s="55">
        <v>50114</v>
      </c>
      <c r="AF27" s="55">
        <v>13483</v>
      </c>
      <c r="AG27" s="55">
        <v>3493</v>
      </c>
      <c r="AH27" s="55">
        <v>0</v>
      </c>
    </row>
    <row r="28" spans="1:34">
      <c r="A28" s="313"/>
      <c r="B28" s="37" t="s">
        <v>49</v>
      </c>
      <c r="C28" s="38" t="s">
        <v>48</v>
      </c>
      <c r="D28" s="73">
        <f t="shared" si="3"/>
        <v>338161</v>
      </c>
      <c r="E28" s="55">
        <v>0</v>
      </c>
      <c r="F28" s="55">
        <v>0</v>
      </c>
      <c r="G28" s="55">
        <v>30456</v>
      </c>
      <c r="H28" s="55">
        <v>54241</v>
      </c>
      <c r="I28" s="55">
        <v>41830</v>
      </c>
      <c r="J28" s="55">
        <v>39015</v>
      </c>
      <c r="K28" s="55">
        <v>6768</v>
      </c>
      <c r="L28" s="55">
        <v>12033</v>
      </c>
      <c r="M28" s="55">
        <v>6439</v>
      </c>
      <c r="N28" s="55">
        <v>19815</v>
      </c>
      <c r="O28" s="55">
        <v>11891</v>
      </c>
      <c r="P28" s="55">
        <v>4418</v>
      </c>
      <c r="Q28" s="55">
        <v>7003</v>
      </c>
      <c r="R28" s="55">
        <v>13537</v>
      </c>
      <c r="S28" s="55">
        <v>29190</v>
      </c>
      <c r="T28" s="55">
        <v>34592</v>
      </c>
      <c r="U28" s="55">
        <v>26933</v>
      </c>
      <c r="V28" s="55">
        <v>0</v>
      </c>
      <c r="W28" s="55">
        <v>0</v>
      </c>
      <c r="X28" s="55">
        <v>0</v>
      </c>
      <c r="Y28" s="55">
        <v>6016</v>
      </c>
      <c r="Z28" s="55">
        <v>32573</v>
      </c>
      <c r="AA28" s="55">
        <v>18782</v>
      </c>
      <c r="AB28" s="55">
        <v>29306</v>
      </c>
      <c r="AC28" s="55">
        <v>47595</v>
      </c>
      <c r="AD28" s="55">
        <v>27762</v>
      </c>
      <c r="AE28" s="55">
        <v>5105</v>
      </c>
      <c r="AF28" s="55">
        <v>10526</v>
      </c>
      <c r="AG28" s="55">
        <v>142</v>
      </c>
      <c r="AH28" s="55">
        <v>0</v>
      </c>
    </row>
    <row r="29" spans="1:34">
      <c r="A29" s="313"/>
      <c r="B29" s="37" t="s">
        <v>50</v>
      </c>
      <c r="C29" s="38" t="s">
        <v>48</v>
      </c>
      <c r="D29" s="73">
        <f t="shared" si="3"/>
        <v>157891</v>
      </c>
      <c r="E29" s="55">
        <v>0</v>
      </c>
      <c r="F29" s="55">
        <v>0</v>
      </c>
      <c r="G29" s="55"/>
      <c r="H29" s="55">
        <v>0</v>
      </c>
      <c r="I29" s="55"/>
      <c r="J29" s="55"/>
      <c r="K29" s="55">
        <v>11424</v>
      </c>
      <c r="L29" s="55">
        <v>21353</v>
      </c>
      <c r="M29" s="55">
        <v>21179</v>
      </c>
      <c r="N29" s="55">
        <v>8125</v>
      </c>
      <c r="O29" s="55">
        <v>45651</v>
      </c>
      <c r="P29" s="55">
        <v>31767</v>
      </c>
      <c r="Q29" s="55">
        <v>17978</v>
      </c>
      <c r="R29" s="55">
        <v>184</v>
      </c>
      <c r="S29" s="55">
        <v>46</v>
      </c>
      <c r="T29" s="55">
        <v>0</v>
      </c>
      <c r="U29" s="55">
        <v>184</v>
      </c>
      <c r="V29" s="55">
        <v>0</v>
      </c>
      <c r="W29" s="55">
        <v>0</v>
      </c>
      <c r="X29" s="55">
        <v>0</v>
      </c>
      <c r="Y29" s="55">
        <v>367</v>
      </c>
      <c r="Z29" s="55">
        <v>411</v>
      </c>
      <c r="AA29" s="55">
        <v>874</v>
      </c>
      <c r="AB29" s="55">
        <v>275</v>
      </c>
      <c r="AC29" s="55">
        <v>275</v>
      </c>
      <c r="AD29" s="55">
        <v>454</v>
      </c>
      <c r="AE29" s="55">
        <v>2566</v>
      </c>
      <c r="AF29" s="55">
        <v>1097</v>
      </c>
      <c r="AG29" s="55">
        <v>46549</v>
      </c>
      <c r="AH29" s="55">
        <v>0</v>
      </c>
    </row>
    <row r="30" spans="1:34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</row>
    <row r="31" spans="1:34">
      <c r="A31" s="313"/>
      <c r="B31" s="37" t="s">
        <v>52</v>
      </c>
      <c r="C31" s="38" t="s">
        <v>48</v>
      </c>
      <c r="D31" s="73">
        <f t="shared" si="3"/>
        <v>22200</v>
      </c>
      <c r="E31" s="55">
        <v>0</v>
      </c>
      <c r="F31" s="55">
        <v>0</v>
      </c>
      <c r="G31" s="55">
        <v>4000</v>
      </c>
      <c r="H31" s="55">
        <v>120</v>
      </c>
      <c r="I31" s="55">
        <v>520</v>
      </c>
      <c r="J31" s="55">
        <v>3540</v>
      </c>
      <c r="K31" s="55"/>
      <c r="L31" s="55"/>
      <c r="M31" s="55">
        <v>60</v>
      </c>
      <c r="N31" s="55">
        <v>0</v>
      </c>
      <c r="O31" s="55">
        <v>20</v>
      </c>
      <c r="P31" s="55">
        <v>20</v>
      </c>
      <c r="Q31" s="55">
        <v>20</v>
      </c>
      <c r="R31" s="55">
        <v>2800</v>
      </c>
      <c r="S31" s="55">
        <v>3280</v>
      </c>
      <c r="T31" s="55">
        <v>4600</v>
      </c>
      <c r="U31" s="55">
        <v>3220</v>
      </c>
      <c r="V31" s="55">
        <v>0</v>
      </c>
      <c r="W31" s="55">
        <v>0</v>
      </c>
      <c r="X31" s="55">
        <v>0</v>
      </c>
      <c r="Y31" s="55">
        <v>5160</v>
      </c>
      <c r="Z31" s="55">
        <v>8498</v>
      </c>
      <c r="AA31" s="55">
        <v>6274</v>
      </c>
      <c r="AB31" s="55">
        <v>9370</v>
      </c>
      <c r="AC31" s="55">
        <v>2878</v>
      </c>
      <c r="AD31" s="55">
        <v>2970</v>
      </c>
      <c r="AE31" s="55">
        <v>1026</v>
      </c>
      <c r="AF31" s="55">
        <v>576</v>
      </c>
      <c r="AG31" s="55">
        <v>774</v>
      </c>
      <c r="AH31" s="55">
        <v>0</v>
      </c>
    </row>
    <row r="32" spans="1:34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</row>
    <row r="33" spans="1:34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</row>
    <row r="34" spans="1:34">
      <c r="A34" s="313"/>
      <c r="B34" s="37" t="s">
        <v>55</v>
      </c>
      <c r="C34" s="38" t="s">
        <v>48</v>
      </c>
      <c r="D34" s="73">
        <f t="shared" si="3"/>
        <v>3684</v>
      </c>
      <c r="E34" s="55">
        <v>0</v>
      </c>
      <c r="F34" s="55">
        <v>0</v>
      </c>
      <c r="G34" s="55">
        <v>164</v>
      </c>
      <c r="H34" s="55">
        <v>0</v>
      </c>
      <c r="I34" s="55">
        <v>704</v>
      </c>
      <c r="J34" s="55">
        <v>684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819</v>
      </c>
      <c r="S34" s="55">
        <v>21</v>
      </c>
      <c r="T34" s="55">
        <v>353</v>
      </c>
      <c r="U34" s="55">
        <v>939</v>
      </c>
      <c r="V34" s="55">
        <v>0</v>
      </c>
      <c r="W34" s="55">
        <v>0</v>
      </c>
      <c r="X34" s="55">
        <v>0</v>
      </c>
      <c r="Y34" s="55">
        <v>0</v>
      </c>
      <c r="Z34" s="55">
        <v>231</v>
      </c>
      <c r="AA34" s="55">
        <v>0</v>
      </c>
      <c r="AB34" s="55">
        <v>672</v>
      </c>
      <c r="AC34" s="55">
        <v>1428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</row>
    <row r="35" spans="1:34">
      <c r="A35" s="313"/>
      <c r="B35" s="37" t="s">
        <v>56</v>
      </c>
      <c r="C35" s="38" t="s">
        <v>48</v>
      </c>
      <c r="D35" s="73">
        <f t="shared" si="3"/>
        <v>300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180</v>
      </c>
      <c r="S35" s="55">
        <v>0</v>
      </c>
      <c r="T35" s="55">
        <v>0</v>
      </c>
      <c r="U35" s="55">
        <v>120</v>
      </c>
      <c r="V35" s="55">
        <v>0</v>
      </c>
      <c r="W35" s="55">
        <v>0</v>
      </c>
      <c r="X35" s="55">
        <v>0</v>
      </c>
      <c r="Y35" s="55">
        <v>0</v>
      </c>
      <c r="Z35" s="55">
        <v>80</v>
      </c>
      <c r="AA35" s="55">
        <v>0</v>
      </c>
      <c r="AB35" s="55">
        <v>200</v>
      </c>
      <c r="AC35" s="55">
        <v>440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</row>
    <row r="36" spans="1:34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</row>
    <row r="37" spans="1:34">
      <c r="A37" s="313"/>
      <c r="B37" s="37" t="s">
        <v>58</v>
      </c>
      <c r="C37" s="38" t="s">
        <v>48</v>
      </c>
      <c r="D37" s="73">
        <f t="shared" si="3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</row>
    <row r="38" spans="1:34">
      <c r="A38" s="314"/>
      <c r="B38" s="39" t="s">
        <v>59</v>
      </c>
      <c r="C38" s="40" t="s">
        <v>48</v>
      </c>
      <c r="D38" s="74">
        <f t="shared" si="3"/>
        <v>27054</v>
      </c>
      <c r="E38" s="55">
        <v>0</v>
      </c>
      <c r="F38" s="55">
        <v>0</v>
      </c>
      <c r="G38" s="55">
        <v>2454</v>
      </c>
      <c r="H38" s="55">
        <v>1332</v>
      </c>
      <c r="I38" s="55">
        <v>1530</v>
      </c>
      <c r="J38" s="55">
        <v>1512</v>
      </c>
      <c r="K38" s="55">
        <v>296</v>
      </c>
      <c r="L38" s="55">
        <v>2048</v>
      </c>
      <c r="M38" s="55">
        <v>2092</v>
      </c>
      <c r="N38" s="55">
        <v>232</v>
      </c>
      <c r="O38" s="55">
        <v>438</v>
      </c>
      <c r="P38" s="55">
        <v>2356</v>
      </c>
      <c r="Q38" s="55">
        <v>1386</v>
      </c>
      <c r="R38" s="55">
        <v>2084</v>
      </c>
      <c r="S38" s="55">
        <v>4698</v>
      </c>
      <c r="T38" s="55">
        <v>2502</v>
      </c>
      <c r="U38" s="55">
        <v>2094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50</v>
      </c>
      <c r="AC38" s="55">
        <v>0</v>
      </c>
      <c r="AD38" s="55">
        <v>0</v>
      </c>
      <c r="AE38" s="55">
        <v>0</v>
      </c>
      <c r="AF38" s="55">
        <v>50</v>
      </c>
      <c r="AG38" s="55">
        <v>225</v>
      </c>
      <c r="AH38" s="55">
        <v>0</v>
      </c>
    </row>
    <row r="39" spans="1:34">
      <c r="A39" s="164"/>
      <c r="B39" s="94" t="s">
        <v>149</v>
      </c>
      <c r="C39" s="166"/>
      <c r="D39" s="180">
        <f t="shared" ref="D39:W39" si="6">D37/D26</f>
        <v>0</v>
      </c>
      <c r="E39" s="170" t="e">
        <f t="shared" si="6"/>
        <v>#DIV/0!</v>
      </c>
      <c r="F39" s="170" t="e">
        <f t="shared" si="6"/>
        <v>#DIV/0!</v>
      </c>
      <c r="G39" s="170">
        <f t="shared" si="6"/>
        <v>0</v>
      </c>
      <c r="H39" s="170">
        <f t="shared" si="6"/>
        <v>0</v>
      </c>
      <c r="I39" s="170">
        <f t="shared" si="6"/>
        <v>0</v>
      </c>
      <c r="J39" s="170">
        <f t="shared" si="6"/>
        <v>0</v>
      </c>
      <c r="K39" s="170">
        <f t="shared" si="6"/>
        <v>0</v>
      </c>
      <c r="L39" s="170">
        <f t="shared" si="6"/>
        <v>0</v>
      </c>
      <c r="M39" s="170">
        <f t="shared" si="6"/>
        <v>0</v>
      </c>
      <c r="N39" s="170">
        <f t="shared" si="6"/>
        <v>0</v>
      </c>
      <c r="O39" s="170">
        <f t="shared" si="6"/>
        <v>0</v>
      </c>
      <c r="P39" s="170">
        <f t="shared" si="6"/>
        <v>0</v>
      </c>
      <c r="Q39" s="170">
        <f t="shared" si="6"/>
        <v>0</v>
      </c>
      <c r="R39" s="170">
        <f t="shared" si="6"/>
        <v>0</v>
      </c>
      <c r="S39" s="170">
        <f t="shared" si="6"/>
        <v>0</v>
      </c>
      <c r="T39" s="170">
        <f t="shared" si="6"/>
        <v>0</v>
      </c>
      <c r="U39" s="170">
        <f t="shared" si="6"/>
        <v>0</v>
      </c>
      <c r="V39" s="170" t="e">
        <f t="shared" si="6"/>
        <v>#DIV/0!</v>
      </c>
      <c r="W39" s="170" t="e">
        <f t="shared" si="6"/>
        <v>#DIV/0!</v>
      </c>
      <c r="X39" s="170" t="e">
        <f t="shared" ref="X39:AH39" si="7">X37/X26</f>
        <v>#DIV/0!</v>
      </c>
      <c r="Y39" s="170">
        <f t="shared" si="7"/>
        <v>0</v>
      </c>
      <c r="Z39" s="170">
        <f t="shared" si="7"/>
        <v>0</v>
      </c>
      <c r="AA39" s="170">
        <f t="shared" si="7"/>
        <v>0</v>
      </c>
      <c r="AB39" s="170">
        <f t="shared" si="7"/>
        <v>0</v>
      </c>
      <c r="AC39" s="170">
        <f t="shared" si="7"/>
        <v>0</v>
      </c>
      <c r="AD39" s="170">
        <f t="shared" si="7"/>
        <v>0</v>
      </c>
      <c r="AE39" s="170">
        <f t="shared" si="7"/>
        <v>0</v>
      </c>
      <c r="AF39" s="170">
        <f t="shared" si="7"/>
        <v>0</v>
      </c>
      <c r="AG39" s="170">
        <f t="shared" si="7"/>
        <v>0</v>
      </c>
      <c r="AH39" s="170" t="e">
        <f t="shared" si="7"/>
        <v>#DIV/0!</v>
      </c>
    </row>
    <row r="40" spans="1:3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</row>
    <row r="41" spans="1:34">
      <c r="A41" s="324" t="s">
        <v>60</v>
      </c>
      <c r="B41" s="50" t="s">
        <v>61</v>
      </c>
      <c r="C41" s="91" t="s">
        <v>62</v>
      </c>
      <c r="D41" s="81">
        <f>SUM(E41:W41)</f>
        <v>243000</v>
      </c>
      <c r="E41" s="86">
        <v>3000</v>
      </c>
      <c r="F41" s="86">
        <v>6000</v>
      </c>
      <c r="G41" s="86">
        <v>14000</v>
      </c>
      <c r="H41" s="86">
        <v>13000</v>
      </c>
      <c r="I41" s="86">
        <v>13000</v>
      </c>
      <c r="J41" s="86">
        <v>16000</v>
      </c>
      <c r="K41" s="86">
        <v>16000</v>
      </c>
      <c r="L41" s="86">
        <v>16000</v>
      </c>
      <c r="M41" s="86">
        <v>14000</v>
      </c>
      <c r="N41" s="86">
        <v>13000</v>
      </c>
      <c r="O41" s="86">
        <v>13000</v>
      </c>
      <c r="P41" s="86">
        <v>14000</v>
      </c>
      <c r="Q41" s="86">
        <v>16000</v>
      </c>
      <c r="R41" s="86">
        <v>16000</v>
      </c>
      <c r="S41" s="86">
        <v>17000</v>
      </c>
      <c r="T41" s="86">
        <v>16000</v>
      </c>
      <c r="U41" s="86">
        <v>16000</v>
      </c>
      <c r="V41" s="86">
        <v>7000</v>
      </c>
      <c r="W41" s="86">
        <v>4000</v>
      </c>
      <c r="X41" s="86">
        <v>3000</v>
      </c>
      <c r="Y41" s="86">
        <v>10000</v>
      </c>
      <c r="Z41" s="86">
        <v>14000</v>
      </c>
      <c r="AA41" s="86">
        <v>12000</v>
      </c>
      <c r="AB41" s="86">
        <v>14000</v>
      </c>
      <c r="AC41" s="86">
        <v>13000</v>
      </c>
      <c r="AD41" s="86">
        <v>14000</v>
      </c>
      <c r="AE41" s="86">
        <v>14000</v>
      </c>
      <c r="AF41" s="86">
        <v>16000</v>
      </c>
      <c r="AG41" s="86">
        <v>14000</v>
      </c>
      <c r="AH41" s="86">
        <v>9000</v>
      </c>
    </row>
    <row r="42" spans="1:34">
      <c r="A42" s="325"/>
      <c r="B42" s="39" t="s">
        <v>63</v>
      </c>
      <c r="C42" s="92" t="s">
        <v>62</v>
      </c>
      <c r="D42" s="82">
        <f>SUM(E42:W42)</f>
        <v>600</v>
      </c>
      <c r="E42" s="87">
        <v>100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200</v>
      </c>
      <c r="R42" s="87">
        <v>0</v>
      </c>
      <c r="S42" s="87">
        <v>0</v>
      </c>
      <c r="T42" s="87">
        <v>200</v>
      </c>
      <c r="U42" s="87">
        <v>0</v>
      </c>
      <c r="V42" s="87"/>
      <c r="W42" s="87">
        <v>100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100</v>
      </c>
      <c r="AH42" s="87">
        <v>0</v>
      </c>
    </row>
    <row r="44" spans="1:34">
      <c r="B44" s="167" t="s">
        <v>240</v>
      </c>
      <c r="C44" s="184" t="s">
        <v>241</v>
      </c>
      <c r="D44" s="187">
        <f>D41/D26</f>
        <v>0.36391137335360058</v>
      </c>
      <c r="E44" s="185" t="e">
        <f t="shared" ref="E44:W44" si="8">E41/E26</f>
        <v>#DIV/0!</v>
      </c>
      <c r="F44" s="188" t="e">
        <f t="shared" si="8"/>
        <v>#DIV/0!</v>
      </c>
      <c r="G44" s="186">
        <f t="shared" si="8"/>
        <v>0.35805626598465473</v>
      </c>
      <c r="H44" s="188">
        <f t="shared" si="8"/>
        <v>0.22373674790031667</v>
      </c>
      <c r="I44" s="186">
        <f t="shared" si="8"/>
        <v>0.28197731167169166</v>
      </c>
      <c r="J44" s="188">
        <f t="shared" si="8"/>
        <v>0.34478300219799163</v>
      </c>
      <c r="K44" s="186">
        <f t="shared" si="8"/>
        <v>0.67627541316201023</v>
      </c>
      <c r="L44" s="188">
        <f t="shared" si="8"/>
        <v>0.34831069313827934</v>
      </c>
      <c r="M44" s="186">
        <f t="shared" si="8"/>
        <v>0.35348179568752208</v>
      </c>
      <c r="N44" s="188">
        <f t="shared" si="8"/>
        <v>0.26533319726502702</v>
      </c>
      <c r="O44" s="186">
        <f t="shared" si="8"/>
        <v>0.18343186917074686</v>
      </c>
      <c r="P44" s="188">
        <f t="shared" si="8"/>
        <v>0.25358643674829734</v>
      </c>
      <c r="Q44" s="186">
        <f t="shared" si="8"/>
        <v>0.30040742757364675</v>
      </c>
      <c r="R44" s="188">
        <f t="shared" si="8"/>
        <v>0.79507056251242303</v>
      </c>
      <c r="S44" s="186">
        <f t="shared" si="8"/>
        <v>0.43213014743263856</v>
      </c>
      <c r="T44" s="188">
        <f t="shared" si="8"/>
        <v>0.3671577401441094</v>
      </c>
      <c r="U44" s="186">
        <f t="shared" si="8"/>
        <v>0.42719068724301812</v>
      </c>
      <c r="V44" s="188" t="e">
        <f t="shared" si="8"/>
        <v>#DIV/0!</v>
      </c>
      <c r="W44" s="186" t="e">
        <f t="shared" si="8"/>
        <v>#DIV/0!</v>
      </c>
      <c r="X44" s="188" t="e">
        <f t="shared" ref="X44:AH44" si="9">X41/X26</f>
        <v>#DIV/0!</v>
      </c>
      <c r="Y44" s="186">
        <f t="shared" si="9"/>
        <v>0.69372181755116202</v>
      </c>
      <c r="Z44" s="188">
        <f t="shared" si="9"/>
        <v>0.3200804773771691</v>
      </c>
      <c r="AA44" s="186">
        <f t="shared" si="9"/>
        <v>0.44094951128095833</v>
      </c>
      <c r="AB44" s="188">
        <f t="shared" si="9"/>
        <v>0.33807442466977372</v>
      </c>
      <c r="AC44" s="186">
        <f t="shared" si="9"/>
        <v>0.23833968905837488</v>
      </c>
      <c r="AD44" s="188">
        <f t="shared" si="9"/>
        <v>0.3293032883285506</v>
      </c>
      <c r="AE44" s="186">
        <f t="shared" si="9"/>
        <v>0.23805070480012241</v>
      </c>
      <c r="AF44" s="188">
        <f t="shared" si="9"/>
        <v>0.62179387533032804</v>
      </c>
      <c r="AG44" s="186">
        <f t="shared" si="9"/>
        <v>0.27352831994998339</v>
      </c>
      <c r="AH44" s="188" t="e">
        <f t="shared" si="9"/>
        <v>#DIV/0!</v>
      </c>
    </row>
    <row r="46" spans="1:34">
      <c r="A46" s="312" t="s">
        <v>64</v>
      </c>
      <c r="B46" s="93" t="s">
        <v>65</v>
      </c>
      <c r="C46" s="47" t="s">
        <v>8</v>
      </c>
      <c r="D46" s="181">
        <f t="shared" ref="D46:D51" si="10">SUM(E46:W46)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</row>
    <row r="47" spans="1:34">
      <c r="A47" s="313"/>
      <c r="B47" s="94" t="s">
        <v>66</v>
      </c>
      <c r="C47" s="38" t="s">
        <v>8</v>
      </c>
      <c r="D47" s="182">
        <f t="shared" si="10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</row>
    <row r="48" spans="1:34">
      <c r="A48" s="313"/>
      <c r="B48" s="94" t="s">
        <v>67</v>
      </c>
      <c r="C48" s="38" t="s">
        <v>8</v>
      </c>
      <c r="D48" s="182">
        <f t="shared" si="10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</row>
    <row r="49" spans="1:34">
      <c r="A49" s="313"/>
      <c r="B49" s="95" t="s">
        <v>68</v>
      </c>
      <c r="C49" s="40" t="s">
        <v>8</v>
      </c>
      <c r="D49" s="182">
        <f t="shared" si="10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</row>
    <row r="50" spans="1:34">
      <c r="A50" s="313"/>
      <c r="B50" s="93" t="s">
        <v>69</v>
      </c>
      <c r="C50" s="91" t="s">
        <v>48</v>
      </c>
      <c r="D50" s="195">
        <f>SUM(E50:W50)</f>
        <v>316000</v>
      </c>
      <c r="E50" s="86">
        <v>0</v>
      </c>
      <c r="F50" s="86">
        <v>0</v>
      </c>
      <c r="G50" s="86">
        <v>20000</v>
      </c>
      <c r="H50" s="86">
        <v>23000</v>
      </c>
      <c r="I50" s="86">
        <v>20000</v>
      </c>
      <c r="J50" s="86">
        <v>30000</v>
      </c>
      <c r="K50" s="86">
        <v>10000</v>
      </c>
      <c r="L50" s="86">
        <v>15000</v>
      </c>
      <c r="M50" s="86">
        <v>15000</v>
      </c>
      <c r="N50" s="86">
        <v>28000</v>
      </c>
      <c r="O50" s="86">
        <v>30000</v>
      </c>
      <c r="P50" s="86">
        <v>30000</v>
      </c>
      <c r="Q50" s="86">
        <v>30000</v>
      </c>
      <c r="R50" s="86">
        <v>10000</v>
      </c>
      <c r="S50" s="86">
        <v>15000</v>
      </c>
      <c r="T50" s="86">
        <v>20000</v>
      </c>
      <c r="U50" s="86">
        <v>20000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/>
      <c r="AD50" s="86">
        <v>0</v>
      </c>
      <c r="AE50" s="86">
        <v>0</v>
      </c>
      <c r="AF50" s="86">
        <v>0</v>
      </c>
      <c r="AG50" s="86">
        <v>0</v>
      </c>
      <c r="AH50" s="86"/>
    </row>
    <row r="51" spans="1:34">
      <c r="A51" s="314"/>
      <c r="B51" s="95" t="s">
        <v>70</v>
      </c>
      <c r="C51" s="92" t="s">
        <v>48</v>
      </c>
      <c r="D51" s="183">
        <f t="shared" si="10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0</v>
      </c>
      <c r="AG51" s="87">
        <v>0</v>
      </c>
      <c r="AH51" s="87"/>
    </row>
    <row r="52" spans="1:3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</row>
    <row r="54" spans="1:3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</row>
    <row r="55" spans="1:3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</row>
    <row r="56" spans="1:3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311</v>
      </c>
      <c r="AB56" s="8" t="s">
        <v>75</v>
      </c>
      <c r="AC56" s="8" t="s">
        <v>312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</row>
    <row r="57" spans="1:3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</row>
    <row r="59" spans="1:34" ht="15.75">
      <c r="B59" s="53" t="s">
        <v>83</v>
      </c>
      <c r="C59" s="99" t="s">
        <v>84</v>
      </c>
      <c r="D59" s="100">
        <f>SUM(D60:D72)</f>
        <v>19762321</v>
      </c>
      <c r="E59" s="101">
        <f>SUM(E60:E72)</f>
        <v>0</v>
      </c>
      <c r="F59" s="101">
        <f t="shared" ref="F59:W59" si="11">SUM(F60:F72)</f>
        <v>0</v>
      </c>
      <c r="G59" s="101">
        <f>SUM(G60:G72)</f>
        <v>976154</v>
      </c>
      <c r="H59" s="101">
        <f t="shared" si="11"/>
        <v>1521923</v>
      </c>
      <c r="I59" s="101">
        <f t="shared" si="11"/>
        <v>1207067</v>
      </c>
      <c r="J59" s="101">
        <f t="shared" si="11"/>
        <v>1210771</v>
      </c>
      <c r="K59" s="101">
        <f t="shared" si="11"/>
        <v>736615</v>
      </c>
      <c r="L59" s="101">
        <f t="shared" si="11"/>
        <v>1405401</v>
      </c>
      <c r="M59" s="101">
        <f t="shared" si="11"/>
        <v>1232797</v>
      </c>
      <c r="N59" s="101">
        <f t="shared" si="11"/>
        <v>1865910</v>
      </c>
      <c r="O59" s="101">
        <f t="shared" si="11"/>
        <v>2126224</v>
      </c>
      <c r="P59" s="101">
        <f t="shared" si="11"/>
        <v>1843012</v>
      </c>
      <c r="Q59" s="101">
        <f t="shared" si="11"/>
        <v>2122176</v>
      </c>
      <c r="R59" s="101">
        <f t="shared" si="11"/>
        <v>482232.2</v>
      </c>
      <c r="S59" s="101">
        <f t="shared" si="11"/>
        <v>937117</v>
      </c>
      <c r="T59" s="101">
        <f t="shared" si="11"/>
        <v>1065017</v>
      </c>
      <c r="U59" s="101">
        <f t="shared" si="11"/>
        <v>1029904.8</v>
      </c>
      <c r="V59" s="101">
        <f t="shared" si="11"/>
        <v>0</v>
      </c>
      <c r="W59" s="101">
        <f t="shared" si="11"/>
        <v>0</v>
      </c>
      <c r="X59" s="101">
        <f t="shared" ref="X59:AH59" si="12">SUM(X60:X72)</f>
        <v>0</v>
      </c>
      <c r="Y59" s="101">
        <f t="shared" si="12"/>
        <v>379088</v>
      </c>
      <c r="Z59" s="101">
        <f t="shared" si="12"/>
        <v>1047145</v>
      </c>
      <c r="AA59" s="101">
        <f t="shared" si="12"/>
        <v>636434</v>
      </c>
      <c r="AB59" s="101">
        <f t="shared" si="12"/>
        <v>976380</v>
      </c>
      <c r="AC59" s="101">
        <f t="shared" si="12"/>
        <v>1421651</v>
      </c>
      <c r="AD59" s="101">
        <f t="shared" si="12"/>
        <v>1363626</v>
      </c>
      <c r="AE59" s="101">
        <f t="shared" si="12"/>
        <v>2957791</v>
      </c>
      <c r="AF59" s="101">
        <f t="shared" si="12"/>
        <v>1038455</v>
      </c>
      <c r="AG59" s="101">
        <f t="shared" si="12"/>
        <v>1324379</v>
      </c>
      <c r="AH59" s="101">
        <f t="shared" si="12"/>
        <v>0</v>
      </c>
    </row>
    <row r="60" spans="1:34">
      <c r="B60" s="96" t="s">
        <v>47</v>
      </c>
      <c r="C60" s="111">
        <v>53</v>
      </c>
      <c r="D60" s="97">
        <f>D27*$C60</f>
        <v>6278115</v>
      </c>
      <c r="E60" s="104">
        <f t="shared" ref="E60:W60" si="13">E27*$C60</f>
        <v>0</v>
      </c>
      <c r="F60" s="104">
        <f t="shared" si="13"/>
        <v>0</v>
      </c>
      <c r="G60" s="104">
        <f t="shared" si="13"/>
        <v>107378</v>
      </c>
      <c r="H60" s="104">
        <f t="shared" si="13"/>
        <v>127783</v>
      </c>
      <c r="I60" s="104">
        <f t="shared" si="13"/>
        <v>80507</v>
      </c>
      <c r="J60" s="104">
        <f t="shared" si="13"/>
        <v>87715</v>
      </c>
      <c r="K60" s="104">
        <f t="shared" si="13"/>
        <v>274063</v>
      </c>
      <c r="L60" s="104">
        <f t="shared" si="13"/>
        <v>556606</v>
      </c>
      <c r="M60" s="104">
        <f t="shared" si="13"/>
        <v>521308</v>
      </c>
      <c r="N60" s="104">
        <f t="shared" si="13"/>
        <v>1103619</v>
      </c>
      <c r="O60" s="104">
        <f t="shared" si="13"/>
        <v>682163</v>
      </c>
      <c r="P60" s="104">
        <f t="shared" si="13"/>
        <v>882291</v>
      </c>
      <c r="Q60" s="104">
        <f t="shared" si="13"/>
        <v>1424322</v>
      </c>
      <c r="R60" s="104">
        <f t="shared" si="13"/>
        <v>27560</v>
      </c>
      <c r="S60" s="104">
        <f t="shared" si="13"/>
        <v>111565</v>
      </c>
      <c r="T60" s="104">
        <f t="shared" si="13"/>
        <v>81143</v>
      </c>
      <c r="U60" s="104">
        <f t="shared" si="13"/>
        <v>210092</v>
      </c>
      <c r="V60" s="104">
        <f t="shared" si="13"/>
        <v>0</v>
      </c>
      <c r="W60" s="104">
        <f t="shared" si="13"/>
        <v>0</v>
      </c>
      <c r="X60" s="104">
        <f>X27*'Tur 4 OG 5 2023'!$C60</f>
        <v>0</v>
      </c>
      <c r="Y60" s="104">
        <f>Y27*'Tur 4 OG 5 2023'!$C60</f>
        <v>157960</v>
      </c>
      <c r="Z60" s="104">
        <f>Z27*'Tur 4 OG 5 2023'!$C60</f>
        <v>107030</v>
      </c>
      <c r="AA60" s="104">
        <f>AA27*'Tur 4 OG 5 2023'!$C60</f>
        <v>70620</v>
      </c>
      <c r="AB60" s="104">
        <f>AB27*'Tur 4 OG 5 2023'!$C60</f>
        <v>84590</v>
      </c>
      <c r="AC60" s="104">
        <f>AC27*'Tur 4 OG 5 2023'!$C60</f>
        <v>106040</v>
      </c>
      <c r="AD60" s="104">
        <f>AD27*'Tur 4 OG 5 2023'!$C60</f>
        <v>623040</v>
      </c>
      <c r="AE60" s="104">
        <f>AE27*'Tur 4 OG 5 2023'!$C60</f>
        <v>2756270</v>
      </c>
      <c r="AF60" s="104">
        <f>AF27*'Tur 4 OG 5 2023'!$C60</f>
        <v>741565</v>
      </c>
      <c r="AG60" s="104">
        <f>AG27*'Tur 4 OG 5 2023'!$C60</f>
        <v>192115</v>
      </c>
      <c r="AH60" s="104">
        <f>AH27*'Tur 4 OG 5 2023'!$C60</f>
        <v>0</v>
      </c>
    </row>
    <row r="61" spans="1:34">
      <c r="B61" s="96" t="s">
        <v>49</v>
      </c>
      <c r="C61" s="111">
        <v>24</v>
      </c>
      <c r="D61" s="97">
        <f t="shared" ref="D61:W68" si="14">D28*$C61</f>
        <v>8115864</v>
      </c>
      <c r="E61" s="104">
        <f t="shared" si="14"/>
        <v>0</v>
      </c>
      <c r="F61" s="104">
        <f t="shared" si="14"/>
        <v>0</v>
      </c>
      <c r="G61" s="104">
        <f t="shared" si="14"/>
        <v>730944</v>
      </c>
      <c r="H61" s="104">
        <f t="shared" si="14"/>
        <v>1301784</v>
      </c>
      <c r="I61" s="104">
        <f t="shared" si="14"/>
        <v>1003920</v>
      </c>
      <c r="J61" s="104">
        <f t="shared" si="14"/>
        <v>936360</v>
      </c>
      <c r="K61" s="104">
        <f t="shared" si="14"/>
        <v>162432</v>
      </c>
      <c r="L61" s="104">
        <f t="shared" si="14"/>
        <v>288792</v>
      </c>
      <c r="M61" s="104">
        <f t="shared" si="14"/>
        <v>154536</v>
      </c>
      <c r="N61" s="104">
        <f t="shared" si="14"/>
        <v>475560</v>
      </c>
      <c r="O61" s="104">
        <f t="shared" si="14"/>
        <v>285384</v>
      </c>
      <c r="P61" s="104">
        <f t="shared" si="14"/>
        <v>106032</v>
      </c>
      <c r="Q61" s="104">
        <f t="shared" si="14"/>
        <v>168072</v>
      </c>
      <c r="R61" s="104">
        <f t="shared" si="14"/>
        <v>324888</v>
      </c>
      <c r="S61" s="104">
        <f t="shared" si="14"/>
        <v>700560</v>
      </c>
      <c r="T61" s="104">
        <f t="shared" si="14"/>
        <v>830208</v>
      </c>
      <c r="U61" s="104">
        <f t="shared" si="14"/>
        <v>646392</v>
      </c>
      <c r="V61" s="104">
        <f t="shared" si="14"/>
        <v>0</v>
      </c>
      <c r="W61" s="104">
        <f t="shared" si="14"/>
        <v>0</v>
      </c>
      <c r="X61" s="104">
        <f>X28*'Tur 4 OG 5 2023'!$C61</f>
        <v>0</v>
      </c>
      <c r="Y61" s="104">
        <f>Y28*'Tur 4 OG 5 2023'!$C61</f>
        <v>150400</v>
      </c>
      <c r="Z61" s="104">
        <f>Z28*'Tur 4 OG 5 2023'!$C61</f>
        <v>814325</v>
      </c>
      <c r="AA61" s="104">
        <f>AA28*'Tur 4 OG 5 2023'!$C61</f>
        <v>469550</v>
      </c>
      <c r="AB61" s="104">
        <f>AB28*'Tur 4 OG 5 2023'!$C61</f>
        <v>732650</v>
      </c>
      <c r="AC61" s="104">
        <f>AC28*'Tur 4 OG 5 2023'!$C61</f>
        <v>1189875</v>
      </c>
      <c r="AD61" s="104">
        <f>AD28*'Tur 4 OG 5 2023'!$C61</f>
        <v>694050</v>
      </c>
      <c r="AE61" s="104">
        <f>AE28*'Tur 4 OG 5 2023'!$C61</f>
        <v>127625</v>
      </c>
      <c r="AF61" s="104">
        <f>AF28*'Tur 4 OG 5 2023'!$C61</f>
        <v>263150</v>
      </c>
      <c r="AG61" s="104">
        <f>AG28*'Tur 4 OG 5 2023'!$C61</f>
        <v>3550</v>
      </c>
      <c r="AH61" s="104">
        <f>AH28*'Tur 4 OG 5 2023'!$C61</f>
        <v>0</v>
      </c>
    </row>
    <row r="62" spans="1:34">
      <c r="B62" s="96" t="s">
        <v>50</v>
      </c>
      <c r="C62" s="111">
        <v>23</v>
      </c>
      <c r="D62" s="97">
        <f t="shared" si="14"/>
        <v>3631493</v>
      </c>
      <c r="E62" s="104">
        <f t="shared" si="14"/>
        <v>0</v>
      </c>
      <c r="F62" s="104">
        <f t="shared" si="14"/>
        <v>0</v>
      </c>
      <c r="G62" s="104">
        <f t="shared" si="14"/>
        <v>0</v>
      </c>
      <c r="H62" s="104">
        <f t="shared" si="14"/>
        <v>0</v>
      </c>
      <c r="I62" s="104">
        <f t="shared" si="14"/>
        <v>0</v>
      </c>
      <c r="J62" s="104">
        <f t="shared" si="14"/>
        <v>0</v>
      </c>
      <c r="K62" s="104">
        <f t="shared" si="14"/>
        <v>262752</v>
      </c>
      <c r="L62" s="104">
        <f t="shared" si="14"/>
        <v>491119</v>
      </c>
      <c r="M62" s="104">
        <f t="shared" si="14"/>
        <v>487117</v>
      </c>
      <c r="N62" s="104">
        <f t="shared" si="14"/>
        <v>186875</v>
      </c>
      <c r="O62" s="104">
        <f t="shared" si="14"/>
        <v>1049973</v>
      </c>
      <c r="P62" s="104">
        <f t="shared" si="14"/>
        <v>730641</v>
      </c>
      <c r="Q62" s="104">
        <f t="shared" si="14"/>
        <v>413494</v>
      </c>
      <c r="R62" s="104">
        <f t="shared" si="14"/>
        <v>4232</v>
      </c>
      <c r="S62" s="104">
        <f t="shared" si="14"/>
        <v>1058</v>
      </c>
      <c r="T62" s="104">
        <f t="shared" si="14"/>
        <v>0</v>
      </c>
      <c r="U62" s="104">
        <f t="shared" si="14"/>
        <v>4232</v>
      </c>
      <c r="V62" s="104">
        <f t="shared" si="14"/>
        <v>0</v>
      </c>
      <c r="W62" s="104">
        <f t="shared" si="14"/>
        <v>0</v>
      </c>
      <c r="X62" s="104">
        <f>X29*'Tur 4 OG 5 2023'!$C62</f>
        <v>0</v>
      </c>
      <c r="Y62" s="104">
        <f>Y29*'Tur 4 OG 5 2023'!$C62</f>
        <v>8808</v>
      </c>
      <c r="Z62" s="104">
        <f>Z29*'Tur 4 OG 5 2023'!$C62</f>
        <v>9864</v>
      </c>
      <c r="AA62" s="104">
        <f>AA29*'Tur 4 OG 5 2023'!$C62</f>
        <v>20976</v>
      </c>
      <c r="AB62" s="104">
        <f>AB29*'Tur 4 OG 5 2023'!$C62</f>
        <v>6600</v>
      </c>
      <c r="AC62" s="104">
        <f>AC29*'Tur 4 OG 5 2023'!$C62</f>
        <v>6600</v>
      </c>
      <c r="AD62" s="104">
        <f>AD29*'Tur 4 OG 5 2023'!$C62</f>
        <v>10896</v>
      </c>
      <c r="AE62" s="104">
        <f>AE29*'Tur 4 OG 5 2023'!$C62</f>
        <v>61584</v>
      </c>
      <c r="AF62" s="104">
        <f>AF29*'Tur 4 OG 5 2023'!$C62</f>
        <v>26328</v>
      </c>
      <c r="AG62" s="104">
        <f>AG29*'Tur 4 OG 5 2023'!$C62</f>
        <v>1117176</v>
      </c>
      <c r="AH62" s="104">
        <f>AH29*'Tur 4 OG 5 2023'!$C62</f>
        <v>0</v>
      </c>
    </row>
    <row r="63" spans="1:34">
      <c r="B63" s="96" t="s">
        <v>51</v>
      </c>
      <c r="C63" s="111">
        <v>15</v>
      </c>
      <c r="D63" s="97">
        <f t="shared" si="14"/>
        <v>0</v>
      </c>
      <c r="E63" s="104">
        <f t="shared" si="14"/>
        <v>0</v>
      </c>
      <c r="F63" s="104">
        <f t="shared" si="14"/>
        <v>0</v>
      </c>
      <c r="G63" s="104">
        <f t="shared" si="14"/>
        <v>0</v>
      </c>
      <c r="H63" s="104">
        <f t="shared" si="14"/>
        <v>0</v>
      </c>
      <c r="I63" s="104">
        <f t="shared" si="14"/>
        <v>0</v>
      </c>
      <c r="J63" s="104">
        <f t="shared" si="14"/>
        <v>0</v>
      </c>
      <c r="K63" s="104">
        <f t="shared" si="14"/>
        <v>0</v>
      </c>
      <c r="L63" s="104">
        <f t="shared" si="14"/>
        <v>0</v>
      </c>
      <c r="M63" s="104">
        <f t="shared" si="14"/>
        <v>0</v>
      </c>
      <c r="N63" s="104">
        <f t="shared" si="14"/>
        <v>0</v>
      </c>
      <c r="O63" s="104">
        <f t="shared" si="14"/>
        <v>0</v>
      </c>
      <c r="P63" s="104">
        <f t="shared" si="14"/>
        <v>0</v>
      </c>
      <c r="Q63" s="104">
        <f t="shared" si="14"/>
        <v>0</v>
      </c>
      <c r="R63" s="104">
        <f t="shared" si="14"/>
        <v>0</v>
      </c>
      <c r="S63" s="104">
        <f t="shared" si="14"/>
        <v>0</v>
      </c>
      <c r="T63" s="104">
        <f t="shared" si="14"/>
        <v>0</v>
      </c>
      <c r="U63" s="104">
        <f t="shared" si="14"/>
        <v>0</v>
      </c>
      <c r="V63" s="104">
        <f t="shared" si="14"/>
        <v>0</v>
      </c>
      <c r="W63" s="104">
        <f t="shared" si="14"/>
        <v>0</v>
      </c>
      <c r="X63" s="104">
        <f>X30*'Tur 4 OG 5 2023'!$C63</f>
        <v>0</v>
      </c>
      <c r="Y63" s="104">
        <f>Y30*'Tur 4 OG 5 2023'!$C63</f>
        <v>0</v>
      </c>
      <c r="Z63" s="104">
        <f>Z30*'Tur 4 OG 5 2023'!$C63</f>
        <v>0</v>
      </c>
      <c r="AA63" s="104">
        <f>AA30*'Tur 4 OG 5 2023'!$C63</f>
        <v>0</v>
      </c>
      <c r="AB63" s="104">
        <f>AB30*'Tur 4 OG 5 2023'!$C63</f>
        <v>0</v>
      </c>
      <c r="AC63" s="104">
        <f>AC30*'Tur 4 OG 5 2023'!$C63</f>
        <v>0</v>
      </c>
      <c r="AD63" s="104">
        <f>AD30*'Tur 4 OG 5 2023'!$C63</f>
        <v>0</v>
      </c>
      <c r="AE63" s="104">
        <f>AE30*'Tur 4 OG 5 2023'!$C63</f>
        <v>0</v>
      </c>
      <c r="AF63" s="104">
        <f>AF30*'Tur 4 OG 5 2023'!$C63</f>
        <v>0</v>
      </c>
      <c r="AG63" s="104">
        <f>AG30*'Tur 4 OG 5 2023'!$C63</f>
        <v>0</v>
      </c>
      <c r="AH63" s="104">
        <f>AH30*'Tur 4 OG 5 2023'!$C63</f>
        <v>0</v>
      </c>
    </row>
    <row r="64" spans="1:34">
      <c r="B64" s="96" t="s">
        <v>52</v>
      </c>
      <c r="C64" s="111">
        <v>10</v>
      </c>
      <c r="D64" s="97">
        <f t="shared" si="14"/>
        <v>222000</v>
      </c>
      <c r="E64" s="104">
        <f t="shared" si="14"/>
        <v>0</v>
      </c>
      <c r="F64" s="104">
        <f t="shared" si="14"/>
        <v>0</v>
      </c>
      <c r="G64" s="104">
        <f t="shared" si="14"/>
        <v>40000</v>
      </c>
      <c r="H64" s="104">
        <f t="shared" si="14"/>
        <v>1200</v>
      </c>
      <c r="I64" s="104">
        <f t="shared" si="14"/>
        <v>5200</v>
      </c>
      <c r="J64" s="104">
        <f t="shared" si="14"/>
        <v>35400</v>
      </c>
      <c r="K64" s="104">
        <f t="shared" si="14"/>
        <v>0</v>
      </c>
      <c r="L64" s="104">
        <f t="shared" si="14"/>
        <v>0</v>
      </c>
      <c r="M64" s="104">
        <f t="shared" si="14"/>
        <v>600</v>
      </c>
      <c r="N64" s="104">
        <f t="shared" si="14"/>
        <v>0</v>
      </c>
      <c r="O64" s="104">
        <f t="shared" si="14"/>
        <v>200</v>
      </c>
      <c r="P64" s="104">
        <f t="shared" si="14"/>
        <v>200</v>
      </c>
      <c r="Q64" s="104">
        <f t="shared" si="14"/>
        <v>200</v>
      </c>
      <c r="R64" s="104">
        <f t="shared" si="14"/>
        <v>28000</v>
      </c>
      <c r="S64" s="104">
        <f t="shared" si="14"/>
        <v>32800</v>
      </c>
      <c r="T64" s="104">
        <f t="shared" si="14"/>
        <v>46000</v>
      </c>
      <c r="U64" s="104">
        <f t="shared" si="14"/>
        <v>32200</v>
      </c>
      <c r="V64" s="104">
        <f t="shared" si="14"/>
        <v>0</v>
      </c>
      <c r="W64" s="104">
        <f t="shared" si="14"/>
        <v>0</v>
      </c>
      <c r="X64" s="104">
        <f>X31*'Tur 4 OG 5 2023'!$C64</f>
        <v>0</v>
      </c>
      <c r="Y64" s="104">
        <f>Y31*'Tur 4 OG 5 2023'!$C64</f>
        <v>61920</v>
      </c>
      <c r="Z64" s="104">
        <f>Z31*'Tur 4 OG 5 2023'!$C64</f>
        <v>101976</v>
      </c>
      <c r="AA64" s="104">
        <f>AA31*'Tur 4 OG 5 2023'!$C64</f>
        <v>75288</v>
      </c>
      <c r="AB64" s="104">
        <f>AB31*'Tur 4 OG 5 2023'!$C64</f>
        <v>112440</v>
      </c>
      <c r="AC64" s="104">
        <f>AC31*'Tur 4 OG 5 2023'!$C64</f>
        <v>34536</v>
      </c>
      <c r="AD64" s="104">
        <f>AD31*'Tur 4 OG 5 2023'!$C64</f>
        <v>35640</v>
      </c>
      <c r="AE64" s="104">
        <f>AE31*'Tur 4 OG 5 2023'!$C64</f>
        <v>12312</v>
      </c>
      <c r="AF64" s="104">
        <f>AF31*'Tur 4 OG 5 2023'!$C64</f>
        <v>6912</v>
      </c>
      <c r="AG64" s="104">
        <f>AG31*'Tur 4 OG 5 2023'!$C64</f>
        <v>9288</v>
      </c>
      <c r="AH64" s="104">
        <f>AH31*'Tur 4 OG 5 2023'!$C64</f>
        <v>0</v>
      </c>
    </row>
    <row r="65" spans="2:34">
      <c r="B65" s="96" t="s">
        <v>53</v>
      </c>
      <c r="C65" s="111">
        <v>19</v>
      </c>
      <c r="D65" s="97">
        <f t="shared" si="14"/>
        <v>0</v>
      </c>
      <c r="E65" s="104">
        <f t="shared" si="14"/>
        <v>0</v>
      </c>
      <c r="F65" s="104">
        <f t="shared" si="14"/>
        <v>0</v>
      </c>
      <c r="G65" s="104">
        <f t="shared" si="14"/>
        <v>0</v>
      </c>
      <c r="H65" s="104">
        <f t="shared" si="14"/>
        <v>0</v>
      </c>
      <c r="I65" s="104">
        <f t="shared" si="14"/>
        <v>0</v>
      </c>
      <c r="J65" s="104">
        <f t="shared" si="14"/>
        <v>0</v>
      </c>
      <c r="K65" s="104">
        <f t="shared" si="14"/>
        <v>0</v>
      </c>
      <c r="L65" s="104">
        <f t="shared" si="14"/>
        <v>0</v>
      </c>
      <c r="M65" s="104">
        <f t="shared" si="14"/>
        <v>0</v>
      </c>
      <c r="N65" s="104">
        <f t="shared" si="14"/>
        <v>0</v>
      </c>
      <c r="O65" s="104">
        <f t="shared" si="14"/>
        <v>0</v>
      </c>
      <c r="P65" s="104">
        <f t="shared" si="14"/>
        <v>0</v>
      </c>
      <c r="Q65" s="104">
        <f t="shared" si="14"/>
        <v>0</v>
      </c>
      <c r="R65" s="104">
        <f t="shared" si="14"/>
        <v>0</v>
      </c>
      <c r="S65" s="104">
        <f t="shared" si="14"/>
        <v>0</v>
      </c>
      <c r="T65" s="104">
        <f t="shared" si="14"/>
        <v>0</v>
      </c>
      <c r="U65" s="104">
        <f t="shared" si="14"/>
        <v>0</v>
      </c>
      <c r="V65" s="104">
        <f t="shared" si="14"/>
        <v>0</v>
      </c>
      <c r="W65" s="104">
        <f t="shared" si="14"/>
        <v>0</v>
      </c>
      <c r="X65" s="104">
        <f>X32*'Tur 4 OG 5 2023'!$C65</f>
        <v>0</v>
      </c>
      <c r="Y65" s="104">
        <f>Y32*'Tur 4 OG 5 2023'!$C65</f>
        <v>0</v>
      </c>
      <c r="Z65" s="104">
        <f>Z32*'Tur 4 OG 5 2023'!$C65</f>
        <v>0</v>
      </c>
      <c r="AA65" s="104">
        <f>AA32*'Tur 4 OG 5 2023'!$C65</f>
        <v>0</v>
      </c>
      <c r="AB65" s="104">
        <f>AB32*'Tur 4 OG 5 2023'!$C65</f>
        <v>0</v>
      </c>
      <c r="AC65" s="104">
        <f>AC32*'Tur 4 OG 5 2023'!$C65</f>
        <v>0</v>
      </c>
      <c r="AD65" s="104">
        <f>AD32*'Tur 4 OG 5 2023'!$C65</f>
        <v>0</v>
      </c>
      <c r="AE65" s="104">
        <f>AE32*'Tur 4 OG 5 2023'!$C65</f>
        <v>0</v>
      </c>
      <c r="AF65" s="104">
        <f>AF32*'Tur 4 OG 5 2023'!$C65</f>
        <v>0</v>
      </c>
      <c r="AG65" s="104">
        <f>AG32*'Tur 4 OG 5 2023'!$C65</f>
        <v>0</v>
      </c>
      <c r="AH65" s="104">
        <f>AH32*'Tur 4 OG 5 2023'!$C65</f>
        <v>0</v>
      </c>
    </row>
    <row r="66" spans="2:34">
      <c r="B66" s="96" t="s">
        <v>54</v>
      </c>
      <c r="C66" s="111">
        <v>10</v>
      </c>
      <c r="D66" s="97">
        <f t="shared" si="14"/>
        <v>0</v>
      </c>
      <c r="E66" s="104">
        <f t="shared" si="14"/>
        <v>0</v>
      </c>
      <c r="F66" s="104">
        <f t="shared" si="14"/>
        <v>0</v>
      </c>
      <c r="G66" s="104">
        <f t="shared" si="14"/>
        <v>0</v>
      </c>
      <c r="H66" s="104">
        <f t="shared" si="14"/>
        <v>0</v>
      </c>
      <c r="I66" s="104">
        <f t="shared" si="14"/>
        <v>0</v>
      </c>
      <c r="J66" s="104">
        <f t="shared" si="14"/>
        <v>0</v>
      </c>
      <c r="K66" s="104">
        <f t="shared" si="14"/>
        <v>0</v>
      </c>
      <c r="L66" s="104">
        <f t="shared" si="14"/>
        <v>0</v>
      </c>
      <c r="M66" s="104">
        <f t="shared" si="14"/>
        <v>0</v>
      </c>
      <c r="N66" s="104">
        <f t="shared" si="14"/>
        <v>0</v>
      </c>
      <c r="O66" s="104">
        <f t="shared" si="14"/>
        <v>0</v>
      </c>
      <c r="P66" s="104">
        <f t="shared" si="14"/>
        <v>0</v>
      </c>
      <c r="Q66" s="104">
        <f t="shared" si="14"/>
        <v>0</v>
      </c>
      <c r="R66" s="104">
        <f t="shared" si="14"/>
        <v>0</v>
      </c>
      <c r="S66" s="104">
        <f t="shared" si="14"/>
        <v>0</v>
      </c>
      <c r="T66" s="104">
        <f t="shared" si="14"/>
        <v>0</v>
      </c>
      <c r="U66" s="104">
        <f t="shared" si="14"/>
        <v>0</v>
      </c>
      <c r="V66" s="104">
        <f t="shared" si="14"/>
        <v>0</v>
      </c>
      <c r="W66" s="104">
        <f t="shared" si="14"/>
        <v>0</v>
      </c>
      <c r="X66" s="104">
        <f>X33*'Tur 4 OG 5 2023'!$C66</f>
        <v>0</v>
      </c>
      <c r="Y66" s="104">
        <f>Y33*'Tur 4 OG 5 2023'!$C66</f>
        <v>0</v>
      </c>
      <c r="Z66" s="104">
        <f>Z33*'Tur 4 OG 5 2023'!$C66</f>
        <v>0</v>
      </c>
      <c r="AA66" s="104">
        <f>AA33*'Tur 4 OG 5 2023'!$C66</f>
        <v>0</v>
      </c>
      <c r="AB66" s="104">
        <f>AB33*'Tur 4 OG 5 2023'!$C66</f>
        <v>0</v>
      </c>
      <c r="AC66" s="104">
        <f>AC33*'Tur 4 OG 5 2023'!$C66</f>
        <v>0</v>
      </c>
      <c r="AD66" s="104">
        <f>AD33*'Tur 4 OG 5 2023'!$C66</f>
        <v>0</v>
      </c>
      <c r="AE66" s="104">
        <f>AE33*'Tur 4 OG 5 2023'!$C66</f>
        <v>0</v>
      </c>
      <c r="AF66" s="104">
        <f>AF33*'Tur 4 OG 5 2023'!$C66</f>
        <v>0</v>
      </c>
      <c r="AG66" s="104">
        <f>AG33*'Tur 4 OG 5 2023'!$C66</f>
        <v>0</v>
      </c>
      <c r="AH66" s="104">
        <f>AH33*'Tur 4 OG 5 2023'!$C66</f>
        <v>0</v>
      </c>
    </row>
    <row r="67" spans="2:34">
      <c r="B67" s="96" t="s">
        <v>55</v>
      </c>
      <c r="C67" s="111">
        <v>50</v>
      </c>
      <c r="D67" s="97">
        <f t="shared" si="14"/>
        <v>184200</v>
      </c>
      <c r="E67" s="104">
        <f t="shared" si="14"/>
        <v>0</v>
      </c>
      <c r="F67" s="104">
        <f t="shared" si="14"/>
        <v>0</v>
      </c>
      <c r="G67" s="104">
        <f t="shared" si="14"/>
        <v>8200</v>
      </c>
      <c r="H67" s="104">
        <f t="shared" si="14"/>
        <v>0</v>
      </c>
      <c r="I67" s="104">
        <f t="shared" si="14"/>
        <v>35200</v>
      </c>
      <c r="J67" s="104">
        <f t="shared" si="14"/>
        <v>34200</v>
      </c>
      <c r="K67" s="104">
        <f t="shared" si="14"/>
        <v>0</v>
      </c>
      <c r="L67" s="104">
        <f t="shared" si="14"/>
        <v>0</v>
      </c>
      <c r="M67" s="104">
        <f t="shared" si="14"/>
        <v>0</v>
      </c>
      <c r="N67" s="104">
        <f t="shared" si="14"/>
        <v>0</v>
      </c>
      <c r="O67" s="104">
        <f t="shared" si="14"/>
        <v>0</v>
      </c>
      <c r="P67" s="104">
        <f t="shared" si="14"/>
        <v>0</v>
      </c>
      <c r="Q67" s="104">
        <f t="shared" si="14"/>
        <v>0</v>
      </c>
      <c r="R67" s="104">
        <f t="shared" si="14"/>
        <v>40950</v>
      </c>
      <c r="S67" s="104">
        <f t="shared" si="14"/>
        <v>1050</v>
      </c>
      <c r="T67" s="104">
        <f t="shared" si="14"/>
        <v>17650</v>
      </c>
      <c r="U67" s="104">
        <f t="shared" si="14"/>
        <v>46950</v>
      </c>
      <c r="V67" s="104">
        <f t="shared" si="14"/>
        <v>0</v>
      </c>
      <c r="W67" s="104">
        <f t="shared" si="14"/>
        <v>0</v>
      </c>
      <c r="X67" s="104">
        <f>X34*'Tur 4 OG 5 2023'!$C67</f>
        <v>0</v>
      </c>
      <c r="Y67" s="104">
        <f>Y34*'Tur 4 OG 5 2023'!$C67</f>
        <v>0</v>
      </c>
      <c r="Z67" s="104">
        <f>Z34*'Tur 4 OG 5 2023'!$C67</f>
        <v>11550</v>
      </c>
      <c r="AA67" s="104">
        <f>AA34*'Tur 4 OG 5 2023'!$C67</f>
        <v>0</v>
      </c>
      <c r="AB67" s="104">
        <f>AB34*'Tur 4 OG 5 2023'!$C67</f>
        <v>33600</v>
      </c>
      <c r="AC67" s="104">
        <f>AC34*'Tur 4 OG 5 2023'!$C67</f>
        <v>71400</v>
      </c>
      <c r="AD67" s="104">
        <f>AD34*'Tur 4 OG 5 2023'!$C67</f>
        <v>0</v>
      </c>
      <c r="AE67" s="104">
        <f>AE34*'Tur 4 OG 5 2023'!$C67</f>
        <v>0</v>
      </c>
      <c r="AF67" s="104">
        <f>AF34*'Tur 4 OG 5 2023'!$C67</f>
        <v>0</v>
      </c>
      <c r="AG67" s="104">
        <f>AG34*'Tur 4 OG 5 2023'!$C67</f>
        <v>0</v>
      </c>
      <c r="AH67" s="104">
        <f>AH34*'Tur 4 OG 5 2023'!$C67</f>
        <v>0</v>
      </c>
    </row>
    <row r="68" spans="2:34">
      <c r="B68" s="96" t="s">
        <v>56</v>
      </c>
      <c r="C68" s="111">
        <v>27.39</v>
      </c>
      <c r="D68" s="97">
        <f t="shared" si="14"/>
        <v>8217</v>
      </c>
      <c r="E68" s="104">
        <f t="shared" si="14"/>
        <v>0</v>
      </c>
      <c r="F68" s="104">
        <f t="shared" si="14"/>
        <v>0</v>
      </c>
      <c r="G68" s="104">
        <f t="shared" si="14"/>
        <v>0</v>
      </c>
      <c r="H68" s="104">
        <f t="shared" si="14"/>
        <v>0</v>
      </c>
      <c r="I68" s="104">
        <f t="shared" si="14"/>
        <v>0</v>
      </c>
      <c r="J68" s="104">
        <f t="shared" si="14"/>
        <v>0</v>
      </c>
      <c r="K68" s="104">
        <f t="shared" si="14"/>
        <v>0</v>
      </c>
      <c r="L68" s="104">
        <f t="shared" si="14"/>
        <v>0</v>
      </c>
      <c r="M68" s="104">
        <f t="shared" si="14"/>
        <v>0</v>
      </c>
      <c r="N68" s="104">
        <f t="shared" si="14"/>
        <v>0</v>
      </c>
      <c r="O68" s="104">
        <f t="shared" si="14"/>
        <v>0</v>
      </c>
      <c r="P68" s="104">
        <f t="shared" si="14"/>
        <v>0</v>
      </c>
      <c r="Q68" s="104">
        <f t="shared" si="14"/>
        <v>0</v>
      </c>
      <c r="R68" s="104">
        <f t="shared" si="14"/>
        <v>4930.2</v>
      </c>
      <c r="S68" s="104">
        <f t="shared" si="14"/>
        <v>0</v>
      </c>
      <c r="T68" s="104">
        <f t="shared" si="14"/>
        <v>0</v>
      </c>
      <c r="U68" s="104">
        <f t="shared" si="14"/>
        <v>3286.8</v>
      </c>
      <c r="V68" s="104">
        <f t="shared" si="14"/>
        <v>0</v>
      </c>
      <c r="W68" s="104">
        <f t="shared" si="14"/>
        <v>0</v>
      </c>
      <c r="X68" s="104">
        <f>X35*'Tur 4 OG 5 2023'!$C68</f>
        <v>0</v>
      </c>
      <c r="Y68" s="104">
        <f>Y35*'Tur 4 OG 5 2023'!$C68</f>
        <v>0</v>
      </c>
      <c r="Z68" s="104">
        <f>Z35*'Tur 4 OG 5 2023'!$C68</f>
        <v>2400</v>
      </c>
      <c r="AA68" s="104">
        <f>AA35*'Tur 4 OG 5 2023'!$C68</f>
        <v>0</v>
      </c>
      <c r="AB68" s="104">
        <f>AB35*'Tur 4 OG 5 2023'!$C68</f>
        <v>6000</v>
      </c>
      <c r="AC68" s="104">
        <f>AC35*'Tur 4 OG 5 2023'!$C68</f>
        <v>13200</v>
      </c>
      <c r="AD68" s="104">
        <f>AD35*'Tur 4 OG 5 2023'!$C68</f>
        <v>0</v>
      </c>
      <c r="AE68" s="104">
        <f>AE35*'Tur 4 OG 5 2023'!$C68</f>
        <v>0</v>
      </c>
      <c r="AF68" s="104">
        <f>AF35*'Tur 4 OG 5 2023'!$C68</f>
        <v>0</v>
      </c>
      <c r="AG68" s="104">
        <f>AG35*'Tur 4 OG 5 2023'!$C68</f>
        <v>0</v>
      </c>
      <c r="AH68" s="104">
        <f>AH35*'Tur 4 OG 5 2023'!$C68</f>
        <v>0</v>
      </c>
    </row>
    <row r="69" spans="2:34">
      <c r="B69" s="96" t="s">
        <v>57</v>
      </c>
      <c r="C69" s="111">
        <v>26</v>
      </c>
      <c r="D69" s="97">
        <f t="shared" ref="D69:W71" si="15">D36*$C69</f>
        <v>0</v>
      </c>
      <c r="E69" s="104">
        <f t="shared" si="15"/>
        <v>0</v>
      </c>
      <c r="F69" s="104">
        <f t="shared" si="15"/>
        <v>0</v>
      </c>
      <c r="G69" s="104">
        <f t="shared" si="15"/>
        <v>0</v>
      </c>
      <c r="H69" s="104">
        <f t="shared" si="15"/>
        <v>0</v>
      </c>
      <c r="I69" s="104">
        <f t="shared" si="15"/>
        <v>0</v>
      </c>
      <c r="J69" s="104">
        <f t="shared" si="15"/>
        <v>0</v>
      </c>
      <c r="K69" s="104">
        <f t="shared" si="15"/>
        <v>0</v>
      </c>
      <c r="L69" s="104">
        <f t="shared" si="15"/>
        <v>0</v>
      </c>
      <c r="M69" s="104">
        <f t="shared" si="15"/>
        <v>0</v>
      </c>
      <c r="N69" s="104">
        <f t="shared" si="15"/>
        <v>0</v>
      </c>
      <c r="O69" s="104">
        <f t="shared" si="15"/>
        <v>0</v>
      </c>
      <c r="P69" s="104">
        <f t="shared" si="15"/>
        <v>0</v>
      </c>
      <c r="Q69" s="104">
        <f t="shared" si="15"/>
        <v>0</v>
      </c>
      <c r="R69" s="104">
        <f t="shared" si="15"/>
        <v>0</v>
      </c>
      <c r="S69" s="104">
        <f t="shared" si="15"/>
        <v>0</v>
      </c>
      <c r="T69" s="104">
        <f t="shared" si="15"/>
        <v>0</v>
      </c>
      <c r="U69" s="104">
        <f t="shared" si="15"/>
        <v>0</v>
      </c>
      <c r="V69" s="104">
        <f t="shared" si="15"/>
        <v>0</v>
      </c>
      <c r="W69" s="104">
        <f t="shared" si="15"/>
        <v>0</v>
      </c>
      <c r="X69" s="104">
        <f>X36*'Tur 4 OG 5 2023'!$C69</f>
        <v>0</v>
      </c>
      <c r="Y69" s="104">
        <f>Y36*'Tur 4 OG 5 2023'!$C69</f>
        <v>0</v>
      </c>
      <c r="Z69" s="104">
        <f>Z36*'Tur 4 OG 5 2023'!$C69</f>
        <v>0</v>
      </c>
      <c r="AA69" s="104">
        <f>AA36*'Tur 4 OG 5 2023'!$C69</f>
        <v>0</v>
      </c>
      <c r="AB69" s="104">
        <f>AB36*'Tur 4 OG 5 2023'!$C69</f>
        <v>0</v>
      </c>
      <c r="AC69" s="104">
        <f>AC36*'Tur 4 OG 5 2023'!$C69</f>
        <v>0</v>
      </c>
      <c r="AD69" s="104">
        <f>AD36*'Tur 4 OG 5 2023'!$C69</f>
        <v>0</v>
      </c>
      <c r="AE69" s="104">
        <f>AE36*'Tur 4 OG 5 2023'!$C69</f>
        <v>0</v>
      </c>
      <c r="AF69" s="104">
        <f>AF36*'Tur 4 OG 5 2023'!$C69</f>
        <v>0</v>
      </c>
      <c r="AG69" s="104">
        <f>AG36*'Tur 4 OG 5 2023'!$C69</f>
        <v>0</v>
      </c>
      <c r="AH69" s="104">
        <f>AH36*'Tur 4 OG 5 2023'!$C69</f>
        <v>0</v>
      </c>
    </row>
    <row r="70" spans="2:34">
      <c r="B70" s="96" t="s">
        <v>58</v>
      </c>
      <c r="C70" s="111">
        <v>48</v>
      </c>
      <c r="D70" s="97">
        <f t="shared" si="15"/>
        <v>0</v>
      </c>
      <c r="E70" s="104">
        <f t="shared" si="15"/>
        <v>0</v>
      </c>
      <c r="F70" s="104">
        <f t="shared" si="15"/>
        <v>0</v>
      </c>
      <c r="G70" s="104">
        <f t="shared" si="15"/>
        <v>0</v>
      </c>
      <c r="H70" s="104">
        <f t="shared" si="15"/>
        <v>0</v>
      </c>
      <c r="I70" s="104">
        <f t="shared" si="15"/>
        <v>0</v>
      </c>
      <c r="J70" s="104">
        <f t="shared" si="15"/>
        <v>0</v>
      </c>
      <c r="K70" s="104">
        <f t="shared" si="15"/>
        <v>0</v>
      </c>
      <c r="L70" s="104">
        <f t="shared" si="15"/>
        <v>0</v>
      </c>
      <c r="M70" s="104">
        <f t="shared" si="15"/>
        <v>0</v>
      </c>
      <c r="N70" s="104">
        <f t="shared" si="15"/>
        <v>0</v>
      </c>
      <c r="O70" s="104">
        <f t="shared" si="15"/>
        <v>0</v>
      </c>
      <c r="P70" s="104">
        <f t="shared" si="15"/>
        <v>0</v>
      </c>
      <c r="Q70" s="104">
        <f t="shared" si="15"/>
        <v>0</v>
      </c>
      <c r="R70" s="104">
        <f t="shared" si="15"/>
        <v>0</v>
      </c>
      <c r="S70" s="104">
        <f t="shared" si="15"/>
        <v>0</v>
      </c>
      <c r="T70" s="104">
        <f t="shared" si="15"/>
        <v>0</v>
      </c>
      <c r="U70" s="104">
        <f t="shared" si="15"/>
        <v>0</v>
      </c>
      <c r="V70" s="104">
        <f t="shared" si="15"/>
        <v>0</v>
      </c>
      <c r="W70" s="104">
        <f t="shared" si="15"/>
        <v>0</v>
      </c>
      <c r="X70" s="104">
        <f>X37*'Tur 4 OG 5 2023'!$C70</f>
        <v>0</v>
      </c>
      <c r="Y70" s="104">
        <f>Y37*'Tur 4 OG 5 2023'!$C70</f>
        <v>0</v>
      </c>
      <c r="Z70" s="104">
        <f>Z37*'Tur 4 OG 5 2023'!$C70</f>
        <v>0</v>
      </c>
      <c r="AA70" s="104">
        <f>AA37*'Tur 4 OG 5 2023'!$C70</f>
        <v>0</v>
      </c>
      <c r="AB70" s="104">
        <f>AB37*'Tur 4 OG 5 2023'!$C70</f>
        <v>0</v>
      </c>
      <c r="AC70" s="104">
        <f>AC37*'Tur 4 OG 5 2023'!$C70</f>
        <v>0</v>
      </c>
      <c r="AD70" s="104">
        <f>AD37*'Tur 4 OG 5 2023'!$C70</f>
        <v>0</v>
      </c>
      <c r="AE70" s="104">
        <f>AE37*'Tur 4 OG 5 2023'!$C70</f>
        <v>0</v>
      </c>
      <c r="AF70" s="104">
        <f>AF37*'Tur 4 OG 5 2023'!$C70</f>
        <v>0</v>
      </c>
      <c r="AG70" s="104">
        <f>AG37*'Tur 4 OG 5 2023'!$C70</f>
        <v>0</v>
      </c>
      <c r="AH70" s="104">
        <f>AH37*'Tur 4 OG 5 2023'!$C70</f>
        <v>0</v>
      </c>
    </row>
    <row r="71" spans="2:34">
      <c r="B71" s="96" t="s">
        <v>59</v>
      </c>
      <c r="C71" s="112">
        <v>8</v>
      </c>
      <c r="D71" s="97">
        <f t="shared" si="15"/>
        <v>216432</v>
      </c>
      <c r="E71" s="104">
        <f t="shared" si="15"/>
        <v>0</v>
      </c>
      <c r="F71" s="104">
        <f t="shared" si="15"/>
        <v>0</v>
      </c>
      <c r="G71" s="104">
        <f t="shared" si="15"/>
        <v>19632</v>
      </c>
      <c r="H71" s="104">
        <f t="shared" si="15"/>
        <v>10656</v>
      </c>
      <c r="I71" s="104">
        <f t="shared" si="15"/>
        <v>12240</v>
      </c>
      <c r="J71" s="104">
        <f t="shared" si="15"/>
        <v>12096</v>
      </c>
      <c r="K71" s="104">
        <f t="shared" si="15"/>
        <v>2368</v>
      </c>
      <c r="L71" s="104">
        <f t="shared" si="15"/>
        <v>16384</v>
      </c>
      <c r="M71" s="104">
        <f t="shared" si="15"/>
        <v>16736</v>
      </c>
      <c r="N71" s="104">
        <f t="shared" si="15"/>
        <v>1856</v>
      </c>
      <c r="O71" s="104">
        <f t="shared" si="15"/>
        <v>3504</v>
      </c>
      <c r="P71" s="104">
        <f t="shared" si="15"/>
        <v>18848</v>
      </c>
      <c r="Q71" s="104">
        <f t="shared" si="15"/>
        <v>11088</v>
      </c>
      <c r="R71" s="104">
        <f t="shared" si="15"/>
        <v>16672</v>
      </c>
      <c r="S71" s="104">
        <f t="shared" si="15"/>
        <v>37584</v>
      </c>
      <c r="T71" s="104">
        <f t="shared" si="15"/>
        <v>20016</v>
      </c>
      <c r="U71" s="104">
        <f t="shared" si="15"/>
        <v>16752</v>
      </c>
      <c r="V71" s="104">
        <f t="shared" si="15"/>
        <v>0</v>
      </c>
      <c r="W71" s="104">
        <f t="shared" si="15"/>
        <v>0</v>
      </c>
      <c r="X71" s="104">
        <f>X38*'Tur 4 OG 5 2023'!$C71</f>
        <v>0</v>
      </c>
      <c r="Y71" s="104">
        <f>Y38*'Tur 4 OG 5 2023'!$C71</f>
        <v>0</v>
      </c>
      <c r="Z71" s="104">
        <f>Z38*'Tur 4 OG 5 2023'!$C71</f>
        <v>0</v>
      </c>
      <c r="AA71" s="104">
        <f>AA38*'Tur 4 OG 5 2023'!$C71</f>
        <v>0</v>
      </c>
      <c r="AB71" s="104">
        <f>AB38*'Tur 4 OG 5 2023'!$C71</f>
        <v>500</v>
      </c>
      <c r="AC71" s="104">
        <f>AC38*'Tur 4 OG 5 2023'!$C71</f>
        <v>0</v>
      </c>
      <c r="AD71" s="104">
        <f>AD38*'Tur 4 OG 5 2023'!$C71</f>
        <v>0</v>
      </c>
      <c r="AE71" s="104">
        <f>AE38*'Tur 4 OG 5 2023'!$C71</f>
        <v>0</v>
      </c>
      <c r="AF71" s="104">
        <f>AF38*'Tur 4 OG 5 2023'!$C71</f>
        <v>500</v>
      </c>
      <c r="AG71" s="104">
        <f>AG38*'Tur 4 OG 5 2023'!$C71</f>
        <v>2250</v>
      </c>
      <c r="AH71" s="104">
        <f>AH38*'Tur 4 OG 5 2023'!$C71</f>
        <v>0</v>
      </c>
    </row>
    <row r="72" spans="2:34">
      <c r="B72" s="35" t="s">
        <v>85</v>
      </c>
      <c r="C72" s="113">
        <v>3.5</v>
      </c>
      <c r="D72" s="98">
        <f>D50*C72</f>
        <v>1106000</v>
      </c>
      <c r="E72" s="107">
        <f t="shared" ref="E72:W72" si="16">+E50*$C$72</f>
        <v>0</v>
      </c>
      <c r="F72" s="107">
        <f t="shared" si="16"/>
        <v>0</v>
      </c>
      <c r="G72" s="107">
        <f t="shared" si="16"/>
        <v>70000</v>
      </c>
      <c r="H72" s="107">
        <f t="shared" si="16"/>
        <v>80500</v>
      </c>
      <c r="I72" s="107">
        <f t="shared" si="16"/>
        <v>70000</v>
      </c>
      <c r="J72" s="107">
        <f t="shared" si="16"/>
        <v>105000</v>
      </c>
      <c r="K72" s="107">
        <f t="shared" si="16"/>
        <v>35000</v>
      </c>
      <c r="L72" s="107">
        <f t="shared" si="16"/>
        <v>52500</v>
      </c>
      <c r="M72" s="107">
        <f t="shared" si="16"/>
        <v>52500</v>
      </c>
      <c r="N72" s="107">
        <f t="shared" si="16"/>
        <v>98000</v>
      </c>
      <c r="O72" s="107">
        <f t="shared" si="16"/>
        <v>105000</v>
      </c>
      <c r="P72" s="107">
        <f t="shared" si="16"/>
        <v>105000</v>
      </c>
      <c r="Q72" s="107">
        <f t="shared" si="16"/>
        <v>105000</v>
      </c>
      <c r="R72" s="107">
        <f t="shared" si="16"/>
        <v>35000</v>
      </c>
      <c r="S72" s="107">
        <f t="shared" si="16"/>
        <v>52500</v>
      </c>
      <c r="T72" s="107">
        <f t="shared" si="16"/>
        <v>70000</v>
      </c>
      <c r="U72" s="107">
        <f t="shared" si="16"/>
        <v>70000</v>
      </c>
      <c r="V72" s="107">
        <f t="shared" si="16"/>
        <v>0</v>
      </c>
      <c r="W72" s="107">
        <f t="shared" si="16"/>
        <v>0</v>
      </c>
      <c r="X72" s="239">
        <f>X50*'Tur 4 OG 5 2023'!$C71</f>
        <v>0</v>
      </c>
      <c r="Y72" s="239">
        <f>Y50*'Tur 4 OG 5 2023'!$C71</f>
        <v>0</v>
      </c>
      <c r="Z72" s="239">
        <f>Z50*'Tur 4 OG 5 2023'!$C71</f>
        <v>0</v>
      </c>
      <c r="AA72" s="239">
        <f>AA50*'Tur 4 OG 5 2023'!$C71</f>
        <v>0</v>
      </c>
      <c r="AB72" s="239">
        <f>AB50*'Tur 4 OG 5 2023'!$C71</f>
        <v>0</v>
      </c>
      <c r="AC72" s="239">
        <f>AC50*'Tur 4 OG 5 2023'!$C71</f>
        <v>0</v>
      </c>
      <c r="AD72" s="239">
        <f>AD50*'Tur 4 OG 5 2023'!$C71</f>
        <v>0</v>
      </c>
      <c r="AE72" s="239">
        <f>AE50*'Tur 4 OG 5 2023'!$C71</f>
        <v>0</v>
      </c>
      <c r="AF72" s="239">
        <f>AF50*'Tur 4 OG 5 2023'!$C71</f>
        <v>0</v>
      </c>
      <c r="AG72" s="239">
        <f>AG50*'Tur 4 OG 5 2023'!$C71</f>
        <v>0</v>
      </c>
      <c r="AH72" s="239">
        <f>AH50*'Tur 4 OG 5 2023'!$C71</f>
        <v>0</v>
      </c>
    </row>
    <row r="73" spans="2:34">
      <c r="X73" s="242" t="e">
        <f t="shared" ref="X73:AH73" si="17">+X70/X59</f>
        <v>#DIV/0!</v>
      </c>
      <c r="Y73" s="242">
        <f t="shared" si="17"/>
        <v>0</v>
      </c>
      <c r="Z73" s="242">
        <f t="shared" si="17"/>
        <v>0</v>
      </c>
      <c r="AA73" s="242">
        <f t="shared" si="17"/>
        <v>0</v>
      </c>
      <c r="AB73" s="242">
        <f t="shared" si="17"/>
        <v>0</v>
      </c>
      <c r="AC73" s="242">
        <f t="shared" si="17"/>
        <v>0</v>
      </c>
      <c r="AD73" s="242">
        <f t="shared" si="17"/>
        <v>0</v>
      </c>
      <c r="AE73" s="242">
        <f t="shared" si="17"/>
        <v>0</v>
      </c>
      <c r="AF73" s="242">
        <f t="shared" si="17"/>
        <v>0</v>
      </c>
      <c r="AG73" s="242">
        <f t="shared" si="17"/>
        <v>0</v>
      </c>
      <c r="AH73" s="242" t="e">
        <f t="shared" si="17"/>
        <v>#DIV/0!</v>
      </c>
    </row>
    <row r="74" spans="2:34">
      <c r="B74" s="318" t="s">
        <v>86</v>
      </c>
      <c r="C74" s="319"/>
      <c r="D74" s="108">
        <f>AVERAGEIF(E59:N59, "&gt;0")</f>
        <v>1269579.75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243" t="e">
        <f t="shared" ref="X74:AH74" si="18">+(X69+X70)/(X36+X37)</f>
        <v>#DIV/0!</v>
      </c>
      <c r="Y74" s="243" t="e">
        <f t="shared" si="18"/>
        <v>#DIV/0!</v>
      </c>
      <c r="Z74" s="243" t="e">
        <f t="shared" si="18"/>
        <v>#DIV/0!</v>
      </c>
      <c r="AA74" s="243" t="e">
        <f t="shared" si="18"/>
        <v>#DIV/0!</v>
      </c>
      <c r="AB74" s="243" t="e">
        <f t="shared" si="18"/>
        <v>#DIV/0!</v>
      </c>
      <c r="AC74" s="243" t="e">
        <f t="shared" si="18"/>
        <v>#DIV/0!</v>
      </c>
      <c r="AD74" s="243" t="e">
        <f t="shared" si="18"/>
        <v>#DIV/0!</v>
      </c>
      <c r="AE74" s="243" t="e">
        <f t="shared" si="18"/>
        <v>#DIV/0!</v>
      </c>
      <c r="AF74" s="243" t="e">
        <f t="shared" si="18"/>
        <v>#DIV/0!</v>
      </c>
      <c r="AG74" s="243" t="e">
        <f t="shared" si="18"/>
        <v>#DIV/0!</v>
      </c>
      <c r="AH74" s="243" t="e">
        <f t="shared" si="18"/>
        <v>#DIV/0!</v>
      </c>
    </row>
    <row r="76" spans="2:34">
      <c r="B76" s="12" t="s">
        <v>87</v>
      </c>
      <c r="C76" s="13">
        <v>0.31</v>
      </c>
      <c r="D76" s="231">
        <f>SUM(E76:W76)</f>
        <v>6126319.5099999979</v>
      </c>
      <c r="E76" s="171">
        <f t="shared" ref="E76:W76" si="19">E59*$C$76</f>
        <v>0</v>
      </c>
      <c r="F76" s="14">
        <f t="shared" si="19"/>
        <v>0</v>
      </c>
      <c r="G76" s="14">
        <f t="shared" si="19"/>
        <v>302607.74</v>
      </c>
      <c r="H76" s="14">
        <f t="shared" si="19"/>
        <v>471796.13</v>
      </c>
      <c r="I76" s="14">
        <f t="shared" si="19"/>
        <v>374190.77</v>
      </c>
      <c r="J76" s="14">
        <f t="shared" si="19"/>
        <v>375339.01</v>
      </c>
      <c r="K76" s="15">
        <f t="shared" si="19"/>
        <v>228350.65</v>
      </c>
      <c r="L76" s="14">
        <f t="shared" si="19"/>
        <v>435674.31</v>
      </c>
      <c r="M76" s="15">
        <f t="shared" si="19"/>
        <v>382167.07</v>
      </c>
      <c r="N76" s="14">
        <f t="shared" si="19"/>
        <v>578432.1</v>
      </c>
      <c r="O76" s="14">
        <f t="shared" si="19"/>
        <v>659129.43999999994</v>
      </c>
      <c r="P76" s="14">
        <f t="shared" si="19"/>
        <v>571333.72</v>
      </c>
      <c r="Q76" s="14">
        <f t="shared" si="19"/>
        <v>657874.55999999994</v>
      </c>
      <c r="R76" s="14">
        <f t="shared" si="19"/>
        <v>149491.98199999999</v>
      </c>
      <c r="S76" s="14">
        <f t="shared" si="19"/>
        <v>290506.27</v>
      </c>
      <c r="T76" s="14">
        <f t="shared" si="19"/>
        <v>330155.27</v>
      </c>
      <c r="U76" s="14">
        <f t="shared" si="19"/>
        <v>319270.48800000001</v>
      </c>
      <c r="V76" s="14">
        <f t="shared" si="19"/>
        <v>0</v>
      </c>
      <c r="W76" s="14">
        <f t="shared" si="19"/>
        <v>0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2:34">
      <c r="B77" s="16" t="s">
        <v>88</v>
      </c>
      <c r="C77" s="17">
        <v>60000</v>
      </c>
      <c r="D77" s="232">
        <f>SUM(E77:W77)</f>
        <v>1140000</v>
      </c>
      <c r="E77" s="172">
        <f t="shared" ref="E77:W77" si="20">$C$77</f>
        <v>60000</v>
      </c>
      <c r="F77" s="18">
        <f t="shared" si="20"/>
        <v>60000</v>
      </c>
      <c r="G77" s="18">
        <f t="shared" si="20"/>
        <v>60000</v>
      </c>
      <c r="H77" s="18">
        <f t="shared" si="20"/>
        <v>60000</v>
      </c>
      <c r="I77" s="18">
        <f t="shared" si="20"/>
        <v>60000</v>
      </c>
      <c r="J77" s="18">
        <f t="shared" si="20"/>
        <v>60000</v>
      </c>
      <c r="K77" s="19">
        <f t="shared" si="20"/>
        <v>60000</v>
      </c>
      <c r="L77" s="18">
        <f t="shared" si="20"/>
        <v>60000</v>
      </c>
      <c r="M77" s="19">
        <f t="shared" si="20"/>
        <v>60000</v>
      </c>
      <c r="N77" s="18">
        <f t="shared" si="20"/>
        <v>60000</v>
      </c>
      <c r="O77" s="18">
        <f t="shared" si="20"/>
        <v>60000</v>
      </c>
      <c r="P77" s="18">
        <f t="shared" si="20"/>
        <v>60000</v>
      </c>
      <c r="Q77" s="18">
        <f t="shared" si="20"/>
        <v>60000</v>
      </c>
      <c r="R77" s="18">
        <f t="shared" si="20"/>
        <v>60000</v>
      </c>
      <c r="S77" s="18">
        <f t="shared" si="20"/>
        <v>60000</v>
      </c>
      <c r="T77" s="18">
        <f t="shared" si="20"/>
        <v>60000</v>
      </c>
      <c r="U77" s="18">
        <f t="shared" si="20"/>
        <v>60000</v>
      </c>
      <c r="V77" s="18">
        <f t="shared" si="20"/>
        <v>60000</v>
      </c>
      <c r="W77" s="18">
        <f t="shared" si="20"/>
        <v>60000</v>
      </c>
    </row>
    <row r="78" spans="2:34">
      <c r="B78" s="16" t="s">
        <v>89</v>
      </c>
      <c r="C78" s="17">
        <v>55000</v>
      </c>
      <c r="D78" s="232">
        <f>SUM(E78:W78)</f>
        <v>1045000</v>
      </c>
      <c r="E78" s="172">
        <f t="shared" ref="E78:W78" si="21">$C$78</f>
        <v>55000</v>
      </c>
      <c r="F78" s="18">
        <f t="shared" si="21"/>
        <v>55000</v>
      </c>
      <c r="G78" s="18">
        <f t="shared" si="21"/>
        <v>55000</v>
      </c>
      <c r="H78" s="18">
        <f t="shared" si="21"/>
        <v>55000</v>
      </c>
      <c r="I78" s="18">
        <f t="shared" si="21"/>
        <v>55000</v>
      </c>
      <c r="J78" s="18">
        <f t="shared" si="21"/>
        <v>55000</v>
      </c>
      <c r="K78" s="19">
        <f t="shared" si="21"/>
        <v>55000</v>
      </c>
      <c r="L78" s="18">
        <f t="shared" si="21"/>
        <v>55000</v>
      </c>
      <c r="M78" s="19">
        <f t="shared" si="21"/>
        <v>55000</v>
      </c>
      <c r="N78" s="18">
        <f t="shared" si="21"/>
        <v>55000</v>
      </c>
      <c r="O78" s="18">
        <f t="shared" si="21"/>
        <v>55000</v>
      </c>
      <c r="P78" s="18">
        <f t="shared" si="21"/>
        <v>55000</v>
      </c>
      <c r="Q78" s="18">
        <f t="shared" si="21"/>
        <v>55000</v>
      </c>
      <c r="R78" s="18">
        <f t="shared" si="21"/>
        <v>55000</v>
      </c>
      <c r="S78" s="18">
        <f t="shared" si="21"/>
        <v>55000</v>
      </c>
      <c r="T78" s="18">
        <f t="shared" si="21"/>
        <v>55000</v>
      </c>
      <c r="U78" s="18">
        <f t="shared" si="21"/>
        <v>55000</v>
      </c>
      <c r="V78" s="18">
        <f t="shared" si="21"/>
        <v>55000</v>
      </c>
      <c r="W78" s="18">
        <f t="shared" si="21"/>
        <v>55000</v>
      </c>
      <c r="X78" s="171">
        <f>X59*'Tur 4 OG 5 2023'!$C$78</f>
        <v>0</v>
      </c>
      <c r="Y78" s="14">
        <f>Y59*'Tur 4 OG 5 2023'!$C$78</f>
        <v>117517.28</v>
      </c>
      <c r="Z78" s="14">
        <f>Z59*'Tur 4 OG 5 2023'!$C$78</f>
        <v>324614.95</v>
      </c>
      <c r="AA78" s="14">
        <f>AA59*'Tur 4 OG 5 2023'!$C$78</f>
        <v>197294.54</v>
      </c>
      <c r="AB78" s="14">
        <f>AB59*'Tur 4 OG 5 2023'!$C$78</f>
        <v>302677.8</v>
      </c>
      <c r="AC78" s="14">
        <f>AC59*'Tur 4 OG 5 2023'!$C$78</f>
        <v>440711.81</v>
      </c>
      <c r="AD78" s="14">
        <f>AD59*'Tur 4 OG 5 2023'!$C$78</f>
        <v>422724.06</v>
      </c>
      <c r="AE78" s="14">
        <f>AE59*'Tur 4 OG 5 2023'!$C$78</f>
        <v>916915.21</v>
      </c>
      <c r="AF78" s="14">
        <f>AF59*'Tur 4 OG 5 2023'!$C$78</f>
        <v>321921.05</v>
      </c>
      <c r="AG78" s="14">
        <f>AG59*'Tur 4 OG 5 2023'!$C$78</f>
        <v>410557.49</v>
      </c>
      <c r="AH78" s="14">
        <f>AH59*'Tur 4 OG 5 2023'!$C$78</f>
        <v>0</v>
      </c>
    </row>
    <row r="79" spans="2:34">
      <c r="B79" s="20" t="s">
        <v>90</v>
      </c>
      <c r="C79" s="21">
        <v>9.67</v>
      </c>
      <c r="D79" s="233">
        <f>SUM(E79:W79)</f>
        <v>2349810</v>
      </c>
      <c r="E79" s="173">
        <f t="shared" ref="E79:W79" si="22">$C$79*E41</f>
        <v>29010</v>
      </c>
      <c r="F79" s="23">
        <f t="shared" si="22"/>
        <v>58020</v>
      </c>
      <c r="G79" s="23">
        <f t="shared" si="22"/>
        <v>135380</v>
      </c>
      <c r="H79" s="23">
        <f t="shared" si="22"/>
        <v>125710</v>
      </c>
      <c r="I79" s="23">
        <f t="shared" si="22"/>
        <v>125710</v>
      </c>
      <c r="J79" s="23">
        <f t="shared" si="22"/>
        <v>154720</v>
      </c>
      <c r="K79" s="22">
        <f t="shared" si="22"/>
        <v>154720</v>
      </c>
      <c r="L79" s="23">
        <f t="shared" si="22"/>
        <v>154720</v>
      </c>
      <c r="M79" s="22">
        <f t="shared" si="22"/>
        <v>135380</v>
      </c>
      <c r="N79" s="23">
        <f t="shared" si="22"/>
        <v>125710</v>
      </c>
      <c r="O79" s="23">
        <f t="shared" si="22"/>
        <v>125710</v>
      </c>
      <c r="P79" s="23">
        <f t="shared" si="22"/>
        <v>135380</v>
      </c>
      <c r="Q79" s="23">
        <f t="shared" si="22"/>
        <v>154720</v>
      </c>
      <c r="R79" s="23">
        <f t="shared" si="22"/>
        <v>154720</v>
      </c>
      <c r="S79" s="23">
        <f t="shared" si="22"/>
        <v>164390</v>
      </c>
      <c r="T79" s="23">
        <f t="shared" si="22"/>
        <v>154720</v>
      </c>
      <c r="U79" s="23">
        <f t="shared" si="22"/>
        <v>154720</v>
      </c>
      <c r="V79" s="23">
        <f t="shared" si="22"/>
        <v>67690</v>
      </c>
      <c r="W79" s="23">
        <f t="shared" si="22"/>
        <v>38680</v>
      </c>
      <c r="X79" s="172">
        <f>'Tur 4 OG 5 2023'!$C$79</f>
        <v>60000</v>
      </c>
      <c r="Y79" s="18">
        <f>'Tur 4 OG 5 2023'!$C$79</f>
        <v>60000</v>
      </c>
      <c r="Z79" s="18">
        <f>'Tur 4 OG 5 2023'!$C$79</f>
        <v>60000</v>
      </c>
      <c r="AA79" s="18">
        <f>'Tur 4 OG 5 2023'!$C$79</f>
        <v>60000</v>
      </c>
      <c r="AB79" s="18">
        <f>'Tur 4 OG 5 2023'!$C$79</f>
        <v>60000</v>
      </c>
      <c r="AC79" s="18">
        <f>'Tur 4 OG 5 2023'!$C$79</f>
        <v>60000</v>
      </c>
      <c r="AD79" s="18">
        <f>'Tur 4 OG 5 2023'!$C$79</f>
        <v>60000</v>
      </c>
      <c r="AE79" s="18">
        <f>'Tur 4 OG 5 2023'!$C$79</f>
        <v>60000</v>
      </c>
      <c r="AF79" s="18">
        <f>'Tur 4 OG 5 2023'!$C$79</f>
        <v>60000</v>
      </c>
      <c r="AG79" s="18">
        <f>'Tur 4 OG 5 2023'!$C$79</f>
        <v>60000</v>
      </c>
      <c r="AH79" s="18">
        <f>'Tur 4 OG 5 2023'!$C$79</f>
        <v>60000</v>
      </c>
    </row>
    <row r="80" spans="2:34">
      <c r="B80" s="24" t="s">
        <v>91</v>
      </c>
      <c r="C80" s="25">
        <f>SUM(E80:W80)</f>
        <v>9101191.4900000039</v>
      </c>
      <c r="D80" s="260">
        <f>D59-D76-D77-D78-D79</f>
        <v>9101191.4900000021</v>
      </c>
      <c r="E80" s="177">
        <f t="shared" ref="E80:W80" si="23">E59-E76-E77-E78-E79</f>
        <v>-144010</v>
      </c>
      <c r="F80" s="26">
        <f t="shared" si="23"/>
        <v>-173020</v>
      </c>
      <c r="G80" s="26">
        <f t="shared" si="23"/>
        <v>423166.26</v>
      </c>
      <c r="H80" s="26">
        <f t="shared" si="23"/>
        <v>809416.87000000011</v>
      </c>
      <c r="I80" s="26">
        <f t="shared" si="23"/>
        <v>592166.23</v>
      </c>
      <c r="J80" s="26">
        <f t="shared" si="23"/>
        <v>565711.99</v>
      </c>
      <c r="K80" s="27">
        <f t="shared" si="23"/>
        <v>238544.34999999998</v>
      </c>
      <c r="L80" s="26">
        <f t="shared" si="23"/>
        <v>700006.69</v>
      </c>
      <c r="M80" s="27">
        <f t="shared" si="23"/>
        <v>600249.92999999993</v>
      </c>
      <c r="N80" s="26">
        <f t="shared" si="23"/>
        <v>1046767.8999999999</v>
      </c>
      <c r="O80" s="26">
        <f t="shared" si="23"/>
        <v>1226384.56</v>
      </c>
      <c r="P80" s="26">
        <f t="shared" si="23"/>
        <v>1021298.28</v>
      </c>
      <c r="Q80" s="26">
        <f t="shared" si="23"/>
        <v>1194581.44</v>
      </c>
      <c r="R80" s="26">
        <f t="shared" si="23"/>
        <v>63020.217999999993</v>
      </c>
      <c r="S80" s="26">
        <f t="shared" si="23"/>
        <v>367220.73</v>
      </c>
      <c r="T80" s="26">
        <f t="shared" si="23"/>
        <v>465141.73</v>
      </c>
      <c r="U80" s="26">
        <f t="shared" si="23"/>
        <v>440914.31200000003</v>
      </c>
      <c r="V80" s="26">
        <f t="shared" si="23"/>
        <v>-182690</v>
      </c>
      <c r="W80" s="26">
        <f t="shared" si="23"/>
        <v>-153680</v>
      </c>
      <c r="X80" s="172">
        <f>'Tur 4 OG 5 2023'!$C$80</f>
        <v>55000</v>
      </c>
      <c r="Y80" s="18">
        <f>'Tur 4 OG 5 2023'!$C$80</f>
        <v>55000</v>
      </c>
      <c r="Z80" s="18">
        <f>'Tur 4 OG 5 2023'!$C$80</f>
        <v>55000</v>
      </c>
      <c r="AA80" s="18">
        <f>'Tur 4 OG 5 2023'!$C$80</f>
        <v>55000</v>
      </c>
      <c r="AB80" s="18">
        <f>'Tur 4 OG 5 2023'!$C$80</f>
        <v>55000</v>
      </c>
      <c r="AC80" s="18">
        <f>'Tur 4 OG 5 2023'!$C$80</f>
        <v>55000</v>
      </c>
      <c r="AD80" s="18">
        <f>'Tur 4 OG 5 2023'!$C$80</f>
        <v>55000</v>
      </c>
      <c r="AE80" s="18">
        <f>'Tur 4 OG 5 2023'!$C$80</f>
        <v>55000</v>
      </c>
      <c r="AF80" s="18">
        <f>'Tur 4 OG 5 2023'!$C$80</f>
        <v>55000</v>
      </c>
      <c r="AG80" s="18">
        <f>'Tur 4 OG 5 2023'!$C$80</f>
        <v>55000</v>
      </c>
      <c r="AH80" s="18">
        <f>'Tur 4 OG 5 2023'!$C$80</f>
        <v>55000</v>
      </c>
    </row>
    <row r="81" spans="2:34">
      <c r="B81" s="320" t="s">
        <v>92</v>
      </c>
      <c r="C81" s="321"/>
      <c r="D81" s="326"/>
      <c r="E81" s="29">
        <f>+E80</f>
        <v>-144010</v>
      </c>
      <c r="F81" s="29">
        <f t="shared" ref="F81:W81" si="24">F80+E81</f>
        <v>-317030</v>
      </c>
      <c r="G81" s="29">
        <f t="shared" si="24"/>
        <v>106136.26000000001</v>
      </c>
      <c r="H81" s="29">
        <f t="shared" si="24"/>
        <v>915553.13000000012</v>
      </c>
      <c r="I81" s="29">
        <f t="shared" si="24"/>
        <v>1507719.36</v>
      </c>
      <c r="J81" s="29">
        <f t="shared" si="24"/>
        <v>2073431.35</v>
      </c>
      <c r="K81" s="28">
        <f t="shared" si="24"/>
        <v>2311975.7000000002</v>
      </c>
      <c r="L81" s="29">
        <f t="shared" si="24"/>
        <v>3011982.39</v>
      </c>
      <c r="M81" s="28">
        <f t="shared" si="24"/>
        <v>3612232.3200000003</v>
      </c>
      <c r="N81" s="29">
        <f t="shared" si="24"/>
        <v>4659000.2200000007</v>
      </c>
      <c r="O81" s="29">
        <f t="shared" si="24"/>
        <v>5885384.7800000012</v>
      </c>
      <c r="P81" s="29">
        <f t="shared" si="24"/>
        <v>6906683.0600000015</v>
      </c>
      <c r="Q81" s="29">
        <f t="shared" si="24"/>
        <v>8101264.5000000019</v>
      </c>
      <c r="R81" s="29">
        <f t="shared" si="24"/>
        <v>8164284.7180000022</v>
      </c>
      <c r="S81" s="29">
        <f t="shared" si="24"/>
        <v>8531505.4480000027</v>
      </c>
      <c r="T81" s="29">
        <f t="shared" si="24"/>
        <v>8996647.1780000031</v>
      </c>
      <c r="U81" s="29">
        <f t="shared" si="24"/>
        <v>9437561.4900000039</v>
      </c>
      <c r="V81" s="29">
        <f t="shared" si="24"/>
        <v>9254871.4900000039</v>
      </c>
      <c r="W81" s="29">
        <f t="shared" si="24"/>
        <v>9101191.4900000039</v>
      </c>
      <c r="X81" s="173">
        <f>'Tur 4 OG 5 2023'!$C$81*X41</f>
        <v>22200</v>
      </c>
      <c r="Y81" s="23">
        <f>'Tur 4 OG 5 2023'!$C$81*Y41</f>
        <v>74000</v>
      </c>
      <c r="Z81" s="23">
        <f>'Tur 4 OG 5 2023'!$C$81*Z41</f>
        <v>103600</v>
      </c>
      <c r="AA81" s="23">
        <f>'Tur 4 OG 5 2023'!$C$81*AA41</f>
        <v>88800</v>
      </c>
      <c r="AB81" s="23">
        <f>'Tur 4 OG 5 2023'!$C$81*AB41</f>
        <v>103600</v>
      </c>
      <c r="AC81" s="23">
        <f>'Tur 4 OG 5 2023'!$C$81*AC41</f>
        <v>96200</v>
      </c>
      <c r="AD81" s="23">
        <f>'Tur 4 OG 5 2023'!$C$81*AD41</f>
        <v>103600</v>
      </c>
      <c r="AE81" s="23">
        <f>'Tur 4 OG 5 2023'!$C$81*AE41</f>
        <v>103600</v>
      </c>
      <c r="AF81" s="23">
        <f>'Tur 4 OG 5 2023'!$C$81*AF41</f>
        <v>118400</v>
      </c>
      <c r="AG81" s="23">
        <f>'Tur 4 OG 5 2023'!$C$81*AG41</f>
        <v>103600</v>
      </c>
      <c r="AH81" s="23">
        <f>'Tur 4 OG 5 2023'!$C$81*AH41</f>
        <v>66600</v>
      </c>
    </row>
    <row r="82" spans="2:34">
      <c r="D82" s="258">
        <f>D80/D59</f>
        <v>0.46053251994034516</v>
      </c>
      <c r="X82" s="26">
        <f t="shared" ref="X82:AH82" si="25">X59-X78-X79-X80-X81</f>
        <v>-137200</v>
      </c>
      <c r="Y82" s="26">
        <f t="shared" si="25"/>
        <v>72570.720000000001</v>
      </c>
      <c r="Z82" s="26">
        <f t="shared" si="25"/>
        <v>503930.05000000005</v>
      </c>
      <c r="AA82" s="26">
        <f t="shared" si="25"/>
        <v>235339.45999999996</v>
      </c>
      <c r="AB82" s="26">
        <f t="shared" si="25"/>
        <v>455102.19999999995</v>
      </c>
      <c r="AC82" s="26">
        <f t="shared" si="25"/>
        <v>769739.19</v>
      </c>
      <c r="AD82" s="26">
        <f t="shared" si="25"/>
        <v>722301.94</v>
      </c>
      <c r="AE82" s="26">
        <f t="shared" si="25"/>
        <v>1822275.79</v>
      </c>
      <c r="AF82" s="26">
        <f t="shared" si="25"/>
        <v>483133.94999999995</v>
      </c>
      <c r="AG82" s="26">
        <f t="shared" si="25"/>
        <v>695221.51</v>
      </c>
      <c r="AH82" s="26">
        <f t="shared" si="25"/>
        <v>-181600</v>
      </c>
    </row>
    <row r="83" spans="2:34">
      <c r="X83" s="29">
        <f>+X82</f>
        <v>-137200</v>
      </c>
      <c r="Y83" s="29">
        <f t="shared" ref="Y83:AH83" si="26">Y82+X83</f>
        <v>-64629.279999999999</v>
      </c>
      <c r="Z83" s="29">
        <f t="shared" si="26"/>
        <v>439300.77</v>
      </c>
      <c r="AA83" s="29">
        <f t="shared" si="26"/>
        <v>674640.23</v>
      </c>
      <c r="AB83" s="29">
        <f t="shared" si="26"/>
        <v>1129742.43</v>
      </c>
      <c r="AC83" s="29">
        <f t="shared" si="26"/>
        <v>1899481.6199999999</v>
      </c>
      <c r="AD83" s="29">
        <f t="shared" si="26"/>
        <v>2621783.5599999996</v>
      </c>
      <c r="AE83" s="29">
        <f t="shared" si="26"/>
        <v>4444059.3499999996</v>
      </c>
      <c r="AF83" s="29">
        <f t="shared" si="26"/>
        <v>4927193.3</v>
      </c>
      <c r="AG83" s="29">
        <f t="shared" si="26"/>
        <v>5622414.8099999996</v>
      </c>
      <c r="AH83" s="29">
        <f t="shared" si="26"/>
        <v>5440814.8099999996</v>
      </c>
    </row>
    <row r="84" spans="2:34">
      <c r="B84" s="30" t="s">
        <v>93</v>
      </c>
      <c r="C84" s="31">
        <f>D41/D26</f>
        <v>0.36391137335360058</v>
      </c>
    </row>
    <row r="88" spans="2:34">
      <c r="X88">
        <v>36464</v>
      </c>
      <c r="Y88">
        <v>11800000</v>
      </c>
      <c r="Z88">
        <v>322</v>
      </c>
    </row>
    <row r="89" spans="2:34">
      <c r="X89">
        <v>35404</v>
      </c>
      <c r="Y89">
        <v>11400000</v>
      </c>
      <c r="Z89">
        <v>322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W81 B8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3:AH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14F5-FF8C-4208-8585-45E5F0FD4FE9}">
  <dimension ref="A2:P93"/>
  <sheetViews>
    <sheetView topLeftCell="A20" workbookViewId="0">
      <selection activeCell="J20" sqref="J20"/>
    </sheetView>
  </sheetViews>
  <sheetFormatPr defaultColWidth="11.42578125" defaultRowHeight="15"/>
  <cols>
    <col min="2" max="2" width="29.85546875" customWidth="1"/>
    <col min="3" max="3" width="16.42578125" bestFit="1" customWidth="1"/>
    <col min="4" max="4" width="14.85546875" customWidth="1"/>
    <col min="14" max="14" width="13.42578125" customWidth="1"/>
  </cols>
  <sheetData>
    <row r="2" spans="2:16" ht="15.75">
      <c r="B2" s="54" t="s">
        <v>0</v>
      </c>
      <c r="C2" s="109" t="s">
        <v>1</v>
      </c>
    </row>
    <row r="3" spans="2:16" ht="15.75">
      <c r="B3" s="54" t="s">
        <v>2</v>
      </c>
      <c r="C3" s="109"/>
    </row>
    <row r="4" spans="2:16" ht="15.75">
      <c r="B4" s="54" t="s">
        <v>3</v>
      </c>
      <c r="C4" s="110"/>
    </row>
    <row r="5" spans="2:16" ht="15.75">
      <c r="B5" s="54" t="s">
        <v>4</v>
      </c>
      <c r="C5" s="110"/>
    </row>
    <row r="6" spans="2:16" ht="15.75">
      <c r="B6" s="179" t="s">
        <v>230</v>
      </c>
      <c r="C6" s="110"/>
    </row>
    <row r="7" spans="2:16" ht="15.75">
      <c r="B7" s="2"/>
      <c r="C7" s="2"/>
    </row>
    <row r="8" spans="2:16" ht="15.75">
      <c r="B8" s="54" t="s">
        <v>5</v>
      </c>
      <c r="D8" s="41" t="s">
        <v>6</v>
      </c>
      <c r="E8" s="42">
        <v>45031</v>
      </c>
      <c r="F8" s="42">
        <v>45032</v>
      </c>
      <c r="G8" s="42">
        <v>45033</v>
      </c>
      <c r="H8" s="42">
        <v>45034</v>
      </c>
      <c r="I8" s="42">
        <v>45035</v>
      </c>
      <c r="J8" s="42">
        <v>45036</v>
      </c>
      <c r="K8" s="42">
        <v>45037</v>
      </c>
      <c r="L8" s="42">
        <v>45038</v>
      </c>
      <c r="M8" s="42">
        <v>45039</v>
      </c>
      <c r="N8" s="42">
        <v>45040</v>
      </c>
      <c r="O8" s="42">
        <v>45041</v>
      </c>
      <c r="P8" s="42">
        <v>45042</v>
      </c>
    </row>
    <row r="9" spans="2:16">
      <c r="B9" s="46" t="s">
        <v>7</v>
      </c>
      <c r="C9" s="47" t="s">
        <v>8</v>
      </c>
      <c r="D9" s="71">
        <f t="shared" ref="D9:D16" si="0">SUM(E9:P9)</f>
        <v>193</v>
      </c>
      <c r="E9" s="114">
        <v>0</v>
      </c>
      <c r="F9" s="114">
        <v>0</v>
      </c>
      <c r="G9" s="114">
        <v>21</v>
      </c>
      <c r="H9" s="114">
        <v>24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24</v>
      </c>
      <c r="O9" s="114">
        <v>4</v>
      </c>
      <c r="P9" s="114">
        <v>0</v>
      </c>
    </row>
    <row r="10" spans="2:16">
      <c r="B10" s="48" t="s">
        <v>9</v>
      </c>
      <c r="C10" s="38" t="s">
        <v>8</v>
      </c>
      <c r="D10" s="71">
        <f t="shared" si="0"/>
        <v>38</v>
      </c>
      <c r="E10" s="115">
        <v>8</v>
      </c>
      <c r="F10" s="115">
        <v>24</v>
      </c>
      <c r="G10" s="115">
        <v>2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4</v>
      </c>
      <c r="P10" s="115">
        <v>0</v>
      </c>
    </row>
    <row r="11" spans="2:16">
      <c r="B11" s="48" t="s">
        <v>10</v>
      </c>
      <c r="C11" s="38" t="s">
        <v>8</v>
      </c>
      <c r="D11" s="71">
        <f t="shared" si="0"/>
        <v>24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16</v>
      </c>
      <c r="P11" s="115">
        <v>8</v>
      </c>
    </row>
    <row r="12" spans="2:16">
      <c r="B12" s="48" t="s">
        <v>11</v>
      </c>
      <c r="C12" s="38" t="s">
        <v>8</v>
      </c>
      <c r="D12" s="71">
        <f t="shared" si="0"/>
        <v>6</v>
      </c>
      <c r="E12" s="115">
        <v>6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</row>
    <row r="13" spans="2:16">
      <c r="B13" s="48" t="s">
        <v>12</v>
      </c>
      <c r="C13" s="38" t="s">
        <v>8</v>
      </c>
      <c r="D13" s="71">
        <f t="shared" si="0"/>
        <v>10</v>
      </c>
      <c r="E13" s="115">
        <v>10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</row>
    <row r="14" spans="2:16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</row>
    <row r="15" spans="2:16">
      <c r="B15" s="49" t="s">
        <v>14</v>
      </c>
      <c r="C15" s="40" t="s">
        <v>8</v>
      </c>
      <c r="D15" s="71">
        <f t="shared" si="0"/>
        <v>1</v>
      </c>
      <c r="E15" s="116">
        <v>0</v>
      </c>
      <c r="F15" s="116">
        <v>0</v>
      </c>
      <c r="G15" s="116">
        <v>1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</row>
    <row r="16" spans="2:16">
      <c r="B16" s="68" t="s">
        <v>15</v>
      </c>
      <c r="C16" s="69" t="s">
        <v>8</v>
      </c>
      <c r="D16" s="70">
        <f t="shared" si="0"/>
        <v>272</v>
      </c>
      <c r="E16" s="117">
        <f t="shared" ref="E16:N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ref="O16:P16" si="2">SUM(O9:O15)</f>
        <v>24</v>
      </c>
      <c r="P16" s="117">
        <f t="shared" si="2"/>
        <v>8</v>
      </c>
    </row>
    <row r="18" spans="1:16">
      <c r="B18" s="50" t="s">
        <v>16</v>
      </c>
      <c r="C18" s="50" t="s">
        <v>0</v>
      </c>
      <c r="D18" s="234">
        <f>SUM(E18:P18)</f>
        <v>0</v>
      </c>
      <c r="E18" s="226">
        <v>0</v>
      </c>
      <c r="F18" s="127">
        <v>0</v>
      </c>
      <c r="G18" s="127" t="s">
        <v>161</v>
      </c>
      <c r="H18" s="127" t="s">
        <v>161</v>
      </c>
      <c r="I18" s="127" t="s">
        <v>313</v>
      </c>
      <c r="J18" s="127" t="s">
        <v>161</v>
      </c>
      <c r="K18" s="127" t="s">
        <v>162</v>
      </c>
      <c r="L18" s="127" t="s">
        <v>314</v>
      </c>
      <c r="M18" s="127" t="s">
        <v>162</v>
      </c>
      <c r="N18" s="127" t="s">
        <v>162</v>
      </c>
      <c r="O18" s="127" t="s">
        <v>315</v>
      </c>
      <c r="P18" s="196"/>
    </row>
    <row r="19" spans="1:16">
      <c r="B19" s="37" t="s">
        <v>31</v>
      </c>
      <c r="C19" s="37" t="s">
        <v>32</v>
      </c>
      <c r="D19" s="235">
        <f>SUM(E19:P19)</f>
        <v>155.5</v>
      </c>
      <c r="E19" s="126">
        <v>0</v>
      </c>
      <c r="F19" s="128">
        <v>0</v>
      </c>
      <c r="G19" s="128">
        <v>18</v>
      </c>
      <c r="H19" s="128">
        <v>12.5</v>
      </c>
      <c r="I19" s="128">
        <v>22</v>
      </c>
      <c r="J19" s="128">
        <v>22</v>
      </c>
      <c r="K19" s="128">
        <v>19</v>
      </c>
      <c r="L19" s="128">
        <v>16</v>
      </c>
      <c r="M19" s="128">
        <v>19.5</v>
      </c>
      <c r="N19" s="128">
        <v>22.5</v>
      </c>
      <c r="O19" s="128">
        <v>4</v>
      </c>
      <c r="P19" s="197"/>
    </row>
    <row r="20" spans="1:16">
      <c r="B20" s="37" t="s">
        <v>35</v>
      </c>
      <c r="C20" s="37" t="s">
        <v>36</v>
      </c>
      <c r="D20" s="235">
        <f>SUM(E20:P20)</f>
        <v>27</v>
      </c>
      <c r="E20" s="126">
        <v>0</v>
      </c>
      <c r="F20" s="128">
        <v>0</v>
      </c>
      <c r="G20" s="128">
        <v>3</v>
      </c>
      <c r="H20" s="128">
        <v>2</v>
      </c>
      <c r="I20" s="128">
        <v>4</v>
      </c>
      <c r="J20" s="128">
        <v>4</v>
      </c>
      <c r="K20" s="128">
        <v>3</v>
      </c>
      <c r="L20" s="128">
        <v>3</v>
      </c>
      <c r="M20" s="128">
        <v>3</v>
      </c>
      <c r="N20" s="128">
        <v>4</v>
      </c>
      <c r="O20" s="128">
        <v>1</v>
      </c>
      <c r="P20" s="197"/>
    </row>
    <row r="21" spans="1:16">
      <c r="B21" s="39" t="s">
        <v>37</v>
      </c>
      <c r="C21" s="39" t="s">
        <v>38</v>
      </c>
      <c r="D21" s="236">
        <f>SUM(E21:P21)</f>
        <v>0</v>
      </c>
      <c r="E21" s="160">
        <v>0</v>
      </c>
      <c r="F21" s="225">
        <v>0</v>
      </c>
      <c r="G21" s="225" t="s">
        <v>163</v>
      </c>
      <c r="H21" s="225" t="s">
        <v>316</v>
      </c>
      <c r="I21" s="225" t="s">
        <v>163</v>
      </c>
      <c r="J21" s="225" t="s">
        <v>316</v>
      </c>
      <c r="K21" s="225" t="s">
        <v>164</v>
      </c>
      <c r="L21" s="225" t="s">
        <v>164</v>
      </c>
      <c r="M21" s="225" t="s">
        <v>316</v>
      </c>
      <c r="N21" s="225" t="s">
        <v>316</v>
      </c>
      <c r="O21" s="225" t="s">
        <v>316</v>
      </c>
      <c r="P21" s="57">
        <v>0</v>
      </c>
    </row>
    <row r="22" spans="1:16">
      <c r="B22" s="39" t="s">
        <v>41</v>
      </c>
      <c r="C22" s="39" t="s">
        <v>42</v>
      </c>
      <c r="D22" s="16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4" spans="1:16">
      <c r="B24" s="167" t="s">
        <v>43</v>
      </c>
      <c r="C24" s="168">
        <f>D26/D19</f>
        <v>1610.0128617363343</v>
      </c>
    </row>
    <row r="25" spans="1:16">
      <c r="D25" s="10"/>
    </row>
    <row r="26" spans="1:16">
      <c r="A26" s="312" t="s">
        <v>44</v>
      </c>
      <c r="B26" s="35" t="s">
        <v>45</v>
      </c>
      <c r="C26" s="35"/>
      <c r="D26" s="228">
        <f t="shared" ref="D26:D38" si="3">SUM(E26:P26)</f>
        <v>250357</v>
      </c>
      <c r="E26" s="75">
        <f t="shared" ref="E26:N26" si="4">SUM(E27:E38)</f>
        <v>0</v>
      </c>
      <c r="F26" s="175">
        <f t="shared" si="4"/>
        <v>0</v>
      </c>
      <c r="G26" s="75">
        <f t="shared" si="4"/>
        <v>38721</v>
      </c>
      <c r="H26" s="175">
        <f t="shared" si="4"/>
        <v>26130</v>
      </c>
      <c r="I26" s="75">
        <f t="shared" si="4"/>
        <v>33134</v>
      </c>
      <c r="J26" s="175">
        <f t="shared" si="4"/>
        <v>20106</v>
      </c>
      <c r="K26" s="75">
        <f t="shared" si="4"/>
        <v>32305</v>
      </c>
      <c r="L26" s="175">
        <f t="shared" si="4"/>
        <v>28475</v>
      </c>
      <c r="M26" s="75">
        <f t="shared" si="4"/>
        <v>27768</v>
      </c>
      <c r="N26" s="175">
        <f t="shared" si="4"/>
        <v>36074</v>
      </c>
      <c r="O26" s="175">
        <f t="shared" ref="O26:P26" si="5">SUM(O27:O38)</f>
        <v>7644</v>
      </c>
      <c r="P26" s="175">
        <f t="shared" si="5"/>
        <v>0</v>
      </c>
    </row>
    <row r="27" spans="1:16">
      <c r="A27" s="313"/>
      <c r="B27" s="37" t="s">
        <v>47</v>
      </c>
      <c r="C27" s="38" t="s">
        <v>48</v>
      </c>
      <c r="D27" s="72">
        <f t="shared" si="3"/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</row>
    <row r="28" spans="1:16">
      <c r="A28" s="313"/>
      <c r="B28" s="37" t="s">
        <v>49</v>
      </c>
      <c r="C28" s="38" t="s">
        <v>48</v>
      </c>
      <c r="D28" s="73">
        <f t="shared" si="3"/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</row>
    <row r="29" spans="1:16">
      <c r="A29" s="313"/>
      <c r="B29" s="37" t="s">
        <v>50</v>
      </c>
      <c r="C29" s="38" t="s">
        <v>48</v>
      </c>
      <c r="D29" s="73">
        <f t="shared" si="3"/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</row>
    <row r="30" spans="1:16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</row>
    <row r="31" spans="1:16">
      <c r="A31" s="313"/>
      <c r="B31" s="37" t="s">
        <v>52</v>
      </c>
      <c r="C31" s="38" t="s">
        <v>48</v>
      </c>
      <c r="D31" s="73">
        <f t="shared" si="3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</row>
    <row r="32" spans="1:16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</row>
    <row r="33" spans="1:16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</row>
    <row r="34" spans="1:16">
      <c r="A34" s="313"/>
      <c r="B34" s="37" t="s">
        <v>55</v>
      </c>
      <c r="C34" s="38" t="s">
        <v>48</v>
      </c>
      <c r="D34" s="73">
        <f t="shared" si="3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</row>
    <row r="35" spans="1:16">
      <c r="A35" s="313"/>
      <c r="B35" s="37" t="s">
        <v>56</v>
      </c>
      <c r="C35" s="38" t="s">
        <v>48</v>
      </c>
      <c r="D35" s="73">
        <f t="shared" si="3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</row>
    <row r="36" spans="1:16">
      <c r="A36" s="313"/>
      <c r="B36" s="37" t="s">
        <v>57</v>
      </c>
      <c r="C36" s="38" t="s">
        <v>48</v>
      </c>
      <c r="D36" s="73">
        <f t="shared" si="3"/>
        <v>190092</v>
      </c>
      <c r="E36" s="55">
        <v>0</v>
      </c>
      <c r="F36" s="55">
        <v>0</v>
      </c>
      <c r="G36" s="55">
        <v>35763</v>
      </c>
      <c r="H36" s="55">
        <v>23478</v>
      </c>
      <c r="I36" s="55">
        <v>23121</v>
      </c>
      <c r="J36" s="55">
        <v>11844</v>
      </c>
      <c r="K36" s="55">
        <v>24213</v>
      </c>
      <c r="L36" s="55">
        <v>20706</v>
      </c>
      <c r="M36" s="55">
        <v>20118</v>
      </c>
      <c r="N36" s="55">
        <v>23205</v>
      </c>
      <c r="O36" s="55">
        <v>7644</v>
      </c>
      <c r="P36" s="55">
        <v>0</v>
      </c>
    </row>
    <row r="37" spans="1:16">
      <c r="A37" s="313"/>
      <c r="B37" s="37" t="s">
        <v>58</v>
      </c>
      <c r="C37" s="38" t="s">
        <v>48</v>
      </c>
      <c r="D37" s="73">
        <f t="shared" si="3"/>
        <v>60265</v>
      </c>
      <c r="E37" s="55">
        <v>0</v>
      </c>
      <c r="F37" s="55">
        <v>0</v>
      </c>
      <c r="G37" s="55">
        <v>2958</v>
      </c>
      <c r="H37" s="55">
        <v>2652</v>
      </c>
      <c r="I37" s="55">
        <v>10013</v>
      </c>
      <c r="J37" s="55">
        <v>8262</v>
      </c>
      <c r="K37" s="55">
        <v>8092</v>
      </c>
      <c r="L37" s="55">
        <v>7769</v>
      </c>
      <c r="M37" s="55">
        <v>7650</v>
      </c>
      <c r="N37" s="55">
        <v>12869</v>
      </c>
      <c r="O37" s="55">
        <v>0</v>
      </c>
      <c r="P37" s="55">
        <v>0</v>
      </c>
    </row>
    <row r="38" spans="1:16">
      <c r="A38" s="314"/>
      <c r="B38" s="39" t="s">
        <v>59</v>
      </c>
      <c r="C38" s="40" t="s">
        <v>48</v>
      </c>
      <c r="D38" s="74">
        <f t="shared" si="3"/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</row>
    <row r="39" spans="1:16">
      <c r="A39" s="164"/>
      <c r="B39" s="94" t="s">
        <v>149</v>
      </c>
      <c r="C39" s="166"/>
      <c r="D39" s="180">
        <f>D37/D36</f>
        <v>0.31703070092376323</v>
      </c>
      <c r="E39" s="170" t="e">
        <f t="shared" ref="E39:N39" si="6">E37/E26</f>
        <v>#DIV/0!</v>
      </c>
      <c r="F39" s="170" t="e">
        <f t="shared" si="6"/>
        <v>#DIV/0!</v>
      </c>
      <c r="G39" s="170">
        <f t="shared" si="6"/>
        <v>7.6392655148369099E-2</v>
      </c>
      <c r="H39" s="170">
        <f t="shared" si="6"/>
        <v>0.10149253731343283</v>
      </c>
      <c r="I39" s="170">
        <f t="shared" si="6"/>
        <v>0.3021971388905656</v>
      </c>
      <c r="J39" s="170">
        <f t="shared" si="6"/>
        <v>0.41092211280214863</v>
      </c>
      <c r="K39" s="170">
        <f t="shared" si="6"/>
        <v>0.25048754062838569</v>
      </c>
      <c r="L39" s="170">
        <f t="shared" si="6"/>
        <v>0.27283582089552239</v>
      </c>
      <c r="M39" s="170">
        <f t="shared" si="6"/>
        <v>0.27549697493517716</v>
      </c>
      <c r="N39" s="170">
        <f t="shared" si="6"/>
        <v>0.35673892554194159</v>
      </c>
      <c r="O39" s="170">
        <f t="shared" ref="O39:P39" si="7">O37/O26</f>
        <v>0</v>
      </c>
      <c r="P39" s="170" t="e">
        <f t="shared" si="7"/>
        <v>#DIV/0!</v>
      </c>
    </row>
    <row r="40" spans="1:16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</row>
    <row r="41" spans="1:16">
      <c r="A41" s="324" t="s">
        <v>60</v>
      </c>
      <c r="B41" s="50" t="s">
        <v>61</v>
      </c>
      <c r="C41" s="91" t="s">
        <v>62</v>
      </c>
      <c r="D41" s="229">
        <f>SUM(E41:P41)</f>
        <v>189000</v>
      </c>
      <c r="E41" s="86">
        <v>9000</v>
      </c>
      <c r="F41" s="86">
        <v>17000</v>
      </c>
      <c r="G41" s="86">
        <v>16000</v>
      </c>
      <c r="H41" s="86">
        <v>14000</v>
      </c>
      <c r="I41" s="86">
        <v>18000</v>
      </c>
      <c r="J41" s="86">
        <v>18000</v>
      </c>
      <c r="K41" s="86">
        <v>19000</v>
      </c>
      <c r="L41" s="86">
        <v>18000</v>
      </c>
      <c r="M41" s="86">
        <v>17000</v>
      </c>
      <c r="N41" s="86">
        <v>18000</v>
      </c>
      <c r="O41" s="86">
        <v>15000</v>
      </c>
      <c r="P41" s="86">
        <v>10000</v>
      </c>
    </row>
    <row r="42" spans="1:16">
      <c r="A42" s="325"/>
      <c r="B42" s="39" t="s">
        <v>63</v>
      </c>
      <c r="C42" s="92" t="s">
        <v>62</v>
      </c>
      <c r="D42" s="230">
        <f>SUM(E42:P42)</f>
        <v>200</v>
      </c>
      <c r="E42" s="87">
        <v>0</v>
      </c>
      <c r="F42" s="87">
        <v>0</v>
      </c>
      <c r="G42" s="87">
        <v>0</v>
      </c>
      <c r="H42" s="87"/>
      <c r="I42" s="87">
        <v>200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</row>
    <row r="44" spans="1:16">
      <c r="B44" s="167" t="s">
        <v>240</v>
      </c>
      <c r="C44" s="184" t="s">
        <v>241</v>
      </c>
      <c r="D44" s="187">
        <f t="shared" ref="D44:N44" si="8">D41/D26</f>
        <v>0.75492197142480533</v>
      </c>
      <c r="E44" s="186" t="e">
        <f t="shared" si="8"/>
        <v>#DIV/0!</v>
      </c>
      <c r="F44" s="188" t="e">
        <f t="shared" si="8"/>
        <v>#DIV/0!</v>
      </c>
      <c r="G44" s="186">
        <f t="shared" si="8"/>
        <v>0.41321246868624262</v>
      </c>
      <c r="H44" s="188">
        <f t="shared" si="8"/>
        <v>0.53578262533486409</v>
      </c>
      <c r="I44" s="186">
        <f t="shared" si="8"/>
        <v>0.54324862678819341</v>
      </c>
      <c r="J44" s="188">
        <f t="shared" si="8"/>
        <v>0.89525514771709935</v>
      </c>
      <c r="K44" s="186">
        <f t="shared" si="8"/>
        <v>0.58814425011608107</v>
      </c>
      <c r="L44" s="188">
        <f t="shared" si="8"/>
        <v>0.6321334503950834</v>
      </c>
      <c r="M44" s="186">
        <f t="shared" si="8"/>
        <v>0.61221549985594925</v>
      </c>
      <c r="N44" s="188">
        <f t="shared" si="8"/>
        <v>0.49897433054277318</v>
      </c>
      <c r="O44" s="188">
        <f t="shared" ref="O44:P44" si="9">O41/O26</f>
        <v>1.9623233908948194</v>
      </c>
      <c r="P44" s="188" t="e">
        <f t="shared" si="9"/>
        <v>#DIV/0!</v>
      </c>
    </row>
    <row r="46" spans="1:16">
      <c r="A46" s="312" t="s">
        <v>64</v>
      </c>
      <c r="B46" s="93" t="s">
        <v>65</v>
      </c>
      <c r="C46" s="47" t="s">
        <v>8</v>
      </c>
      <c r="D46" s="181">
        <f t="shared" ref="D46:D51" si="10">SUM(E46:P46)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</row>
    <row r="47" spans="1:16">
      <c r="A47" s="313"/>
      <c r="B47" s="94" t="s">
        <v>66</v>
      </c>
      <c r="C47" s="38" t="s">
        <v>8</v>
      </c>
      <c r="D47" s="182">
        <f t="shared" si="10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</row>
    <row r="48" spans="1:16">
      <c r="A48" s="313"/>
      <c r="B48" s="94" t="s">
        <v>67</v>
      </c>
      <c r="C48" s="38" t="s">
        <v>8</v>
      </c>
      <c r="D48" s="182">
        <f t="shared" si="10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</row>
    <row r="49" spans="1:16">
      <c r="A49" s="313"/>
      <c r="B49" s="95" t="s">
        <v>68</v>
      </c>
      <c r="C49" s="40" t="s">
        <v>8</v>
      </c>
      <c r="D49" s="183">
        <f t="shared" si="10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</row>
    <row r="50" spans="1:16">
      <c r="A50" s="313"/>
      <c r="B50" s="93" t="s">
        <v>69</v>
      </c>
      <c r="C50" s="91" t="s">
        <v>48</v>
      </c>
      <c r="D50" s="181">
        <f t="shared" si="10"/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</row>
    <row r="51" spans="1:16">
      <c r="A51" s="314"/>
      <c r="B51" s="95" t="s">
        <v>70</v>
      </c>
      <c r="C51" s="92" t="s">
        <v>48</v>
      </c>
      <c r="D51" s="183">
        <f t="shared" si="10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</row>
    <row r="52" spans="1:16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</row>
    <row r="54" spans="1:16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</row>
    <row r="55" spans="1:16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317</v>
      </c>
      <c r="L55" s="8" t="s">
        <v>318</v>
      </c>
      <c r="M55" s="8" t="s">
        <v>319</v>
      </c>
      <c r="N55" s="8" t="s">
        <v>318</v>
      </c>
      <c r="O55" s="8" t="s">
        <v>320</v>
      </c>
      <c r="P55" s="8" t="s">
        <v>75</v>
      </c>
    </row>
    <row r="56" spans="1:16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243</v>
      </c>
      <c r="I56" s="8" t="s">
        <v>244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</row>
    <row r="57" spans="1:16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245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321</v>
      </c>
      <c r="P57" s="9" t="s">
        <v>75</v>
      </c>
    </row>
    <row r="59" spans="1:16" ht="15.75">
      <c r="B59" s="53" t="s">
        <v>83</v>
      </c>
      <c r="C59" s="99" t="s">
        <v>84</v>
      </c>
      <c r="D59" s="100">
        <f t="shared" ref="D59:N59" si="11">SUM(D60:D72)</f>
        <v>6393235</v>
      </c>
      <c r="E59" s="101">
        <f t="shared" si="11"/>
        <v>0</v>
      </c>
      <c r="F59" s="101">
        <f t="shared" si="11"/>
        <v>0</v>
      </c>
      <c r="G59" s="101">
        <f t="shared" si="11"/>
        <v>842454</v>
      </c>
      <c r="H59" s="101">
        <f t="shared" si="11"/>
        <v>583596</v>
      </c>
      <c r="I59" s="101">
        <f t="shared" si="11"/>
        <v>892979</v>
      </c>
      <c r="J59" s="101">
        <f t="shared" si="11"/>
        <v>592146</v>
      </c>
      <c r="K59" s="101">
        <f t="shared" si="11"/>
        <v>832216</v>
      </c>
      <c r="L59" s="101">
        <f t="shared" si="11"/>
        <v>748187</v>
      </c>
      <c r="M59" s="101">
        <f t="shared" si="11"/>
        <v>731310</v>
      </c>
      <c r="N59" s="101">
        <f t="shared" si="11"/>
        <v>1017467</v>
      </c>
      <c r="O59" s="101">
        <f t="shared" ref="O59:P59" si="12">SUM(O60:O72)</f>
        <v>152880</v>
      </c>
      <c r="P59" s="101">
        <f t="shared" si="12"/>
        <v>0</v>
      </c>
    </row>
    <row r="60" spans="1:16">
      <c r="B60" s="96" t="s">
        <v>47</v>
      </c>
      <c r="C60" s="111">
        <v>55</v>
      </c>
      <c r="D60" s="97">
        <f t="shared" ref="D60:P60" si="13">D27*$C60</f>
        <v>0</v>
      </c>
      <c r="E60" s="104">
        <f t="shared" si="13"/>
        <v>0</v>
      </c>
      <c r="F60" s="104">
        <f t="shared" si="13"/>
        <v>0</v>
      </c>
      <c r="G60" s="104">
        <f t="shared" si="13"/>
        <v>0</v>
      </c>
      <c r="H60" s="104">
        <f t="shared" si="13"/>
        <v>0</v>
      </c>
      <c r="I60" s="104">
        <f t="shared" si="13"/>
        <v>0</v>
      </c>
      <c r="J60" s="104">
        <f t="shared" si="13"/>
        <v>0</v>
      </c>
      <c r="K60" s="104">
        <f t="shared" si="13"/>
        <v>0</v>
      </c>
      <c r="L60" s="104">
        <f t="shared" si="13"/>
        <v>0</v>
      </c>
      <c r="M60" s="104">
        <f t="shared" si="13"/>
        <v>0</v>
      </c>
      <c r="N60" s="104">
        <f t="shared" si="13"/>
        <v>0</v>
      </c>
      <c r="O60" s="104">
        <f t="shared" si="13"/>
        <v>0</v>
      </c>
      <c r="P60" s="104">
        <f t="shared" si="13"/>
        <v>0</v>
      </c>
    </row>
    <row r="61" spans="1:16">
      <c r="B61" s="96" t="s">
        <v>49</v>
      </c>
      <c r="C61" s="111">
        <v>25</v>
      </c>
      <c r="D61" s="97">
        <f t="shared" ref="D61:P61" si="14">D28*$C61</f>
        <v>0</v>
      </c>
      <c r="E61" s="104">
        <f t="shared" si="14"/>
        <v>0</v>
      </c>
      <c r="F61" s="104">
        <f t="shared" si="14"/>
        <v>0</v>
      </c>
      <c r="G61" s="104">
        <f t="shared" si="14"/>
        <v>0</v>
      </c>
      <c r="H61" s="104">
        <f t="shared" si="14"/>
        <v>0</v>
      </c>
      <c r="I61" s="104">
        <f t="shared" si="14"/>
        <v>0</v>
      </c>
      <c r="J61" s="104">
        <f t="shared" si="14"/>
        <v>0</v>
      </c>
      <c r="K61" s="104">
        <f t="shared" si="14"/>
        <v>0</v>
      </c>
      <c r="L61" s="104">
        <f t="shared" si="14"/>
        <v>0</v>
      </c>
      <c r="M61" s="104">
        <f t="shared" si="14"/>
        <v>0</v>
      </c>
      <c r="N61" s="104">
        <f t="shared" si="14"/>
        <v>0</v>
      </c>
      <c r="O61" s="104">
        <f t="shared" si="14"/>
        <v>0</v>
      </c>
      <c r="P61" s="104">
        <f t="shared" si="14"/>
        <v>0</v>
      </c>
    </row>
    <row r="62" spans="1:16">
      <c r="B62" s="96" t="s">
        <v>50</v>
      </c>
      <c r="C62" s="111">
        <v>24</v>
      </c>
      <c r="D62" s="97">
        <f t="shared" ref="D62:P62" si="15">D29*$C62</f>
        <v>0</v>
      </c>
      <c r="E62" s="104">
        <f t="shared" si="15"/>
        <v>0</v>
      </c>
      <c r="F62" s="104">
        <f t="shared" si="15"/>
        <v>0</v>
      </c>
      <c r="G62" s="104">
        <f t="shared" si="15"/>
        <v>0</v>
      </c>
      <c r="H62" s="104">
        <f t="shared" si="15"/>
        <v>0</v>
      </c>
      <c r="I62" s="104">
        <f t="shared" si="15"/>
        <v>0</v>
      </c>
      <c r="J62" s="104">
        <f t="shared" si="15"/>
        <v>0</v>
      </c>
      <c r="K62" s="104">
        <f t="shared" si="15"/>
        <v>0</v>
      </c>
      <c r="L62" s="104">
        <f t="shared" si="15"/>
        <v>0</v>
      </c>
      <c r="M62" s="104">
        <f t="shared" si="15"/>
        <v>0</v>
      </c>
      <c r="N62" s="104">
        <f t="shared" si="15"/>
        <v>0</v>
      </c>
      <c r="O62" s="104">
        <f t="shared" si="15"/>
        <v>0</v>
      </c>
      <c r="P62" s="104">
        <f t="shared" si="15"/>
        <v>0</v>
      </c>
    </row>
    <row r="63" spans="1:16">
      <c r="B63" s="96" t="s">
        <v>51</v>
      </c>
      <c r="C63" s="111">
        <v>23</v>
      </c>
      <c r="D63" s="97">
        <f t="shared" ref="D63:P63" si="16">D30*$C63</f>
        <v>0</v>
      </c>
      <c r="E63" s="104">
        <f t="shared" si="16"/>
        <v>0</v>
      </c>
      <c r="F63" s="104">
        <f t="shared" si="16"/>
        <v>0</v>
      </c>
      <c r="G63" s="104">
        <f t="shared" si="16"/>
        <v>0</v>
      </c>
      <c r="H63" s="104">
        <f t="shared" si="16"/>
        <v>0</v>
      </c>
      <c r="I63" s="104">
        <f t="shared" si="16"/>
        <v>0</v>
      </c>
      <c r="J63" s="104">
        <f t="shared" si="16"/>
        <v>0</v>
      </c>
      <c r="K63" s="104">
        <f t="shared" si="16"/>
        <v>0</v>
      </c>
      <c r="L63" s="104">
        <f t="shared" si="16"/>
        <v>0</v>
      </c>
      <c r="M63" s="104">
        <f t="shared" si="16"/>
        <v>0</v>
      </c>
      <c r="N63" s="104">
        <f t="shared" si="16"/>
        <v>0</v>
      </c>
      <c r="O63" s="104">
        <f t="shared" si="16"/>
        <v>0</v>
      </c>
      <c r="P63" s="104">
        <f t="shared" si="16"/>
        <v>0</v>
      </c>
    </row>
    <row r="64" spans="1:16">
      <c r="B64" s="96" t="s">
        <v>52</v>
      </c>
      <c r="C64" s="111">
        <v>12</v>
      </c>
      <c r="D64" s="97">
        <f t="shared" ref="D64:P64" si="17">D31*$C64</f>
        <v>0</v>
      </c>
      <c r="E64" s="104">
        <f t="shared" si="17"/>
        <v>0</v>
      </c>
      <c r="F64" s="104">
        <f t="shared" si="17"/>
        <v>0</v>
      </c>
      <c r="G64" s="104">
        <f t="shared" si="17"/>
        <v>0</v>
      </c>
      <c r="H64" s="104">
        <f t="shared" si="17"/>
        <v>0</v>
      </c>
      <c r="I64" s="104">
        <f t="shared" si="17"/>
        <v>0</v>
      </c>
      <c r="J64" s="104">
        <f t="shared" si="17"/>
        <v>0</v>
      </c>
      <c r="K64" s="104">
        <f t="shared" si="17"/>
        <v>0</v>
      </c>
      <c r="L64" s="104">
        <f t="shared" si="17"/>
        <v>0</v>
      </c>
      <c r="M64" s="104">
        <f t="shared" si="17"/>
        <v>0</v>
      </c>
      <c r="N64" s="104">
        <f t="shared" si="17"/>
        <v>0</v>
      </c>
      <c r="O64" s="104">
        <f t="shared" si="17"/>
        <v>0</v>
      </c>
      <c r="P64" s="104">
        <f t="shared" si="17"/>
        <v>0</v>
      </c>
    </row>
    <row r="65" spans="2:16">
      <c r="B65" s="96" t="s">
        <v>53</v>
      </c>
      <c r="C65" s="111">
        <v>25</v>
      </c>
      <c r="D65" s="97">
        <f t="shared" ref="D65:P65" si="18">D32*$C65</f>
        <v>0</v>
      </c>
      <c r="E65" s="104">
        <f t="shared" si="18"/>
        <v>0</v>
      </c>
      <c r="F65" s="104">
        <f t="shared" si="18"/>
        <v>0</v>
      </c>
      <c r="G65" s="104">
        <f t="shared" si="18"/>
        <v>0</v>
      </c>
      <c r="H65" s="104">
        <f t="shared" si="18"/>
        <v>0</v>
      </c>
      <c r="I65" s="104">
        <f t="shared" si="18"/>
        <v>0</v>
      </c>
      <c r="J65" s="104">
        <f t="shared" si="18"/>
        <v>0</v>
      </c>
      <c r="K65" s="104">
        <f t="shared" si="18"/>
        <v>0</v>
      </c>
      <c r="L65" s="104">
        <f t="shared" si="18"/>
        <v>0</v>
      </c>
      <c r="M65" s="104">
        <f t="shared" si="18"/>
        <v>0</v>
      </c>
      <c r="N65" s="104">
        <f t="shared" si="18"/>
        <v>0</v>
      </c>
      <c r="O65" s="104">
        <f t="shared" si="18"/>
        <v>0</v>
      </c>
      <c r="P65" s="104">
        <f t="shared" si="18"/>
        <v>0</v>
      </c>
    </row>
    <row r="66" spans="2:16">
      <c r="B66" s="96" t="s">
        <v>54</v>
      </c>
      <c r="C66" s="111">
        <v>4</v>
      </c>
      <c r="D66" s="97">
        <f t="shared" ref="D66:P66" si="19">D33*$C66</f>
        <v>0</v>
      </c>
      <c r="E66" s="104">
        <f t="shared" si="19"/>
        <v>0</v>
      </c>
      <c r="F66" s="104">
        <f t="shared" si="19"/>
        <v>0</v>
      </c>
      <c r="G66" s="104">
        <f t="shared" si="19"/>
        <v>0</v>
      </c>
      <c r="H66" s="104">
        <f t="shared" si="19"/>
        <v>0</v>
      </c>
      <c r="I66" s="104">
        <f t="shared" si="19"/>
        <v>0</v>
      </c>
      <c r="J66" s="104">
        <f t="shared" si="19"/>
        <v>0</v>
      </c>
      <c r="K66" s="104">
        <f t="shared" si="19"/>
        <v>0</v>
      </c>
      <c r="L66" s="104">
        <f t="shared" si="19"/>
        <v>0</v>
      </c>
      <c r="M66" s="104">
        <f t="shared" si="19"/>
        <v>0</v>
      </c>
      <c r="N66" s="104">
        <f t="shared" si="19"/>
        <v>0</v>
      </c>
      <c r="O66" s="104">
        <f t="shared" si="19"/>
        <v>0</v>
      </c>
      <c r="P66" s="104">
        <f t="shared" si="19"/>
        <v>0</v>
      </c>
    </row>
    <row r="67" spans="2:16">
      <c r="B67" s="96" t="s">
        <v>55</v>
      </c>
      <c r="C67" s="111">
        <v>50</v>
      </c>
      <c r="D67" s="97">
        <f t="shared" ref="D67:P67" si="20">D34*$C67</f>
        <v>0</v>
      </c>
      <c r="E67" s="104">
        <f t="shared" si="20"/>
        <v>0</v>
      </c>
      <c r="F67" s="104">
        <f t="shared" si="20"/>
        <v>0</v>
      </c>
      <c r="G67" s="104">
        <f t="shared" si="20"/>
        <v>0</v>
      </c>
      <c r="H67" s="104">
        <f t="shared" si="20"/>
        <v>0</v>
      </c>
      <c r="I67" s="104">
        <f t="shared" si="20"/>
        <v>0</v>
      </c>
      <c r="J67" s="104">
        <f t="shared" si="20"/>
        <v>0</v>
      </c>
      <c r="K67" s="104">
        <f t="shared" si="20"/>
        <v>0</v>
      </c>
      <c r="L67" s="104">
        <f t="shared" si="20"/>
        <v>0</v>
      </c>
      <c r="M67" s="104">
        <f t="shared" si="20"/>
        <v>0</v>
      </c>
      <c r="N67" s="104">
        <f t="shared" si="20"/>
        <v>0</v>
      </c>
      <c r="O67" s="104">
        <f t="shared" si="20"/>
        <v>0</v>
      </c>
      <c r="P67" s="104">
        <f t="shared" si="20"/>
        <v>0</v>
      </c>
    </row>
    <row r="68" spans="2:16">
      <c r="B68" s="96" t="s">
        <v>56</v>
      </c>
      <c r="C68" s="111">
        <v>30</v>
      </c>
      <c r="D68" s="97">
        <f t="shared" ref="D68:P68" si="21">D35*$C68</f>
        <v>0</v>
      </c>
      <c r="E68" s="104">
        <f t="shared" si="21"/>
        <v>0</v>
      </c>
      <c r="F68" s="104">
        <f t="shared" si="21"/>
        <v>0</v>
      </c>
      <c r="G68" s="104">
        <f t="shared" si="21"/>
        <v>0</v>
      </c>
      <c r="H68" s="104">
        <f t="shared" si="21"/>
        <v>0</v>
      </c>
      <c r="I68" s="104">
        <f t="shared" si="21"/>
        <v>0</v>
      </c>
      <c r="J68" s="104">
        <f t="shared" si="21"/>
        <v>0</v>
      </c>
      <c r="K68" s="104">
        <f t="shared" si="21"/>
        <v>0</v>
      </c>
      <c r="L68" s="104">
        <f t="shared" si="21"/>
        <v>0</v>
      </c>
      <c r="M68" s="104">
        <f t="shared" si="21"/>
        <v>0</v>
      </c>
      <c r="N68" s="104">
        <f t="shared" si="21"/>
        <v>0</v>
      </c>
      <c r="O68" s="104">
        <f t="shared" si="21"/>
        <v>0</v>
      </c>
      <c r="P68" s="104">
        <f t="shared" si="21"/>
        <v>0</v>
      </c>
    </row>
    <row r="69" spans="2:16">
      <c r="B69" s="96" t="s">
        <v>57</v>
      </c>
      <c r="C69" s="111">
        <v>20</v>
      </c>
      <c r="D69" s="97">
        <f t="shared" ref="D69:P69" si="22">D36*$C69</f>
        <v>3801840</v>
      </c>
      <c r="E69" s="104">
        <f t="shared" si="22"/>
        <v>0</v>
      </c>
      <c r="F69" s="104">
        <f t="shared" si="22"/>
        <v>0</v>
      </c>
      <c r="G69" s="104">
        <f t="shared" si="22"/>
        <v>715260</v>
      </c>
      <c r="H69" s="104">
        <f t="shared" si="22"/>
        <v>469560</v>
      </c>
      <c r="I69" s="104">
        <f t="shared" si="22"/>
        <v>462420</v>
      </c>
      <c r="J69" s="104">
        <f t="shared" si="22"/>
        <v>236880</v>
      </c>
      <c r="K69" s="104">
        <f t="shared" si="22"/>
        <v>484260</v>
      </c>
      <c r="L69" s="104">
        <f t="shared" si="22"/>
        <v>414120</v>
      </c>
      <c r="M69" s="104">
        <f t="shared" si="22"/>
        <v>402360</v>
      </c>
      <c r="N69" s="104">
        <f t="shared" si="22"/>
        <v>464100</v>
      </c>
      <c r="O69" s="104">
        <f t="shared" si="22"/>
        <v>152880</v>
      </c>
      <c r="P69" s="104">
        <f t="shared" si="22"/>
        <v>0</v>
      </c>
    </row>
    <row r="70" spans="2:16">
      <c r="B70" s="96" t="s">
        <v>58</v>
      </c>
      <c r="C70" s="111">
        <v>43</v>
      </c>
      <c r="D70" s="97">
        <f t="shared" ref="D70:P70" si="23">D37*$C70</f>
        <v>2591395</v>
      </c>
      <c r="E70" s="104">
        <f t="shared" si="23"/>
        <v>0</v>
      </c>
      <c r="F70" s="104">
        <f t="shared" si="23"/>
        <v>0</v>
      </c>
      <c r="G70" s="104">
        <f t="shared" si="23"/>
        <v>127194</v>
      </c>
      <c r="H70" s="104">
        <f t="shared" si="23"/>
        <v>114036</v>
      </c>
      <c r="I70" s="104">
        <f t="shared" si="23"/>
        <v>430559</v>
      </c>
      <c r="J70" s="104">
        <f t="shared" si="23"/>
        <v>355266</v>
      </c>
      <c r="K70" s="104">
        <f t="shared" si="23"/>
        <v>347956</v>
      </c>
      <c r="L70" s="104">
        <f t="shared" si="23"/>
        <v>334067</v>
      </c>
      <c r="M70" s="104">
        <f t="shared" si="23"/>
        <v>328950</v>
      </c>
      <c r="N70" s="104">
        <f t="shared" si="23"/>
        <v>553367</v>
      </c>
      <c r="O70" s="104">
        <f t="shared" si="23"/>
        <v>0</v>
      </c>
      <c r="P70" s="104">
        <f t="shared" si="23"/>
        <v>0</v>
      </c>
    </row>
    <row r="71" spans="2:16">
      <c r="B71" s="96" t="s">
        <v>59</v>
      </c>
      <c r="C71" s="112">
        <v>10</v>
      </c>
      <c r="D71" s="97">
        <f t="shared" ref="D71:P71" si="24">D38*$C71</f>
        <v>0</v>
      </c>
      <c r="E71" s="104">
        <f t="shared" si="24"/>
        <v>0</v>
      </c>
      <c r="F71" s="104">
        <f t="shared" si="24"/>
        <v>0</v>
      </c>
      <c r="G71" s="104">
        <f t="shared" si="24"/>
        <v>0</v>
      </c>
      <c r="H71" s="104">
        <f t="shared" si="24"/>
        <v>0</v>
      </c>
      <c r="I71" s="104">
        <f t="shared" si="24"/>
        <v>0</v>
      </c>
      <c r="J71" s="104">
        <f t="shared" si="24"/>
        <v>0</v>
      </c>
      <c r="K71" s="104">
        <f t="shared" si="24"/>
        <v>0</v>
      </c>
      <c r="L71" s="104">
        <f t="shared" si="24"/>
        <v>0</v>
      </c>
      <c r="M71" s="104">
        <f t="shared" si="24"/>
        <v>0</v>
      </c>
      <c r="N71" s="104">
        <f t="shared" si="24"/>
        <v>0</v>
      </c>
      <c r="O71" s="104">
        <f t="shared" si="24"/>
        <v>0</v>
      </c>
      <c r="P71" s="104">
        <f t="shared" si="24"/>
        <v>0</v>
      </c>
    </row>
    <row r="72" spans="2:16">
      <c r="B72" s="35" t="s">
        <v>85</v>
      </c>
      <c r="C72" s="113">
        <v>3.2</v>
      </c>
      <c r="D72" s="238">
        <f t="shared" ref="D72" si="25">D50*C72</f>
        <v>0</v>
      </c>
      <c r="E72" s="239">
        <f t="shared" ref="E72:P72" si="26">E50*$C71</f>
        <v>0</v>
      </c>
      <c r="F72" s="239">
        <f t="shared" si="26"/>
        <v>0</v>
      </c>
      <c r="G72" s="239">
        <f t="shared" si="26"/>
        <v>0</v>
      </c>
      <c r="H72" s="239">
        <f t="shared" si="26"/>
        <v>0</v>
      </c>
      <c r="I72" s="239">
        <f t="shared" si="26"/>
        <v>0</v>
      </c>
      <c r="J72" s="239">
        <f t="shared" si="26"/>
        <v>0</v>
      </c>
      <c r="K72" s="239">
        <f t="shared" si="26"/>
        <v>0</v>
      </c>
      <c r="L72" s="239">
        <f t="shared" si="26"/>
        <v>0</v>
      </c>
      <c r="M72" s="239">
        <f t="shared" si="26"/>
        <v>0</v>
      </c>
      <c r="N72" s="239">
        <f t="shared" si="26"/>
        <v>0</v>
      </c>
      <c r="O72" s="239">
        <f t="shared" si="26"/>
        <v>0</v>
      </c>
      <c r="P72" s="239">
        <f t="shared" si="26"/>
        <v>0</v>
      </c>
    </row>
    <row r="73" spans="2:16">
      <c r="B73" s="94" t="s">
        <v>322</v>
      </c>
      <c r="C73" s="237" t="s">
        <v>255</v>
      </c>
      <c r="D73" s="241">
        <f>+D70/(D69+D70)</f>
        <v>0.40533391936945851</v>
      </c>
      <c r="E73" s="242" t="e">
        <f t="shared" ref="E73:P73" si="27">+E70/E59</f>
        <v>#DIV/0!</v>
      </c>
      <c r="F73" s="242" t="e">
        <f t="shared" si="27"/>
        <v>#DIV/0!</v>
      </c>
      <c r="G73" s="242">
        <f t="shared" si="27"/>
        <v>0.15098035026244758</v>
      </c>
      <c r="H73" s="242">
        <f t="shared" si="27"/>
        <v>0.19540229885057472</v>
      </c>
      <c r="I73" s="242">
        <f t="shared" si="27"/>
        <v>0.4821602747657</v>
      </c>
      <c r="J73" s="242">
        <f t="shared" si="27"/>
        <v>0.59996352250965135</v>
      </c>
      <c r="K73" s="242">
        <f t="shared" si="27"/>
        <v>0.41810779893681449</v>
      </c>
      <c r="L73" s="242">
        <f t="shared" si="27"/>
        <v>0.44650201086092112</v>
      </c>
      <c r="M73" s="242">
        <f t="shared" si="27"/>
        <v>0.4498092464208065</v>
      </c>
      <c r="N73" s="242">
        <f t="shared" si="27"/>
        <v>0.54386727038813054</v>
      </c>
      <c r="O73" s="242">
        <f t="shared" si="27"/>
        <v>0</v>
      </c>
      <c r="P73" s="242" t="e">
        <f t="shared" si="27"/>
        <v>#DIV/0!</v>
      </c>
    </row>
    <row r="74" spans="2:16" ht="15.75">
      <c r="B74" s="240" t="s">
        <v>323</v>
      </c>
      <c r="C74" s="244">
        <f>+(D69+D70)/(D36+D37)</f>
        <v>25.536473915249026</v>
      </c>
      <c r="E74" s="243" t="e">
        <f t="shared" ref="E74:P74" si="28">+(E69+E70)/(E36+E37)</f>
        <v>#DIV/0!</v>
      </c>
      <c r="F74" s="243" t="e">
        <f t="shared" si="28"/>
        <v>#DIV/0!</v>
      </c>
      <c r="G74" s="243">
        <f t="shared" si="28"/>
        <v>21.757031068412488</v>
      </c>
      <c r="H74" s="243">
        <f t="shared" si="28"/>
        <v>22.334328358208957</v>
      </c>
      <c r="I74" s="243">
        <f t="shared" si="28"/>
        <v>26.950534194483009</v>
      </c>
      <c r="J74" s="243">
        <f t="shared" si="28"/>
        <v>29.451208594449419</v>
      </c>
      <c r="K74" s="243">
        <f t="shared" si="28"/>
        <v>25.76121343445287</v>
      </c>
      <c r="L74" s="243">
        <f t="shared" si="28"/>
        <v>26.275223880597014</v>
      </c>
      <c r="M74" s="243">
        <f t="shared" si="28"/>
        <v>26.336430423509075</v>
      </c>
      <c r="N74" s="243">
        <f t="shared" si="28"/>
        <v>28.204995287464655</v>
      </c>
      <c r="O74" s="243">
        <f t="shared" si="28"/>
        <v>20</v>
      </c>
      <c r="P74" s="243" t="e">
        <f t="shared" si="28"/>
        <v>#DIV/0!</v>
      </c>
    </row>
    <row r="76" spans="2:16">
      <c r="B76" s="318" t="s">
        <v>86</v>
      </c>
      <c r="C76" s="319"/>
      <c r="D76" s="108">
        <f>AVERAGEIF(E59:P59, "&gt;0")</f>
        <v>710359.4444444445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8" spans="2:16">
      <c r="B78" s="12" t="s">
        <v>87</v>
      </c>
      <c r="C78" s="13">
        <v>0.31</v>
      </c>
      <c r="D78" s="231">
        <f>SUM(E78:P78)</f>
        <v>1981902.85</v>
      </c>
      <c r="E78" s="14">
        <f t="shared" ref="E78:N78" si="29">E59*$C$78</f>
        <v>0</v>
      </c>
      <c r="F78" s="14">
        <f t="shared" si="29"/>
        <v>0</v>
      </c>
      <c r="G78" s="14">
        <f t="shared" si="29"/>
        <v>261160.74</v>
      </c>
      <c r="H78" s="14">
        <f t="shared" si="29"/>
        <v>180914.76</v>
      </c>
      <c r="I78" s="14">
        <f t="shared" si="29"/>
        <v>276823.49</v>
      </c>
      <c r="J78" s="14">
        <f t="shared" si="29"/>
        <v>183565.26</v>
      </c>
      <c r="K78" s="14">
        <f t="shared" si="29"/>
        <v>257986.96</v>
      </c>
      <c r="L78" s="14">
        <f t="shared" si="29"/>
        <v>231937.97</v>
      </c>
      <c r="M78" s="14">
        <f t="shared" si="29"/>
        <v>226706.1</v>
      </c>
      <c r="N78" s="14">
        <f t="shared" si="29"/>
        <v>315414.77</v>
      </c>
      <c r="O78" s="14">
        <f t="shared" ref="O78:P78" si="30">O59*$C$78</f>
        <v>47392.800000000003</v>
      </c>
      <c r="P78" s="14">
        <f t="shared" si="30"/>
        <v>0</v>
      </c>
    </row>
    <row r="79" spans="2:16">
      <c r="B79" s="16" t="s">
        <v>88</v>
      </c>
      <c r="C79" s="17">
        <v>60000</v>
      </c>
      <c r="D79" s="232">
        <f>SUM(E79:P79)</f>
        <v>720000</v>
      </c>
      <c r="E79" s="18">
        <f t="shared" ref="E79:P79" si="31">$C$79</f>
        <v>60000</v>
      </c>
      <c r="F79" s="18">
        <f t="shared" si="31"/>
        <v>60000</v>
      </c>
      <c r="G79" s="18">
        <f t="shared" si="31"/>
        <v>60000</v>
      </c>
      <c r="H79" s="18">
        <f t="shared" si="31"/>
        <v>60000</v>
      </c>
      <c r="I79" s="18">
        <f t="shared" si="31"/>
        <v>60000</v>
      </c>
      <c r="J79" s="18">
        <f t="shared" si="31"/>
        <v>60000</v>
      </c>
      <c r="K79" s="18">
        <f t="shared" si="31"/>
        <v>60000</v>
      </c>
      <c r="L79" s="18">
        <f t="shared" si="31"/>
        <v>60000</v>
      </c>
      <c r="M79" s="18">
        <f t="shared" si="31"/>
        <v>60000</v>
      </c>
      <c r="N79" s="18">
        <f t="shared" si="31"/>
        <v>60000</v>
      </c>
      <c r="O79" s="18">
        <f t="shared" si="31"/>
        <v>60000</v>
      </c>
      <c r="P79" s="18">
        <f t="shared" si="31"/>
        <v>60000</v>
      </c>
    </row>
    <row r="80" spans="2:16">
      <c r="B80" s="16" t="s">
        <v>89</v>
      </c>
      <c r="C80" s="17">
        <v>55000</v>
      </c>
      <c r="D80" s="232">
        <f>SUM(E80:P80)</f>
        <v>660000</v>
      </c>
      <c r="E80" s="18">
        <f t="shared" ref="E80:P80" si="32">$C$80</f>
        <v>55000</v>
      </c>
      <c r="F80" s="18">
        <f t="shared" si="32"/>
        <v>55000</v>
      </c>
      <c r="G80" s="18">
        <f t="shared" si="32"/>
        <v>55000</v>
      </c>
      <c r="H80" s="18">
        <f t="shared" si="32"/>
        <v>55000</v>
      </c>
      <c r="I80" s="18">
        <f t="shared" si="32"/>
        <v>55000</v>
      </c>
      <c r="J80" s="18">
        <f t="shared" si="32"/>
        <v>55000</v>
      </c>
      <c r="K80" s="18">
        <f t="shared" si="32"/>
        <v>55000</v>
      </c>
      <c r="L80" s="18">
        <f t="shared" si="32"/>
        <v>55000</v>
      </c>
      <c r="M80" s="18">
        <f t="shared" si="32"/>
        <v>55000</v>
      </c>
      <c r="N80" s="18">
        <f t="shared" si="32"/>
        <v>55000</v>
      </c>
      <c r="O80" s="18">
        <f t="shared" si="32"/>
        <v>55000</v>
      </c>
      <c r="P80" s="18">
        <f t="shared" si="32"/>
        <v>55000</v>
      </c>
    </row>
    <row r="81" spans="2:16">
      <c r="B81" s="20" t="s">
        <v>90</v>
      </c>
      <c r="C81" s="21">
        <v>7.4</v>
      </c>
      <c r="D81" s="233">
        <f>SUM(E81:P81)</f>
        <v>1398600</v>
      </c>
      <c r="E81" s="23">
        <f t="shared" ref="E81:N81" si="33">$C$81*E41</f>
        <v>66600</v>
      </c>
      <c r="F81" s="23">
        <f t="shared" si="33"/>
        <v>125800</v>
      </c>
      <c r="G81" s="23">
        <f t="shared" si="33"/>
        <v>118400</v>
      </c>
      <c r="H81" s="23">
        <f t="shared" si="33"/>
        <v>103600</v>
      </c>
      <c r="I81" s="23">
        <f t="shared" si="33"/>
        <v>133200</v>
      </c>
      <c r="J81" s="23">
        <f t="shared" si="33"/>
        <v>133200</v>
      </c>
      <c r="K81" s="23">
        <f t="shared" si="33"/>
        <v>140600</v>
      </c>
      <c r="L81" s="23">
        <f t="shared" si="33"/>
        <v>133200</v>
      </c>
      <c r="M81" s="23">
        <f t="shared" si="33"/>
        <v>125800</v>
      </c>
      <c r="N81" s="23">
        <f t="shared" si="33"/>
        <v>133200</v>
      </c>
      <c r="O81" s="23">
        <f t="shared" ref="O81:P81" si="34">$C$81*O41</f>
        <v>111000</v>
      </c>
      <c r="P81" s="23">
        <f t="shared" si="34"/>
        <v>74000</v>
      </c>
    </row>
    <row r="82" spans="2:16">
      <c r="B82" s="24" t="s">
        <v>91</v>
      </c>
      <c r="C82" s="25">
        <f>SUM(E82:P82)</f>
        <v>1632732.1500000001</v>
      </c>
      <c r="D82" s="174">
        <f t="shared" ref="D82:N82" si="35">D59-D78-D79-D80-D81</f>
        <v>1632732.1500000004</v>
      </c>
      <c r="E82" s="26">
        <f t="shared" si="35"/>
        <v>-181600</v>
      </c>
      <c r="F82" s="26">
        <f t="shared" si="35"/>
        <v>-240800</v>
      </c>
      <c r="G82" s="26">
        <f t="shared" si="35"/>
        <v>347893.26</v>
      </c>
      <c r="H82" s="26">
        <f t="shared" si="35"/>
        <v>184081.24</v>
      </c>
      <c r="I82" s="26">
        <f t="shared" si="35"/>
        <v>367955.51</v>
      </c>
      <c r="J82" s="26">
        <f t="shared" si="35"/>
        <v>160380.74</v>
      </c>
      <c r="K82" s="26">
        <f t="shared" si="35"/>
        <v>318629.04000000004</v>
      </c>
      <c r="L82" s="26">
        <f t="shared" si="35"/>
        <v>268049.03000000003</v>
      </c>
      <c r="M82" s="26">
        <f t="shared" si="35"/>
        <v>263803.90000000002</v>
      </c>
      <c r="N82" s="26">
        <f t="shared" si="35"/>
        <v>453852.23</v>
      </c>
      <c r="O82" s="26">
        <f t="shared" ref="O82:P82" si="36">O59-O78-O79-O80-O81</f>
        <v>-120512.8</v>
      </c>
      <c r="P82" s="26">
        <f t="shared" si="36"/>
        <v>-189000</v>
      </c>
    </row>
    <row r="83" spans="2:16">
      <c r="B83" s="320" t="s">
        <v>92</v>
      </c>
      <c r="C83" s="321"/>
      <c r="D83" s="326"/>
      <c r="E83" s="29">
        <f>E82+'Tur 3 2023'!AH83</f>
        <v>5259214.8099999996</v>
      </c>
      <c r="F83" s="29">
        <f t="shared" ref="F83:N83" si="37">F82+E83</f>
        <v>5018414.8099999996</v>
      </c>
      <c r="G83" s="29">
        <f t="shared" si="37"/>
        <v>5366308.0699999994</v>
      </c>
      <c r="H83" s="29">
        <f t="shared" si="37"/>
        <v>5550389.3099999996</v>
      </c>
      <c r="I83" s="29">
        <f t="shared" si="37"/>
        <v>5918344.8199999994</v>
      </c>
      <c r="J83" s="29">
        <f t="shared" si="37"/>
        <v>6078725.5599999996</v>
      </c>
      <c r="K83" s="29">
        <f t="shared" si="37"/>
        <v>6397354.5999999996</v>
      </c>
      <c r="L83" s="29">
        <f t="shared" si="37"/>
        <v>6665403.6299999999</v>
      </c>
      <c r="M83" s="29">
        <f t="shared" si="37"/>
        <v>6929207.5300000003</v>
      </c>
      <c r="N83" s="29">
        <f t="shared" si="37"/>
        <v>7383059.7599999998</v>
      </c>
      <c r="O83" s="29">
        <f t="shared" ref="O83" si="38">O82+N83</f>
        <v>7262546.96</v>
      </c>
      <c r="P83" s="29">
        <f t="shared" ref="P83" si="39">P82+O83</f>
        <v>7073546.96</v>
      </c>
    </row>
    <row r="84" spans="2:16">
      <c r="D84" s="258">
        <f>+D82/D59</f>
        <v>0.25538434767375207</v>
      </c>
    </row>
    <row r="86" spans="2:16">
      <c r="B86" s="30" t="s">
        <v>93</v>
      </c>
      <c r="C86" s="31">
        <f>D41/D26</f>
        <v>0.75492197142480533</v>
      </c>
    </row>
    <row r="89" spans="2:16">
      <c r="B89" s="227"/>
      <c r="C89" s="227"/>
    </row>
    <row r="92" spans="2:16">
      <c r="B92" s="227"/>
      <c r="C92" s="227"/>
    </row>
    <row r="93" spans="2:16">
      <c r="B93" s="227"/>
      <c r="C93" s="227"/>
    </row>
  </sheetData>
  <mergeCells count="6">
    <mergeCell ref="B83:D83"/>
    <mergeCell ref="A26:A38"/>
    <mergeCell ref="A41:A42"/>
    <mergeCell ref="A46:A51"/>
    <mergeCell ref="A53:A57"/>
    <mergeCell ref="B76:C76"/>
  </mergeCells>
  <conditionalFormatting sqref="E83:P83 B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0239-0C83-4801-B5F7-29648B924C5B}">
  <dimension ref="A2:AL93"/>
  <sheetViews>
    <sheetView showGridLines="0" topLeftCell="A10" workbookViewId="0">
      <selection activeCell="B60" sqref="B60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6" max="6" width="11.140625" customWidth="1"/>
    <col min="7" max="7" width="13.85546875" bestFit="1" customWidth="1"/>
    <col min="8" max="8" width="11.28515625" bestFit="1" customWidth="1"/>
  </cols>
  <sheetData>
    <row r="2" spans="2:38" ht="15.75">
      <c r="B2" s="54" t="s">
        <v>0</v>
      </c>
      <c r="C2" s="109" t="s">
        <v>1</v>
      </c>
    </row>
    <row r="3" spans="2:38" ht="15.75">
      <c r="B3" s="54" t="s">
        <v>2</v>
      </c>
      <c r="C3" s="109"/>
    </row>
    <row r="4" spans="2:38" ht="15.75">
      <c r="B4" s="54" t="s">
        <v>3</v>
      </c>
      <c r="C4" s="110">
        <v>45054</v>
      </c>
    </row>
    <row r="5" spans="2:38" ht="15.75">
      <c r="B5" s="54" t="s">
        <v>4</v>
      </c>
      <c r="C5" s="110">
        <v>45089</v>
      </c>
    </row>
    <row r="6" spans="2:38" ht="15.75">
      <c r="B6" s="179" t="s">
        <v>230</v>
      </c>
      <c r="C6" s="110" t="s">
        <v>247</v>
      </c>
    </row>
    <row r="7" spans="2:38" ht="15.75">
      <c r="B7" s="2"/>
      <c r="C7" s="2"/>
    </row>
    <row r="8" spans="2:38" ht="15.75">
      <c r="B8" s="54" t="s">
        <v>5</v>
      </c>
      <c r="D8" s="41" t="s">
        <v>6</v>
      </c>
      <c r="E8" s="42">
        <v>45055</v>
      </c>
      <c r="F8" s="42">
        <v>45056</v>
      </c>
      <c r="G8" s="42">
        <v>45057</v>
      </c>
      <c r="H8" s="42">
        <v>45058</v>
      </c>
      <c r="I8" s="42">
        <v>45059</v>
      </c>
      <c r="J8" s="42">
        <v>45060</v>
      </c>
      <c r="K8" s="42">
        <v>45061</v>
      </c>
      <c r="L8" s="42">
        <v>45062</v>
      </c>
      <c r="M8" s="42">
        <v>45063</v>
      </c>
      <c r="N8" s="42">
        <v>45064</v>
      </c>
      <c r="O8" s="42">
        <v>45065</v>
      </c>
      <c r="P8" s="42">
        <v>45066</v>
      </c>
      <c r="Q8" s="42">
        <v>45067</v>
      </c>
      <c r="R8" s="42">
        <v>45068</v>
      </c>
      <c r="S8" s="42">
        <v>45069</v>
      </c>
      <c r="T8" s="42">
        <v>45070</v>
      </c>
      <c r="U8" s="42">
        <v>45071</v>
      </c>
      <c r="V8" s="42">
        <v>45072</v>
      </c>
      <c r="W8" s="42">
        <v>45073</v>
      </c>
      <c r="X8" s="42">
        <v>45074</v>
      </c>
      <c r="Y8" s="42">
        <v>45075</v>
      </c>
      <c r="Z8" s="42">
        <v>45076</v>
      </c>
      <c r="AA8" s="42">
        <v>45077</v>
      </c>
      <c r="AB8" s="42">
        <v>45078</v>
      </c>
      <c r="AC8" s="42">
        <v>45079</v>
      </c>
      <c r="AD8" s="42">
        <v>45080</v>
      </c>
      <c r="AE8" s="42">
        <v>45081</v>
      </c>
      <c r="AF8" s="42">
        <v>45082</v>
      </c>
      <c r="AG8" s="42">
        <v>45083</v>
      </c>
      <c r="AH8" s="42">
        <v>45084</v>
      </c>
      <c r="AI8" s="42">
        <v>45085</v>
      </c>
      <c r="AJ8" s="42">
        <v>45086</v>
      </c>
      <c r="AK8" s="42">
        <v>45087</v>
      </c>
      <c r="AL8" s="42">
        <v>45088</v>
      </c>
    </row>
    <row r="9" spans="2:38">
      <c r="B9" s="46" t="s">
        <v>7</v>
      </c>
      <c r="C9" s="47" t="s">
        <v>8</v>
      </c>
      <c r="D9" s="71">
        <f>SUM(E9:N9)</f>
        <v>193</v>
      </c>
      <c r="E9" s="114">
        <v>0</v>
      </c>
      <c r="F9" s="114">
        <v>11</v>
      </c>
      <c r="G9" s="114">
        <v>24</v>
      </c>
      <c r="H9" s="114">
        <v>24</v>
      </c>
      <c r="I9" s="114">
        <v>20</v>
      </c>
      <c r="J9" s="114">
        <v>22</v>
      </c>
      <c r="K9" s="114">
        <v>24</v>
      </c>
      <c r="L9" s="114">
        <v>24</v>
      </c>
      <c r="M9" s="114">
        <v>24</v>
      </c>
      <c r="N9" s="114">
        <v>20</v>
      </c>
      <c r="O9" s="114">
        <v>17</v>
      </c>
      <c r="P9" s="114">
        <v>24</v>
      </c>
      <c r="Q9" s="114">
        <v>8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14</v>
      </c>
      <c r="AE9" s="114">
        <v>14</v>
      </c>
      <c r="AF9" s="114">
        <v>0</v>
      </c>
      <c r="AG9" s="114">
        <v>11</v>
      </c>
      <c r="AH9" s="114">
        <v>24</v>
      </c>
      <c r="AI9" s="114">
        <v>24</v>
      </c>
      <c r="AJ9" s="114">
        <v>24</v>
      </c>
      <c r="AK9" s="114">
        <v>0</v>
      </c>
      <c r="AL9" s="114">
        <v>0</v>
      </c>
    </row>
    <row r="10" spans="2:38">
      <c r="B10" s="48" t="s">
        <v>9</v>
      </c>
      <c r="C10" s="38" t="s">
        <v>8</v>
      </c>
      <c r="D10" s="71">
        <f t="shared" ref="D10:D16" si="0">SUM(E10:K10)</f>
        <v>13</v>
      </c>
      <c r="E10" s="115">
        <v>0</v>
      </c>
      <c r="F10" s="115">
        <v>13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4</v>
      </c>
      <c r="O10" s="115">
        <v>7</v>
      </c>
      <c r="P10" s="115">
        <v>0</v>
      </c>
      <c r="Q10" s="115">
        <v>16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10</v>
      </c>
      <c r="AE10" s="115">
        <v>0</v>
      </c>
      <c r="AF10" s="115">
        <v>0</v>
      </c>
      <c r="AG10" s="115">
        <v>10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</row>
    <row r="11" spans="2:38">
      <c r="B11" s="48" t="s">
        <v>10</v>
      </c>
      <c r="C11" s="38" t="s">
        <v>8</v>
      </c>
      <c r="D11" s="71">
        <f t="shared" si="0"/>
        <v>30</v>
      </c>
      <c r="E11" s="115">
        <v>24</v>
      </c>
      <c r="F11" s="115">
        <v>0</v>
      </c>
      <c r="G11" s="115">
        <v>0</v>
      </c>
      <c r="H11" s="115">
        <v>0</v>
      </c>
      <c r="I11" s="115">
        <v>4</v>
      </c>
      <c r="J11" s="115">
        <v>2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</row>
    <row r="12" spans="2:38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10</v>
      </c>
      <c r="AF12" s="115">
        <v>6</v>
      </c>
      <c r="AG12" s="115">
        <v>0</v>
      </c>
      <c r="AH12" s="115">
        <v>0</v>
      </c>
      <c r="AI12" s="115">
        <v>0</v>
      </c>
      <c r="AJ12" s="115">
        <v>0</v>
      </c>
      <c r="AK12" s="115">
        <v>24</v>
      </c>
      <c r="AL12" s="115">
        <v>24</v>
      </c>
    </row>
    <row r="13" spans="2:38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16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</row>
    <row r="14" spans="2:38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2</v>
      </c>
      <c r="AG14" s="115">
        <v>3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</row>
    <row r="15" spans="2:38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</row>
    <row r="16" spans="2:38">
      <c r="B16" s="68" t="s">
        <v>15</v>
      </c>
      <c r="C16" s="69" t="s">
        <v>8</v>
      </c>
      <c r="D16" s="70">
        <f t="shared" si="0"/>
        <v>168</v>
      </c>
      <c r="E16" s="117">
        <f t="shared" ref="E16:AL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24</v>
      </c>
    </row>
    <row r="18" spans="1:38">
      <c r="B18" s="50" t="s">
        <v>16</v>
      </c>
      <c r="C18" s="50" t="s">
        <v>0</v>
      </c>
      <c r="D18" s="226">
        <f>SUM(E18:K18)</f>
        <v>0</v>
      </c>
      <c r="E18" s="226">
        <v>0</v>
      </c>
      <c r="F18" s="127">
        <v>0</v>
      </c>
      <c r="G18" s="127" t="s">
        <v>22</v>
      </c>
      <c r="H18" s="127" t="s">
        <v>22</v>
      </c>
      <c r="I18" s="127" t="s">
        <v>22</v>
      </c>
      <c r="J18" s="127" t="s">
        <v>22</v>
      </c>
      <c r="K18" s="127" t="s">
        <v>22</v>
      </c>
      <c r="L18" s="127" t="s">
        <v>22</v>
      </c>
      <c r="M18" s="127" t="s">
        <v>22</v>
      </c>
      <c r="N18" s="127" t="s">
        <v>122</v>
      </c>
      <c r="O18" s="127" t="s">
        <v>324</v>
      </c>
      <c r="P18" s="127" t="s">
        <v>325</v>
      </c>
      <c r="Q18" s="127" t="s">
        <v>22</v>
      </c>
      <c r="R18" s="127" t="s">
        <v>22</v>
      </c>
      <c r="S18" s="127" t="s">
        <v>22</v>
      </c>
      <c r="T18" s="127" t="s">
        <v>22</v>
      </c>
      <c r="U18" s="127" t="s">
        <v>22</v>
      </c>
      <c r="V18" s="127" t="s">
        <v>22</v>
      </c>
      <c r="W18" s="127" t="s">
        <v>22</v>
      </c>
      <c r="X18" s="127" t="s">
        <v>22</v>
      </c>
      <c r="Y18" s="127" t="s">
        <v>22</v>
      </c>
      <c r="Z18" s="127" t="s">
        <v>22</v>
      </c>
      <c r="AA18" s="127" t="s">
        <v>22</v>
      </c>
      <c r="AB18" s="127" t="s">
        <v>22</v>
      </c>
      <c r="AC18" s="127" t="s">
        <v>22</v>
      </c>
      <c r="AD18" s="127" t="s">
        <v>326</v>
      </c>
      <c r="AE18" s="127" t="s">
        <v>325</v>
      </c>
      <c r="AF18" s="127" t="s">
        <v>203</v>
      </c>
      <c r="AG18" s="127" t="s">
        <v>327</v>
      </c>
      <c r="AH18" s="127" t="s">
        <v>328</v>
      </c>
      <c r="AI18" s="127" t="s">
        <v>329</v>
      </c>
      <c r="AJ18" s="127" t="s">
        <v>325</v>
      </c>
      <c r="AK18" s="127" t="s">
        <v>330</v>
      </c>
      <c r="AL18" s="196" t="s">
        <v>330</v>
      </c>
    </row>
    <row r="19" spans="1:38">
      <c r="B19" s="37" t="s">
        <v>31</v>
      </c>
      <c r="C19" s="37" t="s">
        <v>32</v>
      </c>
      <c r="D19" s="235">
        <f>SUM(E19:K19)</f>
        <v>61</v>
      </c>
      <c r="E19" s="126">
        <v>0</v>
      </c>
      <c r="F19" s="128">
        <v>6</v>
      </c>
      <c r="G19" s="128">
        <v>15</v>
      </c>
      <c r="H19" s="128">
        <v>18</v>
      </c>
      <c r="I19" s="128" t="s">
        <v>331</v>
      </c>
      <c r="J19" s="128">
        <v>8</v>
      </c>
      <c r="K19" s="128">
        <v>14</v>
      </c>
      <c r="L19" s="128">
        <v>16</v>
      </c>
      <c r="M19" s="128">
        <v>15</v>
      </c>
      <c r="N19" s="128">
        <v>18</v>
      </c>
      <c r="O19" s="128" t="s">
        <v>332</v>
      </c>
      <c r="P19" s="128">
        <v>19</v>
      </c>
      <c r="Q19" s="128">
        <v>7</v>
      </c>
      <c r="R19" s="128" t="s">
        <v>184</v>
      </c>
      <c r="S19" s="128" t="s">
        <v>187</v>
      </c>
      <c r="T19" s="128" t="s">
        <v>34</v>
      </c>
      <c r="U19" s="128">
        <v>15</v>
      </c>
      <c r="V19" s="128">
        <v>11</v>
      </c>
      <c r="W19" s="128" t="s">
        <v>145</v>
      </c>
      <c r="X19" s="128" t="s">
        <v>189</v>
      </c>
      <c r="Y19" s="128">
        <v>17</v>
      </c>
      <c r="Z19" s="128">
        <v>17</v>
      </c>
      <c r="AA19" s="128">
        <v>14</v>
      </c>
      <c r="AB19" s="128" t="s">
        <v>183</v>
      </c>
      <c r="AC19" s="128">
        <v>24</v>
      </c>
      <c r="AD19" s="128">
        <v>10</v>
      </c>
      <c r="AE19" s="128">
        <v>7</v>
      </c>
      <c r="AF19" s="128">
        <v>0</v>
      </c>
      <c r="AG19" s="128">
        <v>7</v>
      </c>
      <c r="AH19" s="128">
        <v>13</v>
      </c>
      <c r="AI19" s="128" t="s">
        <v>34</v>
      </c>
      <c r="AJ19" s="128">
        <v>18</v>
      </c>
      <c r="AK19" s="128">
        <v>0</v>
      </c>
      <c r="AL19" s="197">
        <v>0</v>
      </c>
    </row>
    <row r="20" spans="1:38">
      <c r="B20" s="37" t="s">
        <v>35</v>
      </c>
      <c r="C20" s="37" t="s">
        <v>36</v>
      </c>
      <c r="D20" s="235">
        <f>SUM(E20:K20)</f>
        <v>16</v>
      </c>
      <c r="E20" s="126">
        <v>0</v>
      </c>
      <c r="F20" s="128">
        <v>1</v>
      </c>
      <c r="G20" s="128">
        <v>3</v>
      </c>
      <c r="H20" s="128">
        <v>3</v>
      </c>
      <c r="I20" s="128">
        <v>2</v>
      </c>
      <c r="J20" s="128">
        <v>3</v>
      </c>
      <c r="K20" s="128">
        <v>4</v>
      </c>
      <c r="L20" s="128">
        <v>3</v>
      </c>
      <c r="M20" s="128">
        <v>3</v>
      </c>
      <c r="N20" s="128">
        <v>3</v>
      </c>
      <c r="O20" s="128">
        <v>3</v>
      </c>
      <c r="P20" s="128">
        <v>4</v>
      </c>
      <c r="Q20" s="128">
        <v>2</v>
      </c>
      <c r="R20" s="128">
        <v>3</v>
      </c>
      <c r="S20" s="128">
        <v>2</v>
      </c>
      <c r="T20" s="128">
        <v>4</v>
      </c>
      <c r="U20" s="128">
        <v>3</v>
      </c>
      <c r="V20" s="128">
        <v>3</v>
      </c>
      <c r="W20" s="128">
        <v>3</v>
      </c>
      <c r="X20" s="128">
        <v>3</v>
      </c>
      <c r="Y20" s="128">
        <v>3</v>
      </c>
      <c r="Z20" s="128">
        <v>3</v>
      </c>
      <c r="AA20" s="128">
        <v>2</v>
      </c>
      <c r="AB20" s="128">
        <v>3</v>
      </c>
      <c r="AC20" s="128">
        <v>4</v>
      </c>
      <c r="AD20" s="128">
        <v>2</v>
      </c>
      <c r="AE20" s="128">
        <v>3</v>
      </c>
      <c r="AF20" s="128">
        <v>0</v>
      </c>
      <c r="AG20" s="128">
        <v>2</v>
      </c>
      <c r="AH20" s="128">
        <v>3</v>
      </c>
      <c r="AI20" s="128">
        <v>4</v>
      </c>
      <c r="AJ20" s="128">
        <v>4</v>
      </c>
      <c r="AK20" s="128">
        <v>0</v>
      </c>
      <c r="AL20" s="197">
        <v>0</v>
      </c>
    </row>
    <row r="21" spans="1:38">
      <c r="B21" s="39" t="s">
        <v>37</v>
      </c>
      <c r="C21" s="39" t="s">
        <v>38</v>
      </c>
      <c r="D21" s="160">
        <f>SUM(E21:K21)</f>
        <v>0</v>
      </c>
      <c r="E21" s="160">
        <v>0</v>
      </c>
      <c r="F21" s="225" t="s">
        <v>333</v>
      </c>
      <c r="G21" s="225" t="s">
        <v>333</v>
      </c>
      <c r="H21" s="225" t="s">
        <v>333</v>
      </c>
      <c r="I21" s="225" t="s">
        <v>40</v>
      </c>
      <c r="J21" s="225" t="s">
        <v>40</v>
      </c>
      <c r="K21" s="225" t="s">
        <v>333</v>
      </c>
      <c r="L21" s="225" t="s">
        <v>333</v>
      </c>
      <c r="M21" s="225" t="s">
        <v>333</v>
      </c>
      <c r="N21" s="225" t="s">
        <v>334</v>
      </c>
      <c r="O21" s="225" t="s">
        <v>40</v>
      </c>
      <c r="P21" s="225" t="s">
        <v>40</v>
      </c>
      <c r="Q21" s="225" t="s">
        <v>335</v>
      </c>
      <c r="R21" s="225" t="s">
        <v>333</v>
      </c>
      <c r="S21" s="225" t="s">
        <v>333</v>
      </c>
      <c r="T21" s="225" t="s">
        <v>40</v>
      </c>
      <c r="U21" s="225" t="s">
        <v>40</v>
      </c>
      <c r="V21" s="225" t="s">
        <v>40</v>
      </c>
      <c r="W21" s="225" t="s">
        <v>336</v>
      </c>
      <c r="X21" s="225" t="s">
        <v>333</v>
      </c>
      <c r="Y21" s="225" t="s">
        <v>333</v>
      </c>
      <c r="Z21" s="225" t="s">
        <v>333</v>
      </c>
      <c r="AA21" s="225" t="s">
        <v>333</v>
      </c>
      <c r="AB21" s="225" t="s">
        <v>333</v>
      </c>
      <c r="AC21" s="225" t="s">
        <v>333</v>
      </c>
      <c r="AD21" s="225" t="s">
        <v>337</v>
      </c>
      <c r="AE21" s="225" t="s">
        <v>40</v>
      </c>
      <c r="AF21" s="225">
        <v>0</v>
      </c>
      <c r="AG21" s="225" t="s">
        <v>40</v>
      </c>
      <c r="AH21" s="225" t="s">
        <v>40</v>
      </c>
      <c r="AI21" s="225" t="s">
        <v>40</v>
      </c>
      <c r="AJ21" s="225" t="s">
        <v>40</v>
      </c>
      <c r="AK21" s="225">
        <v>0</v>
      </c>
      <c r="AL21" s="57">
        <v>0</v>
      </c>
    </row>
    <row r="22" spans="1:38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4" spans="1:38">
      <c r="B24" s="167" t="s">
        <v>43</v>
      </c>
      <c r="C24" s="168">
        <f>D26/D19</f>
        <v>16760.672131147541</v>
      </c>
    </row>
    <row r="25" spans="1:38">
      <c r="D25" s="10"/>
    </row>
    <row r="26" spans="1:38">
      <c r="A26" s="312" t="s">
        <v>44</v>
      </c>
      <c r="B26" s="35" t="s">
        <v>45</v>
      </c>
      <c r="C26" s="35"/>
      <c r="D26" s="175">
        <f t="shared" ref="D26:D38" si="2">SUM(E26:AL26)</f>
        <v>1022401</v>
      </c>
      <c r="E26" s="75">
        <f t="shared" ref="E26:AL26" si="3">SUM(E27:E38)</f>
        <v>0</v>
      </c>
      <c r="F26" s="175">
        <f t="shared" si="3"/>
        <v>3726</v>
      </c>
      <c r="G26" s="75">
        <f t="shared" si="3"/>
        <v>50533</v>
      </c>
      <c r="H26" s="175">
        <f t="shared" si="3"/>
        <v>55726</v>
      </c>
      <c r="I26" s="75">
        <f t="shared" si="3"/>
        <v>33714</v>
      </c>
      <c r="J26" s="175">
        <f t="shared" si="3"/>
        <v>49751</v>
      </c>
      <c r="K26" s="75">
        <f t="shared" si="3"/>
        <v>56938</v>
      </c>
      <c r="L26" s="175">
        <f t="shared" si="3"/>
        <v>28266</v>
      </c>
      <c r="M26" s="75">
        <f t="shared" si="3"/>
        <v>16938</v>
      </c>
      <c r="N26" s="175">
        <f t="shared" si="3"/>
        <v>9320</v>
      </c>
      <c r="O26" s="75">
        <f t="shared" si="3"/>
        <v>16581</v>
      </c>
      <c r="P26" s="175">
        <f t="shared" si="3"/>
        <v>40392</v>
      </c>
      <c r="Q26" s="75">
        <f t="shared" si="3"/>
        <v>10078</v>
      </c>
      <c r="R26" s="175">
        <f t="shared" si="3"/>
        <v>47379</v>
      </c>
      <c r="S26" s="75">
        <f t="shared" si="3"/>
        <v>13496</v>
      </c>
      <c r="T26" s="175">
        <f t="shared" si="3"/>
        <v>23338</v>
      </c>
      <c r="U26" s="75">
        <f t="shared" si="3"/>
        <v>33778</v>
      </c>
      <c r="V26" s="175">
        <f t="shared" si="3"/>
        <v>49831</v>
      </c>
      <c r="W26" s="75">
        <f t="shared" si="3"/>
        <v>33746</v>
      </c>
      <c r="X26" s="175">
        <f t="shared" si="3"/>
        <v>32598</v>
      </c>
      <c r="Y26" s="75">
        <f t="shared" si="3"/>
        <v>44412</v>
      </c>
      <c r="Z26" s="175">
        <f t="shared" si="3"/>
        <v>53569</v>
      </c>
      <c r="AA26" s="75">
        <f t="shared" si="3"/>
        <v>28192</v>
      </c>
      <c r="AB26" s="175">
        <f t="shared" si="3"/>
        <v>4765</v>
      </c>
      <c r="AC26" s="75">
        <f t="shared" si="3"/>
        <v>56506</v>
      </c>
      <c r="AD26" s="175">
        <f t="shared" si="3"/>
        <v>9724</v>
      </c>
      <c r="AE26" s="75">
        <f t="shared" si="3"/>
        <v>35973</v>
      </c>
      <c r="AF26" s="175">
        <f t="shared" si="3"/>
        <v>0</v>
      </c>
      <c r="AG26" s="75">
        <f t="shared" si="3"/>
        <v>20425</v>
      </c>
      <c r="AH26" s="175">
        <f t="shared" si="3"/>
        <v>54892</v>
      </c>
      <c r="AI26" s="75">
        <f t="shared" si="3"/>
        <v>65867</v>
      </c>
      <c r="AJ26" s="175">
        <f t="shared" si="3"/>
        <v>41947</v>
      </c>
      <c r="AK26" s="75">
        <f t="shared" si="3"/>
        <v>0</v>
      </c>
      <c r="AL26" s="176">
        <f t="shared" si="3"/>
        <v>0</v>
      </c>
    </row>
    <row r="27" spans="1:38">
      <c r="A27" s="313"/>
      <c r="B27" s="37" t="s">
        <v>47</v>
      </c>
      <c r="C27" s="38" t="s">
        <v>48</v>
      </c>
      <c r="D27" s="73">
        <f t="shared" si="2"/>
        <v>13191</v>
      </c>
      <c r="E27" s="55">
        <v>0</v>
      </c>
      <c r="F27" s="55">
        <v>141</v>
      </c>
      <c r="G27" s="55">
        <v>98</v>
      </c>
      <c r="H27" s="55">
        <v>0</v>
      </c>
      <c r="I27" s="55">
        <v>0</v>
      </c>
      <c r="J27" s="55">
        <v>1488</v>
      </c>
      <c r="K27" s="55">
        <v>1001</v>
      </c>
      <c r="L27" s="55">
        <v>49</v>
      </c>
      <c r="M27" s="55">
        <v>147</v>
      </c>
      <c r="N27" s="55">
        <v>333</v>
      </c>
      <c r="O27" s="55">
        <v>573</v>
      </c>
      <c r="P27" s="55">
        <v>952</v>
      </c>
      <c r="Q27" s="55">
        <v>48</v>
      </c>
      <c r="R27" s="55">
        <v>0</v>
      </c>
      <c r="S27" s="55">
        <v>0</v>
      </c>
      <c r="T27" s="55">
        <v>2122</v>
      </c>
      <c r="U27" s="55">
        <v>681</v>
      </c>
      <c r="V27" s="55">
        <v>660</v>
      </c>
      <c r="W27" s="55">
        <v>1979</v>
      </c>
      <c r="X27" s="55">
        <v>192</v>
      </c>
      <c r="Y27" s="55">
        <v>237</v>
      </c>
      <c r="Z27" s="55">
        <v>94</v>
      </c>
      <c r="AA27" s="55">
        <v>768</v>
      </c>
      <c r="AB27" s="55">
        <v>94</v>
      </c>
      <c r="AC27" s="55">
        <v>49</v>
      </c>
      <c r="AD27" s="55">
        <v>191</v>
      </c>
      <c r="AE27" s="55">
        <v>143</v>
      </c>
      <c r="AF27" s="55">
        <v>0</v>
      </c>
      <c r="AG27" s="55">
        <v>143</v>
      </c>
      <c r="AH27" s="55">
        <v>97</v>
      </c>
      <c r="AI27" s="55">
        <v>341</v>
      </c>
      <c r="AJ27" s="55">
        <v>570</v>
      </c>
      <c r="AK27" s="55">
        <v>0</v>
      </c>
      <c r="AL27" s="55">
        <v>0</v>
      </c>
    </row>
    <row r="28" spans="1:38">
      <c r="A28" s="313"/>
      <c r="B28" s="37" t="s">
        <v>49</v>
      </c>
      <c r="C28" s="38" t="s">
        <v>48</v>
      </c>
      <c r="D28" s="73">
        <f t="shared" si="2"/>
        <v>13814</v>
      </c>
      <c r="E28" s="55">
        <v>0</v>
      </c>
      <c r="F28" s="55">
        <v>802</v>
      </c>
      <c r="G28" s="55">
        <v>906</v>
      </c>
      <c r="H28" s="55">
        <v>286</v>
      </c>
      <c r="I28" s="55">
        <v>288</v>
      </c>
      <c r="J28" s="55">
        <v>0</v>
      </c>
      <c r="K28" s="55">
        <v>572</v>
      </c>
      <c r="L28" s="55">
        <v>336</v>
      </c>
      <c r="M28" s="55">
        <v>576</v>
      </c>
      <c r="N28" s="55">
        <v>960</v>
      </c>
      <c r="O28" s="55">
        <v>2266</v>
      </c>
      <c r="P28" s="55">
        <v>472</v>
      </c>
      <c r="Q28" s="55">
        <v>278</v>
      </c>
      <c r="R28" s="55">
        <v>382</v>
      </c>
      <c r="S28" s="55">
        <v>432</v>
      </c>
      <c r="T28" s="55">
        <v>864</v>
      </c>
      <c r="U28" s="55">
        <v>576</v>
      </c>
      <c r="V28" s="55">
        <v>288</v>
      </c>
      <c r="W28" s="55">
        <v>384</v>
      </c>
      <c r="X28" s="55">
        <v>288</v>
      </c>
      <c r="Y28" s="55">
        <v>240</v>
      </c>
      <c r="Z28" s="55">
        <v>144</v>
      </c>
      <c r="AA28" s="55">
        <v>384</v>
      </c>
      <c r="AB28" s="55">
        <v>142</v>
      </c>
      <c r="AC28" s="55">
        <v>384</v>
      </c>
      <c r="AD28" s="55">
        <v>286</v>
      </c>
      <c r="AE28" s="55">
        <v>472</v>
      </c>
      <c r="AF28" s="55">
        <v>0</v>
      </c>
      <c r="AG28" s="55">
        <v>94</v>
      </c>
      <c r="AH28" s="55">
        <v>142</v>
      </c>
      <c r="AI28" s="55">
        <v>192</v>
      </c>
      <c r="AJ28" s="55">
        <v>378</v>
      </c>
      <c r="AK28" s="55">
        <v>0</v>
      </c>
      <c r="AL28" s="55">
        <v>0</v>
      </c>
    </row>
    <row r="29" spans="1:38">
      <c r="A29" s="313"/>
      <c r="B29" s="37" t="s">
        <v>50</v>
      </c>
      <c r="C29" s="38" t="s">
        <v>48</v>
      </c>
      <c r="D29" s="73">
        <f t="shared" si="2"/>
        <v>268977</v>
      </c>
      <c r="E29" s="55">
        <v>0</v>
      </c>
      <c r="F29" s="55">
        <v>0</v>
      </c>
      <c r="G29" s="55"/>
      <c r="H29" s="55">
        <v>0</v>
      </c>
      <c r="I29" s="55"/>
      <c r="J29" s="55"/>
      <c r="K29" s="55"/>
      <c r="L29" s="55"/>
      <c r="M29" s="55"/>
      <c r="N29" s="55">
        <v>0</v>
      </c>
      <c r="O29" s="55">
        <v>11490</v>
      </c>
      <c r="P29" s="55">
        <v>37983</v>
      </c>
      <c r="Q29" s="55">
        <v>7811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3128</v>
      </c>
      <c r="AE29" s="55">
        <v>34896</v>
      </c>
      <c r="AF29" s="55">
        <v>0</v>
      </c>
      <c r="AG29" s="55">
        <v>19400</v>
      </c>
      <c r="AH29" s="55">
        <v>53795</v>
      </c>
      <c r="AI29" s="55">
        <v>61470</v>
      </c>
      <c r="AJ29" s="55">
        <v>39004</v>
      </c>
      <c r="AK29" s="55">
        <v>0</v>
      </c>
      <c r="AL29" s="55">
        <v>0</v>
      </c>
    </row>
    <row r="30" spans="1:38">
      <c r="A30" s="313"/>
      <c r="B30" s="37" t="s">
        <v>51</v>
      </c>
      <c r="C30" s="38" t="s">
        <v>48</v>
      </c>
      <c r="D30" s="73">
        <f t="shared" si="2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</row>
    <row r="31" spans="1:38">
      <c r="A31" s="313"/>
      <c r="B31" s="37" t="s">
        <v>52</v>
      </c>
      <c r="C31" s="38" t="s">
        <v>48</v>
      </c>
      <c r="D31" s="73">
        <f t="shared" si="2"/>
        <v>110086</v>
      </c>
      <c r="E31" s="55">
        <v>0</v>
      </c>
      <c r="F31" s="55">
        <v>0</v>
      </c>
      <c r="G31" s="55">
        <v>14155</v>
      </c>
      <c r="H31" s="55">
        <v>13718</v>
      </c>
      <c r="I31" s="55">
        <v>7068</v>
      </c>
      <c r="J31" s="55">
        <v>8588</v>
      </c>
      <c r="K31" s="55">
        <v>9348</v>
      </c>
      <c r="L31" s="55">
        <v>12540</v>
      </c>
      <c r="M31" s="55"/>
      <c r="N31" s="55">
        <v>0</v>
      </c>
      <c r="O31" s="55">
        <v>0</v>
      </c>
      <c r="P31" s="55">
        <v>0</v>
      </c>
      <c r="Q31" s="55">
        <v>0</v>
      </c>
      <c r="R31" s="55">
        <v>4579</v>
      </c>
      <c r="S31" s="55">
        <v>0</v>
      </c>
      <c r="T31" s="55">
        <v>0</v>
      </c>
      <c r="U31" s="55">
        <v>5358</v>
      </c>
      <c r="V31" s="55">
        <v>9272</v>
      </c>
      <c r="W31" s="55">
        <v>3648</v>
      </c>
      <c r="X31" s="55">
        <v>0</v>
      </c>
      <c r="Y31" s="55">
        <v>4864</v>
      </c>
      <c r="Z31" s="55">
        <v>5263</v>
      </c>
      <c r="AA31" s="55">
        <v>4864</v>
      </c>
      <c r="AB31" s="55">
        <v>0</v>
      </c>
      <c r="AC31" s="55">
        <v>6821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</row>
    <row r="32" spans="1:38">
      <c r="A32" s="313"/>
      <c r="B32" s="37" t="s">
        <v>53</v>
      </c>
      <c r="C32" s="38" t="s">
        <v>48</v>
      </c>
      <c r="D32" s="73">
        <f t="shared" si="2"/>
        <v>600232</v>
      </c>
      <c r="E32" s="55">
        <v>0</v>
      </c>
      <c r="F32" s="55">
        <v>2783</v>
      </c>
      <c r="G32" s="55">
        <v>35374</v>
      </c>
      <c r="H32" s="55">
        <v>41722</v>
      </c>
      <c r="I32" s="55">
        <v>26358</v>
      </c>
      <c r="J32" s="55">
        <v>39675</v>
      </c>
      <c r="K32" s="55">
        <v>45678</v>
      </c>
      <c r="L32" s="55">
        <v>15341</v>
      </c>
      <c r="M32" s="55">
        <v>16215</v>
      </c>
      <c r="N32" s="55">
        <v>8027</v>
      </c>
      <c r="O32" s="55">
        <v>0</v>
      </c>
      <c r="P32" s="55">
        <v>0</v>
      </c>
      <c r="Q32" s="55">
        <v>1679</v>
      </c>
      <c r="R32" s="55">
        <v>42418</v>
      </c>
      <c r="S32" s="55">
        <v>13064</v>
      </c>
      <c r="T32" s="55">
        <v>17848</v>
      </c>
      <c r="U32" s="55">
        <v>27163</v>
      </c>
      <c r="V32" s="55">
        <v>39330</v>
      </c>
      <c r="W32" s="55">
        <v>26887</v>
      </c>
      <c r="X32" s="55">
        <v>32076</v>
      </c>
      <c r="Y32" s="55">
        <v>39050</v>
      </c>
      <c r="Z32" s="55">
        <v>48047</v>
      </c>
      <c r="AA32" s="55">
        <v>22176</v>
      </c>
      <c r="AB32" s="55">
        <v>4466</v>
      </c>
      <c r="AC32" s="55">
        <v>49105</v>
      </c>
      <c r="AD32" s="55">
        <v>5750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</row>
    <row r="33" spans="1:38">
      <c r="A33" s="313"/>
      <c r="B33" s="37" t="s">
        <v>54</v>
      </c>
      <c r="C33" s="38" t="s">
        <v>48</v>
      </c>
      <c r="D33" s="73">
        <f t="shared" si="2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</row>
    <row r="34" spans="1:38">
      <c r="A34" s="313"/>
      <c r="B34" s="37" t="s">
        <v>55</v>
      </c>
      <c r="C34" s="38" t="s">
        <v>48</v>
      </c>
      <c r="D34" s="73">
        <f t="shared" si="2"/>
        <v>4121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339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2396</v>
      </c>
      <c r="U34" s="55">
        <v>0</v>
      </c>
      <c r="V34" s="55">
        <v>231</v>
      </c>
      <c r="W34" s="55">
        <v>798</v>
      </c>
      <c r="X34" s="55">
        <v>42</v>
      </c>
      <c r="Y34" s="55">
        <v>21</v>
      </c>
      <c r="Z34" s="55">
        <v>21</v>
      </c>
      <c r="AA34" s="55">
        <v>0</v>
      </c>
      <c r="AB34" s="55">
        <v>63</v>
      </c>
      <c r="AC34" s="55">
        <v>147</v>
      </c>
      <c r="AD34" s="55">
        <v>63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</row>
    <row r="35" spans="1:38">
      <c r="A35" s="313"/>
      <c r="B35" s="37" t="s">
        <v>56</v>
      </c>
      <c r="C35" s="38" t="s">
        <v>48</v>
      </c>
      <c r="D35" s="73">
        <f t="shared" si="2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</row>
    <row r="36" spans="1:38">
      <c r="A36" s="313"/>
      <c r="B36" s="37" t="s">
        <v>57</v>
      </c>
      <c r="C36" s="38" t="s">
        <v>48</v>
      </c>
      <c r="D36" s="73">
        <f t="shared" si="2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</row>
    <row r="37" spans="1:38">
      <c r="A37" s="313"/>
      <c r="B37" s="37" t="s">
        <v>58</v>
      </c>
      <c r="C37" s="38" t="s">
        <v>48</v>
      </c>
      <c r="D37" s="73">
        <f t="shared" si="2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/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</row>
    <row r="38" spans="1:38">
      <c r="A38" s="314"/>
      <c r="B38" s="39" t="s">
        <v>59</v>
      </c>
      <c r="C38" s="40" t="s">
        <v>48</v>
      </c>
      <c r="D38" s="74">
        <f t="shared" si="2"/>
        <v>11980</v>
      </c>
      <c r="E38" s="55">
        <v>0</v>
      </c>
      <c r="F38" s="55">
        <v>0</v>
      </c>
      <c r="G38" s="55">
        <v>0</v>
      </c>
      <c r="H38" s="55">
        <v>0</v>
      </c>
      <c r="I38" s="55"/>
      <c r="J38" s="55"/>
      <c r="K38" s="55"/>
      <c r="L38" s="55"/>
      <c r="M38" s="55"/>
      <c r="N38" s="55">
        <v>0</v>
      </c>
      <c r="O38" s="55">
        <v>2252</v>
      </c>
      <c r="P38" s="55">
        <v>985</v>
      </c>
      <c r="Q38" s="55">
        <v>262</v>
      </c>
      <c r="R38" s="55">
        <v>0</v>
      </c>
      <c r="S38" s="55">
        <v>0</v>
      </c>
      <c r="T38" s="55">
        <v>108</v>
      </c>
      <c r="U38" s="55">
        <v>0</v>
      </c>
      <c r="V38" s="55">
        <v>50</v>
      </c>
      <c r="W38" s="55">
        <v>50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306</v>
      </c>
      <c r="AE38" s="55">
        <v>462</v>
      </c>
      <c r="AF38" s="55">
        <v>0</v>
      </c>
      <c r="AG38" s="55">
        <v>788</v>
      </c>
      <c r="AH38" s="55">
        <v>858</v>
      </c>
      <c r="AI38" s="55">
        <v>3864</v>
      </c>
      <c r="AJ38" s="55">
        <v>1995</v>
      </c>
      <c r="AK38" s="55">
        <v>0</v>
      </c>
      <c r="AL38" s="55">
        <v>0</v>
      </c>
    </row>
    <row r="39" spans="1:38">
      <c r="A39" s="164"/>
      <c r="B39" s="94" t="s">
        <v>149</v>
      </c>
      <c r="C39" s="166"/>
      <c r="D39" s="180">
        <f t="shared" ref="D39:AL39" si="4">D37/D26</f>
        <v>0</v>
      </c>
      <c r="E39" s="170" t="e">
        <f t="shared" si="4"/>
        <v>#DIV/0!</v>
      </c>
      <c r="F39" s="170">
        <f t="shared" si="4"/>
        <v>0</v>
      </c>
      <c r="G39" s="170">
        <f t="shared" si="4"/>
        <v>0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 t="e">
        <f t="shared" si="4"/>
        <v>#DIV/0!</v>
      </c>
      <c r="AG39" s="170">
        <f t="shared" si="4"/>
        <v>0</v>
      </c>
      <c r="AH39" s="170">
        <f t="shared" si="4"/>
        <v>0</v>
      </c>
      <c r="AI39" s="170">
        <f t="shared" si="4"/>
        <v>0</v>
      </c>
      <c r="AJ39" s="170">
        <f t="shared" si="4"/>
        <v>0</v>
      </c>
      <c r="AK39" s="170" t="e">
        <f t="shared" si="4"/>
        <v>#DIV/0!</v>
      </c>
      <c r="AL39" s="170" t="e">
        <f t="shared" si="4"/>
        <v>#DIV/0!</v>
      </c>
    </row>
    <row r="40" spans="1:38" ht="18.75" customHeight="1">
      <c r="A40" s="245"/>
      <c r="B40" s="246" t="s">
        <v>338</v>
      </c>
      <c r="C40" s="247" t="s">
        <v>84</v>
      </c>
      <c r="D40" s="248"/>
      <c r="E40" s="249" t="e">
        <f>+E60/E26</f>
        <v>#DIV/0!</v>
      </c>
      <c r="F40" s="249">
        <f t="shared" ref="F40:AL40" si="5">+F60/F26</f>
        <v>27.39519592055824</v>
      </c>
      <c r="G40" s="249">
        <f t="shared" si="5"/>
        <v>22.620831931609047</v>
      </c>
      <c r="H40" s="249">
        <f t="shared" si="5"/>
        <v>23.051071313211068</v>
      </c>
      <c r="I40" s="249">
        <f t="shared" si="5"/>
        <v>23.560686954974194</v>
      </c>
      <c r="J40" s="249">
        <f t="shared" si="5"/>
        <v>24.875912041969006</v>
      </c>
      <c r="K40" s="249">
        <f t="shared" si="5"/>
        <v>24.80227616003372</v>
      </c>
      <c r="L40" s="249">
        <f t="shared" si="5"/>
        <v>20.328999504705301</v>
      </c>
      <c r="M40" s="249">
        <f t="shared" si="5"/>
        <v>26.712982642578815</v>
      </c>
      <c r="N40" s="249">
        <f t="shared" si="5"/>
        <v>27.395332618025751</v>
      </c>
      <c r="O40" s="249">
        <f t="shared" si="5"/>
        <v>24.157831252638562</v>
      </c>
      <c r="P40" s="249">
        <f t="shared" si="5"/>
        <v>25.1832045949693</v>
      </c>
      <c r="Q40" s="249">
        <f t="shared" si="5"/>
        <v>27.66674935503076</v>
      </c>
      <c r="R40" s="249">
        <f t="shared" si="5"/>
        <v>25.142921969649002</v>
      </c>
      <c r="S40" s="249">
        <f t="shared" si="5"/>
        <v>26.483995257854179</v>
      </c>
      <c r="T40" s="249">
        <f>+T60/T26</f>
        <v>31.218013540149112</v>
      </c>
      <c r="U40" s="249">
        <f t="shared" si="5"/>
        <v>24.80500621706436</v>
      </c>
      <c r="V40" s="249">
        <f t="shared" si="5"/>
        <v>24.333507254520278</v>
      </c>
      <c r="W40" s="249">
        <f t="shared" si="5"/>
        <v>27.063251940970783</v>
      </c>
      <c r="X40" s="249">
        <f t="shared" si="5"/>
        <v>26.681943677526228</v>
      </c>
      <c r="Y40" s="249">
        <f t="shared" si="5"/>
        <v>25.116545077906871</v>
      </c>
      <c r="Z40" s="249">
        <f t="shared" si="5"/>
        <v>25.178909443894788</v>
      </c>
      <c r="AA40" s="249">
        <f t="shared" si="5"/>
        <v>24.799659477866062</v>
      </c>
      <c r="AB40" s="249">
        <f t="shared" si="5"/>
        <v>27.318572927597064</v>
      </c>
      <c r="AC40" s="249">
        <f t="shared" si="5"/>
        <v>24.890737266838919</v>
      </c>
      <c r="AD40" s="249">
        <f t="shared" si="5"/>
        <v>27.571369806663924</v>
      </c>
      <c r="AE40" s="249">
        <f t="shared" si="5"/>
        <v>25.88193923220193</v>
      </c>
      <c r="AF40" s="249" t="e">
        <f t="shared" si="5"/>
        <v>#DIV/0!</v>
      </c>
      <c r="AG40" s="249">
        <f t="shared" si="5"/>
        <v>24.451750305997553</v>
      </c>
      <c r="AH40" s="249">
        <f t="shared" si="5"/>
        <v>24.762752313634046</v>
      </c>
      <c r="AI40" s="249">
        <f t="shared" si="5"/>
        <v>24.811468565442482</v>
      </c>
      <c r="AJ40" s="249">
        <f t="shared" si="5"/>
        <v>24.902710563329915</v>
      </c>
      <c r="AK40" s="249" t="e">
        <f t="shared" si="5"/>
        <v>#DIV/0!</v>
      </c>
      <c r="AL40" s="249" t="e">
        <f t="shared" si="5"/>
        <v>#DIV/0!</v>
      </c>
    </row>
    <row r="41" spans="1:38">
      <c r="A41" s="33"/>
      <c r="C41" s="5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</row>
    <row r="42" spans="1:38">
      <c r="A42" s="324" t="s">
        <v>60</v>
      </c>
      <c r="B42" s="50" t="s">
        <v>61</v>
      </c>
      <c r="C42" s="91" t="s">
        <v>62</v>
      </c>
      <c r="D42" s="81">
        <f>SUM(E42:AL42)</f>
        <v>361000</v>
      </c>
      <c r="E42" s="86">
        <v>5000</v>
      </c>
      <c r="F42" s="86">
        <v>10000</v>
      </c>
      <c r="G42" s="86">
        <v>8000</v>
      </c>
      <c r="H42" s="86">
        <v>11000</v>
      </c>
      <c r="I42" s="86">
        <v>14000</v>
      </c>
      <c r="J42" s="86">
        <v>12000</v>
      </c>
      <c r="K42" s="86">
        <v>9000</v>
      </c>
      <c r="L42" s="86">
        <v>9000</v>
      </c>
      <c r="M42" s="86">
        <v>8000</v>
      </c>
      <c r="N42" s="86">
        <v>9000</v>
      </c>
      <c r="O42" s="86">
        <v>15000</v>
      </c>
      <c r="P42" s="86">
        <v>17000</v>
      </c>
      <c r="Q42" s="86">
        <v>16000</v>
      </c>
      <c r="R42" s="86">
        <v>9000</v>
      </c>
      <c r="S42" s="86">
        <v>10000</v>
      </c>
      <c r="T42" s="86">
        <v>11000</v>
      </c>
      <c r="U42" s="86">
        <v>12000</v>
      </c>
      <c r="V42" s="86">
        <v>12000</v>
      </c>
      <c r="W42" s="86">
        <v>13000</v>
      </c>
      <c r="X42" s="86">
        <v>10000</v>
      </c>
      <c r="Y42" s="86">
        <v>9000</v>
      </c>
      <c r="Z42" s="86">
        <v>10000</v>
      </c>
      <c r="AA42" s="86">
        <v>10000</v>
      </c>
      <c r="AB42" s="86">
        <v>11000</v>
      </c>
      <c r="AC42" s="86">
        <v>9000</v>
      </c>
      <c r="AD42" s="86">
        <v>13000</v>
      </c>
      <c r="AE42" s="86">
        <v>11000</v>
      </c>
      <c r="AF42" s="86">
        <v>4000</v>
      </c>
      <c r="AG42" s="86">
        <v>9000</v>
      </c>
      <c r="AH42" s="86">
        <v>14000</v>
      </c>
      <c r="AI42" s="86">
        <v>15000</v>
      </c>
      <c r="AJ42" s="86">
        <v>15000</v>
      </c>
      <c r="AK42" s="86">
        <v>6000</v>
      </c>
      <c r="AL42" s="86">
        <v>5000</v>
      </c>
    </row>
    <row r="43" spans="1:38">
      <c r="A43" s="325"/>
      <c r="B43" s="39" t="s">
        <v>63</v>
      </c>
      <c r="C43" s="92" t="s">
        <v>62</v>
      </c>
      <c r="D43" s="82">
        <f>SUM(E43:AL43)</f>
        <v>500</v>
      </c>
      <c r="E43" s="87">
        <v>0</v>
      </c>
      <c r="F43" s="87">
        <v>0</v>
      </c>
      <c r="G43" s="87">
        <v>0</v>
      </c>
      <c r="H43" s="87">
        <v>0</v>
      </c>
      <c r="I43" s="87"/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7">
        <v>200</v>
      </c>
      <c r="U43" s="87">
        <v>0</v>
      </c>
      <c r="V43" s="87"/>
      <c r="W43" s="87">
        <v>0</v>
      </c>
      <c r="X43" s="87">
        <v>0</v>
      </c>
      <c r="Y43" s="87">
        <v>0</v>
      </c>
      <c r="Z43" s="87">
        <v>0</v>
      </c>
      <c r="AA43" s="87">
        <v>0</v>
      </c>
      <c r="AB43" s="87">
        <v>0</v>
      </c>
      <c r="AC43" s="87">
        <v>0</v>
      </c>
      <c r="AD43" s="87">
        <v>0</v>
      </c>
      <c r="AE43" s="87">
        <v>200</v>
      </c>
      <c r="AF43" s="87">
        <v>100</v>
      </c>
      <c r="AG43" s="87">
        <v>0</v>
      </c>
      <c r="AH43" s="87">
        <v>0</v>
      </c>
      <c r="AI43" s="87">
        <v>0</v>
      </c>
      <c r="AJ43" s="87">
        <v>0</v>
      </c>
      <c r="AK43" s="87">
        <v>0</v>
      </c>
      <c r="AL43" s="87"/>
    </row>
    <row r="45" spans="1:38">
      <c r="B45" s="167" t="s">
        <v>240</v>
      </c>
      <c r="C45" s="184" t="s">
        <v>241</v>
      </c>
      <c r="D45" s="187">
        <f>D42/D26</f>
        <v>0.35309042146868008</v>
      </c>
      <c r="E45" s="185" t="e">
        <f t="shared" ref="E45:AL45" si="6">E42/E26</f>
        <v>#DIV/0!</v>
      </c>
      <c r="F45" s="188">
        <f t="shared" si="6"/>
        <v>2.6838432635534084</v>
      </c>
      <c r="G45" s="186">
        <f t="shared" si="6"/>
        <v>0.15831238992341637</v>
      </c>
      <c r="H45" s="188">
        <f t="shared" si="6"/>
        <v>0.19739439399921041</v>
      </c>
      <c r="I45" s="186">
        <f t="shared" si="6"/>
        <v>0.41525775642166457</v>
      </c>
      <c r="J45" s="188">
        <f t="shared" si="6"/>
        <v>0.24120118188579123</v>
      </c>
      <c r="K45" s="186">
        <f t="shared" si="6"/>
        <v>0.15806666900839508</v>
      </c>
      <c r="L45" s="188">
        <f t="shared" si="6"/>
        <v>0.31840373593716831</v>
      </c>
      <c r="M45" s="186">
        <f t="shared" si="6"/>
        <v>0.47231078049356479</v>
      </c>
      <c r="N45" s="188">
        <f t="shared" si="6"/>
        <v>0.96566523605150212</v>
      </c>
      <c r="O45" s="186">
        <f t="shared" si="6"/>
        <v>0.90464990048851091</v>
      </c>
      <c r="P45" s="188">
        <f t="shared" si="6"/>
        <v>0.4208754208754209</v>
      </c>
      <c r="Q45" s="186">
        <f t="shared" si="6"/>
        <v>1.5876165905933717</v>
      </c>
      <c r="R45" s="188">
        <f t="shared" si="6"/>
        <v>0.18995757614132844</v>
      </c>
      <c r="S45" s="186">
        <f t="shared" si="6"/>
        <v>0.74096028452874929</v>
      </c>
      <c r="T45" s="188">
        <f t="shared" si="6"/>
        <v>0.4713343045676579</v>
      </c>
      <c r="U45" s="186">
        <f t="shared" si="6"/>
        <v>0.3552608206524957</v>
      </c>
      <c r="V45" s="188">
        <f t="shared" si="6"/>
        <v>0.24081395115490356</v>
      </c>
      <c r="W45" s="186">
        <f t="shared" si="6"/>
        <v>0.38523084217388726</v>
      </c>
      <c r="X45" s="188">
        <f t="shared" si="6"/>
        <v>0.30676728633658507</v>
      </c>
      <c r="Y45" s="186">
        <f t="shared" si="6"/>
        <v>0.2026479329910835</v>
      </c>
      <c r="Z45" s="188">
        <f t="shared" si="6"/>
        <v>0.18667512927252702</v>
      </c>
      <c r="AA45" s="186">
        <f t="shared" si="6"/>
        <v>0.3547105561861521</v>
      </c>
      <c r="AB45" s="188">
        <f t="shared" si="6"/>
        <v>2.3084994753410282</v>
      </c>
      <c r="AC45" s="186">
        <f t="shared" si="6"/>
        <v>0.15927512122606449</v>
      </c>
      <c r="AD45" s="188">
        <f t="shared" si="6"/>
        <v>1.3368983957219251</v>
      </c>
      <c r="AE45" s="186">
        <f t="shared" si="6"/>
        <v>0.30578489422622523</v>
      </c>
      <c r="AF45" s="188" t="e">
        <f t="shared" si="6"/>
        <v>#DIV/0!</v>
      </c>
      <c r="AG45" s="186">
        <f t="shared" si="6"/>
        <v>0.44063647490820074</v>
      </c>
      <c r="AH45" s="188">
        <f t="shared" si="6"/>
        <v>0.25504627268090069</v>
      </c>
      <c r="AI45" s="186">
        <f t="shared" si="6"/>
        <v>0.22773164103420529</v>
      </c>
      <c r="AJ45" s="188">
        <f t="shared" si="6"/>
        <v>0.35759410684911913</v>
      </c>
      <c r="AK45" s="186" t="e">
        <f t="shared" si="6"/>
        <v>#DIV/0!</v>
      </c>
      <c r="AL45" s="188" t="e">
        <f t="shared" si="6"/>
        <v>#DIV/0!</v>
      </c>
    </row>
    <row r="47" spans="1:38">
      <c r="A47" s="312" t="s">
        <v>64</v>
      </c>
      <c r="B47" s="93" t="s">
        <v>65</v>
      </c>
      <c r="C47" s="47" t="s">
        <v>8</v>
      </c>
      <c r="D47" s="181">
        <f t="shared" ref="D47:D52" si="7">SUM(E47:AL47)</f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88">
        <v>0</v>
      </c>
      <c r="AI47" s="88">
        <v>0</v>
      </c>
      <c r="AJ47" s="88">
        <v>0</v>
      </c>
      <c r="AK47" s="88">
        <v>0</v>
      </c>
      <c r="AL47" s="88">
        <v>0</v>
      </c>
    </row>
    <row r="48" spans="1:38">
      <c r="A48" s="313"/>
      <c r="B48" s="94" t="s">
        <v>66</v>
      </c>
      <c r="C48" s="38" t="s">
        <v>8</v>
      </c>
      <c r="D48" s="182">
        <f t="shared" si="7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</row>
    <row r="49" spans="1:38">
      <c r="A49" s="313"/>
      <c r="B49" s="94" t="s">
        <v>67</v>
      </c>
      <c r="C49" s="38" t="s">
        <v>8</v>
      </c>
      <c r="D49" s="182">
        <f t="shared" si="7"/>
        <v>0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</row>
    <row r="50" spans="1:38">
      <c r="A50" s="313"/>
      <c r="B50" s="95" t="s">
        <v>68</v>
      </c>
      <c r="C50" s="40" t="s">
        <v>8</v>
      </c>
      <c r="D50" s="182">
        <f t="shared" si="7"/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90">
        <v>0</v>
      </c>
      <c r="AJ50" s="90">
        <v>0</v>
      </c>
      <c r="AK50" s="90">
        <v>0</v>
      </c>
      <c r="AL50" s="90">
        <v>0</v>
      </c>
    </row>
    <row r="51" spans="1:38">
      <c r="A51" s="313"/>
      <c r="B51" s="93" t="s">
        <v>69</v>
      </c>
      <c r="C51" s="91" t="s">
        <v>48</v>
      </c>
      <c r="D51" s="181">
        <f t="shared" si="7"/>
        <v>115000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6">
        <v>0</v>
      </c>
      <c r="O51" s="86">
        <v>5000</v>
      </c>
      <c r="P51" s="86">
        <v>10000</v>
      </c>
      <c r="Q51" s="86">
        <v>10000</v>
      </c>
      <c r="R51" s="86">
        <v>0</v>
      </c>
      <c r="S51" s="86">
        <v>0</v>
      </c>
      <c r="T51" s="86">
        <v>0</v>
      </c>
      <c r="U51" s="86">
        <v>0</v>
      </c>
      <c r="V51" s="86">
        <v>0</v>
      </c>
      <c r="W51" s="86">
        <v>0</v>
      </c>
      <c r="X51" s="86">
        <v>0</v>
      </c>
      <c r="Y51" s="86">
        <v>0</v>
      </c>
      <c r="Z51" s="86">
        <v>0</v>
      </c>
      <c r="AA51" s="86">
        <v>0</v>
      </c>
      <c r="AB51" s="86">
        <v>0</v>
      </c>
      <c r="AC51" s="86"/>
      <c r="AD51" s="86">
        <v>5000</v>
      </c>
      <c r="AE51" s="86">
        <v>20000</v>
      </c>
      <c r="AF51" s="86"/>
      <c r="AG51" s="86">
        <v>5000</v>
      </c>
      <c r="AH51" s="86">
        <v>15000</v>
      </c>
      <c r="AI51" s="86">
        <v>30000</v>
      </c>
      <c r="AJ51" s="86">
        <v>15000</v>
      </c>
      <c r="AK51" s="86">
        <v>0</v>
      </c>
      <c r="AL51" s="86">
        <v>0</v>
      </c>
    </row>
    <row r="52" spans="1:38">
      <c r="A52" s="314"/>
      <c r="B52" s="95" t="s">
        <v>70</v>
      </c>
      <c r="C52" s="92" t="s">
        <v>48</v>
      </c>
      <c r="D52" s="183">
        <f t="shared" si="7"/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Z52" s="87">
        <v>0</v>
      </c>
      <c r="AA52" s="87">
        <v>0</v>
      </c>
      <c r="AB52" s="87">
        <v>0</v>
      </c>
      <c r="AC52" s="87"/>
      <c r="AD52" s="87">
        <v>0</v>
      </c>
      <c r="AE52" s="87">
        <v>0</v>
      </c>
      <c r="AF52" s="87">
        <v>0</v>
      </c>
      <c r="AG52" s="87">
        <v>0</v>
      </c>
      <c r="AH52" s="87"/>
      <c r="AI52" s="87">
        <v>0</v>
      </c>
      <c r="AJ52" s="87">
        <v>0</v>
      </c>
      <c r="AK52" s="87">
        <v>0</v>
      </c>
      <c r="AL52" s="87">
        <v>0</v>
      </c>
    </row>
    <row r="53" spans="1:38"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>
      <c r="A54" s="315" t="s">
        <v>71</v>
      </c>
      <c r="B54" s="50" t="s">
        <v>72</v>
      </c>
      <c r="C54" s="45" t="s">
        <v>73</v>
      </c>
      <c r="D54" s="7" t="s">
        <v>73</v>
      </c>
      <c r="E54" s="7" t="s">
        <v>73</v>
      </c>
      <c r="F54" s="7" t="s">
        <v>73</v>
      </c>
      <c r="G54" s="7" t="s">
        <v>73</v>
      </c>
      <c r="H54" s="7" t="s">
        <v>73</v>
      </c>
      <c r="I54" s="7" t="s">
        <v>73</v>
      </c>
      <c r="J54" s="7" t="s">
        <v>73</v>
      </c>
      <c r="K54" s="7" t="s">
        <v>73</v>
      </c>
      <c r="L54" s="7" t="s">
        <v>73</v>
      </c>
      <c r="M54" s="7" t="s">
        <v>73</v>
      </c>
      <c r="N54" s="7" t="s">
        <v>73</v>
      </c>
      <c r="O54" s="7" t="s">
        <v>73</v>
      </c>
      <c r="P54" s="7" t="s">
        <v>73</v>
      </c>
      <c r="Q54" s="7" t="s">
        <v>73</v>
      </c>
      <c r="R54" s="7" t="s">
        <v>73</v>
      </c>
      <c r="S54" s="7" t="s">
        <v>73</v>
      </c>
      <c r="T54" s="7" t="s">
        <v>73</v>
      </c>
      <c r="U54" s="7" t="s">
        <v>73</v>
      </c>
      <c r="V54" s="7" t="s">
        <v>73</v>
      </c>
      <c r="W54" s="7" t="s">
        <v>73</v>
      </c>
      <c r="X54" s="7" t="s">
        <v>73</v>
      </c>
      <c r="Y54" s="7" t="s">
        <v>73</v>
      </c>
      <c r="Z54" s="7" t="s">
        <v>73</v>
      </c>
      <c r="AA54" s="7" t="s">
        <v>73</v>
      </c>
      <c r="AB54" s="7" t="s">
        <v>73</v>
      </c>
      <c r="AC54" s="7" t="s">
        <v>73</v>
      </c>
      <c r="AD54" s="7" t="s">
        <v>73</v>
      </c>
      <c r="AE54" s="7" t="s">
        <v>73</v>
      </c>
      <c r="AF54" s="7" t="s">
        <v>73</v>
      </c>
      <c r="AG54" s="7" t="s">
        <v>73</v>
      </c>
      <c r="AH54" s="7" t="s">
        <v>73</v>
      </c>
      <c r="AI54" s="7" t="s">
        <v>73</v>
      </c>
      <c r="AJ54" s="7" t="s">
        <v>73</v>
      </c>
      <c r="AK54" s="7" t="s">
        <v>73</v>
      </c>
      <c r="AL54" s="7" t="s">
        <v>73</v>
      </c>
    </row>
    <row r="55" spans="1:38">
      <c r="A55" s="316"/>
      <c r="B55" s="37" t="s">
        <v>74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75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75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</row>
    <row r="56" spans="1:38">
      <c r="A56" s="316"/>
      <c r="B56" s="37" t="s">
        <v>7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229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242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75</v>
      </c>
    </row>
    <row r="57" spans="1:38">
      <c r="A57" s="316"/>
      <c r="B57" s="37" t="s">
        <v>76</v>
      </c>
      <c r="C57" s="51" t="s">
        <v>75</v>
      </c>
      <c r="D57" s="8" t="s">
        <v>75</v>
      </c>
      <c r="E57" s="8" t="s">
        <v>75</v>
      </c>
      <c r="F57" s="8" t="s">
        <v>75</v>
      </c>
      <c r="G57" s="8" t="s">
        <v>75</v>
      </c>
      <c r="H57" s="8" t="s">
        <v>75</v>
      </c>
      <c r="I57" s="8" t="s">
        <v>75</v>
      </c>
      <c r="J57" s="8" t="s">
        <v>75</v>
      </c>
      <c r="K57" s="8" t="s">
        <v>75</v>
      </c>
      <c r="L57" s="8" t="s">
        <v>75</v>
      </c>
      <c r="M57" s="8" t="s">
        <v>75</v>
      </c>
      <c r="N57" s="8" t="s">
        <v>75</v>
      </c>
      <c r="O57" s="8" t="s">
        <v>75</v>
      </c>
      <c r="P57" s="8" t="s">
        <v>75</v>
      </c>
      <c r="Q57" s="8" t="s">
        <v>75</v>
      </c>
      <c r="R57" s="8" t="s">
        <v>75</v>
      </c>
      <c r="S57" s="8" t="s">
        <v>75</v>
      </c>
      <c r="T57" s="8" t="s">
        <v>75</v>
      </c>
      <c r="U57" s="8" t="s">
        <v>75</v>
      </c>
      <c r="V57" s="8" t="s">
        <v>75</v>
      </c>
      <c r="W57" s="8" t="s">
        <v>75</v>
      </c>
      <c r="X57" s="8" t="s">
        <v>75</v>
      </c>
      <c r="Y57" s="8" t="s">
        <v>75</v>
      </c>
      <c r="Z57" s="8" t="s">
        <v>75</v>
      </c>
      <c r="AA57" s="8" t="s">
        <v>75</v>
      </c>
      <c r="AB57" s="8" t="s">
        <v>75</v>
      </c>
      <c r="AC57" s="8" t="s">
        <v>75</v>
      </c>
      <c r="AD57" s="8" t="s">
        <v>75</v>
      </c>
      <c r="AE57" s="8" t="s">
        <v>75</v>
      </c>
      <c r="AF57" s="8" t="s">
        <v>75</v>
      </c>
      <c r="AG57" s="8" t="s">
        <v>75</v>
      </c>
      <c r="AH57" s="8" t="s">
        <v>75</v>
      </c>
      <c r="AI57" s="8" t="s">
        <v>75</v>
      </c>
      <c r="AJ57" s="8" t="s">
        <v>75</v>
      </c>
      <c r="AK57" s="8" t="s">
        <v>75</v>
      </c>
      <c r="AL57" s="8" t="s">
        <v>243</v>
      </c>
    </row>
    <row r="58" spans="1:38">
      <c r="A58" s="317"/>
      <c r="B58" s="39" t="s">
        <v>82</v>
      </c>
      <c r="C58" s="52" t="s">
        <v>75</v>
      </c>
      <c r="D58" s="9" t="s">
        <v>75</v>
      </c>
      <c r="E58" s="9" t="s">
        <v>75</v>
      </c>
      <c r="F58" s="9" t="s">
        <v>75</v>
      </c>
      <c r="G58" s="9" t="s">
        <v>75</v>
      </c>
      <c r="H58" s="9" t="s">
        <v>75</v>
      </c>
      <c r="I58" s="9" t="s">
        <v>75</v>
      </c>
      <c r="J58" s="9" t="s">
        <v>75</v>
      </c>
      <c r="K58" s="9" t="s">
        <v>75</v>
      </c>
      <c r="L58" s="9" t="s">
        <v>75</v>
      </c>
      <c r="M58" s="9" t="s">
        <v>75</v>
      </c>
      <c r="N58" s="9" t="s">
        <v>75</v>
      </c>
      <c r="O58" s="9" t="s">
        <v>75</v>
      </c>
      <c r="P58" s="9" t="s">
        <v>75</v>
      </c>
      <c r="Q58" s="9" t="s">
        <v>75</v>
      </c>
      <c r="R58" s="9" t="s">
        <v>75</v>
      </c>
      <c r="S58" s="9" t="s">
        <v>75</v>
      </c>
      <c r="T58" s="9" t="s">
        <v>75</v>
      </c>
      <c r="U58" s="9" t="s">
        <v>75</v>
      </c>
      <c r="V58" s="9" t="s">
        <v>75</v>
      </c>
      <c r="W58" s="9" t="s">
        <v>75</v>
      </c>
      <c r="X58" s="9" t="s">
        <v>75</v>
      </c>
      <c r="Y58" s="9" t="s">
        <v>75</v>
      </c>
      <c r="Z58" s="9" t="s">
        <v>75</v>
      </c>
      <c r="AA58" s="9" t="s">
        <v>75</v>
      </c>
      <c r="AB58" s="9" t="s">
        <v>75</v>
      </c>
      <c r="AC58" s="9" t="s">
        <v>75</v>
      </c>
      <c r="AD58" s="9" t="s">
        <v>75</v>
      </c>
      <c r="AE58" s="9" t="s">
        <v>75</v>
      </c>
      <c r="AF58" s="9" t="s">
        <v>75</v>
      </c>
      <c r="AG58" s="9" t="s">
        <v>75</v>
      </c>
      <c r="AH58" s="9" t="s">
        <v>75</v>
      </c>
      <c r="AI58" s="9" t="s">
        <v>75</v>
      </c>
      <c r="AJ58" s="9" t="s">
        <v>75</v>
      </c>
      <c r="AK58" s="9" t="s">
        <v>75</v>
      </c>
      <c r="AL58" s="9" t="s">
        <v>245</v>
      </c>
    </row>
    <row r="60" spans="1:38" ht="15.75">
      <c r="B60" s="53" t="s">
        <v>83</v>
      </c>
      <c r="C60" s="99" t="s">
        <v>84</v>
      </c>
      <c r="D60" s="100">
        <f>SUM(D61:D73)</f>
        <v>25500348</v>
      </c>
      <c r="E60" s="101">
        <f>SUM(E61:E73)</f>
        <v>0</v>
      </c>
      <c r="F60" s="101">
        <f t="shared" ref="F60:AL60" si="8">SUM(F61:F73)</f>
        <v>102074.5</v>
      </c>
      <c r="G60" s="101">
        <f t="shared" si="8"/>
        <v>1143098.5</v>
      </c>
      <c r="H60" s="101">
        <f t="shared" si="8"/>
        <v>1284544</v>
      </c>
      <c r="I60" s="101">
        <f t="shared" si="8"/>
        <v>794325</v>
      </c>
      <c r="J60" s="101">
        <f t="shared" si="8"/>
        <v>1237601.5</v>
      </c>
      <c r="K60" s="101">
        <f t="shared" si="8"/>
        <v>1412192</v>
      </c>
      <c r="L60" s="101">
        <f t="shared" si="8"/>
        <v>574619.5</v>
      </c>
      <c r="M60" s="101">
        <f t="shared" si="8"/>
        <v>452464.5</v>
      </c>
      <c r="N60" s="101">
        <f t="shared" si="8"/>
        <v>255324.5</v>
      </c>
      <c r="O60" s="101">
        <f t="shared" si="8"/>
        <v>400561</v>
      </c>
      <c r="P60" s="101">
        <f t="shared" si="8"/>
        <v>1017200</v>
      </c>
      <c r="Q60" s="101">
        <f t="shared" si="8"/>
        <v>278825.5</v>
      </c>
      <c r="R60" s="101">
        <f t="shared" si="8"/>
        <v>1191246.5</v>
      </c>
      <c r="S60" s="101">
        <f t="shared" si="8"/>
        <v>357428</v>
      </c>
      <c r="T60" s="101">
        <f t="shared" si="8"/>
        <v>728566</v>
      </c>
      <c r="U60" s="101">
        <f t="shared" si="8"/>
        <v>837863.5</v>
      </c>
      <c r="V60" s="101">
        <f t="shared" si="8"/>
        <v>1212563</v>
      </c>
      <c r="W60" s="101">
        <f t="shared" si="8"/>
        <v>913276.5</v>
      </c>
      <c r="X60" s="101">
        <f t="shared" si="8"/>
        <v>869778</v>
      </c>
      <c r="Y60" s="101">
        <f t="shared" si="8"/>
        <v>1115476</v>
      </c>
      <c r="Z60" s="101">
        <f t="shared" si="8"/>
        <v>1348809</v>
      </c>
      <c r="AA60" s="101">
        <f t="shared" si="8"/>
        <v>699152</v>
      </c>
      <c r="AB60" s="101">
        <f t="shared" si="8"/>
        <v>130173</v>
      </c>
      <c r="AC60" s="101">
        <f t="shared" si="8"/>
        <v>1406476</v>
      </c>
      <c r="AD60" s="101">
        <f t="shared" si="8"/>
        <v>268104</v>
      </c>
      <c r="AE60" s="101">
        <f t="shared" si="8"/>
        <v>931051</v>
      </c>
      <c r="AF60" s="101">
        <f t="shared" si="8"/>
        <v>0</v>
      </c>
      <c r="AG60" s="101">
        <f t="shared" si="8"/>
        <v>499427</v>
      </c>
      <c r="AH60" s="101">
        <f t="shared" si="8"/>
        <v>1359277</v>
      </c>
      <c r="AI60" s="101">
        <f t="shared" si="8"/>
        <v>1634257</v>
      </c>
      <c r="AJ60" s="101">
        <f t="shared" si="8"/>
        <v>1044594</v>
      </c>
      <c r="AK60" s="101">
        <f t="shared" si="8"/>
        <v>0</v>
      </c>
      <c r="AL60" s="101">
        <f t="shared" si="8"/>
        <v>0</v>
      </c>
    </row>
    <row r="61" spans="1:38">
      <c r="B61" s="96" t="s">
        <v>47</v>
      </c>
      <c r="C61" s="111">
        <v>53</v>
      </c>
      <c r="D61" s="97">
        <f t="shared" ref="D61:AL61" si="9">D27*$C61</f>
        <v>699123</v>
      </c>
      <c r="E61" s="104">
        <f t="shared" si="9"/>
        <v>0</v>
      </c>
      <c r="F61" s="104">
        <f t="shared" si="9"/>
        <v>7473</v>
      </c>
      <c r="G61" s="104">
        <f t="shared" si="9"/>
        <v>5194</v>
      </c>
      <c r="H61" s="104">
        <f t="shared" si="9"/>
        <v>0</v>
      </c>
      <c r="I61" s="104">
        <f t="shared" si="9"/>
        <v>0</v>
      </c>
      <c r="J61" s="104">
        <f t="shared" si="9"/>
        <v>78864</v>
      </c>
      <c r="K61" s="104">
        <f t="shared" si="9"/>
        <v>53053</v>
      </c>
      <c r="L61" s="104">
        <f t="shared" si="9"/>
        <v>2597</v>
      </c>
      <c r="M61" s="104">
        <f t="shared" si="9"/>
        <v>7791</v>
      </c>
      <c r="N61" s="104">
        <f t="shared" si="9"/>
        <v>17649</v>
      </c>
      <c r="O61" s="104">
        <f t="shared" si="9"/>
        <v>30369</v>
      </c>
      <c r="P61" s="104">
        <f t="shared" si="9"/>
        <v>50456</v>
      </c>
      <c r="Q61" s="104">
        <f t="shared" si="9"/>
        <v>2544</v>
      </c>
      <c r="R61" s="104">
        <f t="shared" si="9"/>
        <v>0</v>
      </c>
      <c r="S61" s="104">
        <f t="shared" si="9"/>
        <v>0</v>
      </c>
      <c r="T61" s="104">
        <f t="shared" si="9"/>
        <v>112466</v>
      </c>
      <c r="U61" s="104">
        <f t="shared" si="9"/>
        <v>36093</v>
      </c>
      <c r="V61" s="104">
        <f t="shared" si="9"/>
        <v>34980</v>
      </c>
      <c r="W61" s="104">
        <f t="shared" si="9"/>
        <v>104887</v>
      </c>
      <c r="X61" s="104">
        <f t="shared" si="9"/>
        <v>10176</v>
      </c>
      <c r="Y61" s="104">
        <f t="shared" si="9"/>
        <v>12561</v>
      </c>
      <c r="Z61" s="104">
        <f t="shared" si="9"/>
        <v>4982</v>
      </c>
      <c r="AA61" s="104">
        <f t="shared" si="9"/>
        <v>40704</v>
      </c>
      <c r="AB61" s="104">
        <f t="shared" si="9"/>
        <v>4982</v>
      </c>
      <c r="AC61" s="104">
        <f t="shared" si="9"/>
        <v>2597</v>
      </c>
      <c r="AD61" s="104">
        <f t="shared" si="9"/>
        <v>10123</v>
      </c>
      <c r="AE61" s="104">
        <f t="shared" si="9"/>
        <v>7579</v>
      </c>
      <c r="AF61" s="104">
        <f t="shared" si="9"/>
        <v>0</v>
      </c>
      <c r="AG61" s="104">
        <f t="shared" si="9"/>
        <v>7579</v>
      </c>
      <c r="AH61" s="104">
        <f t="shared" si="9"/>
        <v>5141</v>
      </c>
      <c r="AI61" s="104">
        <f t="shared" si="9"/>
        <v>18073</v>
      </c>
      <c r="AJ61" s="104">
        <f t="shared" si="9"/>
        <v>30210</v>
      </c>
      <c r="AK61" s="104">
        <f t="shared" si="9"/>
        <v>0</v>
      </c>
      <c r="AL61" s="104">
        <f t="shared" si="9"/>
        <v>0</v>
      </c>
    </row>
    <row r="62" spans="1:38">
      <c r="B62" s="96" t="s">
        <v>49</v>
      </c>
      <c r="C62" s="111">
        <v>26</v>
      </c>
      <c r="D62" s="97">
        <f t="shared" ref="D62:AL62" si="10">D28*$C62</f>
        <v>359164</v>
      </c>
      <c r="E62" s="104">
        <f t="shared" si="10"/>
        <v>0</v>
      </c>
      <c r="F62" s="104">
        <f t="shared" si="10"/>
        <v>20852</v>
      </c>
      <c r="G62" s="104">
        <f t="shared" si="10"/>
        <v>23556</v>
      </c>
      <c r="H62" s="104">
        <f t="shared" si="10"/>
        <v>7436</v>
      </c>
      <c r="I62" s="104">
        <f t="shared" si="10"/>
        <v>7488</v>
      </c>
      <c r="J62" s="104">
        <f t="shared" si="10"/>
        <v>0</v>
      </c>
      <c r="K62" s="104">
        <f t="shared" si="10"/>
        <v>14872</v>
      </c>
      <c r="L62" s="104">
        <f t="shared" si="10"/>
        <v>8736</v>
      </c>
      <c r="M62" s="104">
        <f t="shared" si="10"/>
        <v>14976</v>
      </c>
      <c r="N62" s="104">
        <f t="shared" si="10"/>
        <v>24960</v>
      </c>
      <c r="O62" s="104">
        <f t="shared" si="10"/>
        <v>58916</v>
      </c>
      <c r="P62" s="104">
        <f t="shared" si="10"/>
        <v>12272</v>
      </c>
      <c r="Q62" s="104">
        <f t="shared" si="10"/>
        <v>7228</v>
      </c>
      <c r="R62" s="104">
        <f t="shared" si="10"/>
        <v>9932</v>
      </c>
      <c r="S62" s="104">
        <f t="shared" si="10"/>
        <v>11232</v>
      </c>
      <c r="T62" s="104">
        <f t="shared" si="10"/>
        <v>22464</v>
      </c>
      <c r="U62" s="104">
        <f t="shared" si="10"/>
        <v>14976</v>
      </c>
      <c r="V62" s="104">
        <f t="shared" si="10"/>
        <v>7488</v>
      </c>
      <c r="W62" s="104">
        <f t="shared" si="10"/>
        <v>9984</v>
      </c>
      <c r="X62" s="104">
        <f t="shared" si="10"/>
        <v>7488</v>
      </c>
      <c r="Y62" s="104">
        <f t="shared" si="10"/>
        <v>6240</v>
      </c>
      <c r="Z62" s="104">
        <f t="shared" si="10"/>
        <v>3744</v>
      </c>
      <c r="AA62" s="104">
        <f t="shared" si="10"/>
        <v>9984</v>
      </c>
      <c r="AB62" s="104">
        <f t="shared" si="10"/>
        <v>3692</v>
      </c>
      <c r="AC62" s="104">
        <f t="shared" si="10"/>
        <v>9984</v>
      </c>
      <c r="AD62" s="104">
        <f t="shared" si="10"/>
        <v>7436</v>
      </c>
      <c r="AE62" s="104">
        <f t="shared" si="10"/>
        <v>12272</v>
      </c>
      <c r="AF62" s="104">
        <f t="shared" si="10"/>
        <v>0</v>
      </c>
      <c r="AG62" s="104">
        <f t="shared" si="10"/>
        <v>2444</v>
      </c>
      <c r="AH62" s="104">
        <f t="shared" si="10"/>
        <v>3692</v>
      </c>
      <c r="AI62" s="104">
        <f t="shared" si="10"/>
        <v>4992</v>
      </c>
      <c r="AJ62" s="104">
        <f t="shared" si="10"/>
        <v>9828</v>
      </c>
      <c r="AK62" s="104">
        <f t="shared" si="10"/>
        <v>0</v>
      </c>
      <c r="AL62" s="104">
        <f t="shared" si="10"/>
        <v>0</v>
      </c>
    </row>
    <row r="63" spans="1:38">
      <c r="B63" s="96" t="s">
        <v>50</v>
      </c>
      <c r="C63" s="111">
        <v>24</v>
      </c>
      <c r="D63" s="97">
        <f t="shared" ref="D63:AL63" si="11">D29*$C63</f>
        <v>6455448</v>
      </c>
      <c r="E63" s="104">
        <f t="shared" si="11"/>
        <v>0</v>
      </c>
      <c r="F63" s="104">
        <f t="shared" si="11"/>
        <v>0</v>
      </c>
      <c r="G63" s="104">
        <f t="shared" si="11"/>
        <v>0</v>
      </c>
      <c r="H63" s="104">
        <f t="shared" si="11"/>
        <v>0</v>
      </c>
      <c r="I63" s="104">
        <f t="shared" si="11"/>
        <v>0</v>
      </c>
      <c r="J63" s="104">
        <f t="shared" si="11"/>
        <v>0</v>
      </c>
      <c r="K63" s="104">
        <f t="shared" si="11"/>
        <v>0</v>
      </c>
      <c r="L63" s="104">
        <f t="shared" si="11"/>
        <v>0</v>
      </c>
      <c r="M63" s="104">
        <f t="shared" si="11"/>
        <v>0</v>
      </c>
      <c r="N63" s="104">
        <f t="shared" si="11"/>
        <v>0</v>
      </c>
      <c r="O63" s="104">
        <f t="shared" si="11"/>
        <v>275760</v>
      </c>
      <c r="P63" s="104">
        <f t="shared" si="11"/>
        <v>911592</v>
      </c>
      <c r="Q63" s="104">
        <f t="shared" si="11"/>
        <v>187464</v>
      </c>
      <c r="R63" s="104">
        <f t="shared" si="11"/>
        <v>0</v>
      </c>
      <c r="S63" s="104">
        <f t="shared" si="11"/>
        <v>0</v>
      </c>
      <c r="T63" s="104">
        <f t="shared" si="11"/>
        <v>0</v>
      </c>
      <c r="U63" s="104">
        <f t="shared" si="11"/>
        <v>0</v>
      </c>
      <c r="V63" s="104">
        <f t="shared" si="11"/>
        <v>0</v>
      </c>
      <c r="W63" s="104">
        <f t="shared" si="11"/>
        <v>0</v>
      </c>
      <c r="X63" s="104">
        <f t="shared" si="11"/>
        <v>0</v>
      </c>
      <c r="Y63" s="104">
        <f t="shared" si="11"/>
        <v>0</v>
      </c>
      <c r="Z63" s="104">
        <f t="shared" si="11"/>
        <v>0</v>
      </c>
      <c r="AA63" s="104">
        <f t="shared" si="11"/>
        <v>0</v>
      </c>
      <c r="AB63" s="104">
        <f t="shared" si="11"/>
        <v>0</v>
      </c>
      <c r="AC63" s="104">
        <f t="shared" si="11"/>
        <v>0</v>
      </c>
      <c r="AD63" s="104">
        <f t="shared" si="11"/>
        <v>75072</v>
      </c>
      <c r="AE63" s="104">
        <f t="shared" si="11"/>
        <v>837504</v>
      </c>
      <c r="AF63" s="104">
        <f t="shared" si="11"/>
        <v>0</v>
      </c>
      <c r="AG63" s="104">
        <f t="shared" si="11"/>
        <v>465600</v>
      </c>
      <c r="AH63" s="104">
        <f t="shared" si="11"/>
        <v>1291080</v>
      </c>
      <c r="AI63" s="104">
        <f t="shared" si="11"/>
        <v>1475280</v>
      </c>
      <c r="AJ63" s="104">
        <f t="shared" si="11"/>
        <v>936096</v>
      </c>
      <c r="AK63" s="104">
        <f t="shared" si="11"/>
        <v>0</v>
      </c>
      <c r="AL63" s="104">
        <f t="shared" si="11"/>
        <v>0</v>
      </c>
    </row>
    <row r="64" spans="1:38" ht="0.2" customHeight="1">
      <c r="B64" s="96" t="s">
        <v>51</v>
      </c>
      <c r="C64" s="111">
        <v>15</v>
      </c>
      <c r="D64" s="97">
        <f>D30*$C64</f>
        <v>0</v>
      </c>
      <c r="E64" s="104">
        <f t="shared" ref="E64:AL64" si="12">E30*$C64</f>
        <v>0</v>
      </c>
      <c r="F64" s="104">
        <f t="shared" si="12"/>
        <v>0</v>
      </c>
      <c r="G64" s="104">
        <f t="shared" si="12"/>
        <v>0</v>
      </c>
      <c r="H64" s="104">
        <f t="shared" si="12"/>
        <v>0</v>
      </c>
      <c r="I64" s="104">
        <f t="shared" si="12"/>
        <v>0</v>
      </c>
      <c r="J64" s="104">
        <f t="shared" si="12"/>
        <v>0</v>
      </c>
      <c r="K64" s="104">
        <f t="shared" si="12"/>
        <v>0</v>
      </c>
      <c r="L64" s="104">
        <f t="shared" si="12"/>
        <v>0</v>
      </c>
      <c r="M64" s="104">
        <f t="shared" si="12"/>
        <v>0</v>
      </c>
      <c r="N64" s="104">
        <f t="shared" si="12"/>
        <v>0</v>
      </c>
      <c r="O64" s="104">
        <f t="shared" si="12"/>
        <v>0</v>
      </c>
      <c r="P64" s="104">
        <f t="shared" si="12"/>
        <v>0</v>
      </c>
      <c r="Q64" s="104">
        <f t="shared" si="12"/>
        <v>0</v>
      </c>
      <c r="R64" s="104">
        <f t="shared" si="12"/>
        <v>0</v>
      </c>
      <c r="S64" s="104">
        <f t="shared" si="12"/>
        <v>0</v>
      </c>
      <c r="T64" s="104">
        <f t="shared" si="12"/>
        <v>0</v>
      </c>
      <c r="U64" s="104">
        <f t="shared" si="12"/>
        <v>0</v>
      </c>
      <c r="V64" s="104">
        <f t="shared" si="12"/>
        <v>0</v>
      </c>
      <c r="W64" s="104">
        <f t="shared" si="12"/>
        <v>0</v>
      </c>
      <c r="X64" s="104">
        <f t="shared" si="12"/>
        <v>0</v>
      </c>
      <c r="Y64" s="104">
        <f t="shared" si="12"/>
        <v>0</v>
      </c>
      <c r="Z64" s="104">
        <f t="shared" si="12"/>
        <v>0</v>
      </c>
      <c r="AA64" s="104">
        <f t="shared" si="12"/>
        <v>0</v>
      </c>
      <c r="AB64" s="104">
        <f t="shared" si="12"/>
        <v>0</v>
      </c>
      <c r="AC64" s="104">
        <f t="shared" si="12"/>
        <v>0</v>
      </c>
      <c r="AD64" s="104">
        <f t="shared" si="12"/>
        <v>0</v>
      </c>
      <c r="AE64" s="104">
        <f t="shared" si="12"/>
        <v>0</v>
      </c>
      <c r="AF64" s="104">
        <f t="shared" si="12"/>
        <v>0</v>
      </c>
      <c r="AG64" s="104">
        <f t="shared" si="12"/>
        <v>0</v>
      </c>
      <c r="AH64" s="104">
        <f t="shared" si="12"/>
        <v>0</v>
      </c>
      <c r="AI64" s="104">
        <f t="shared" si="12"/>
        <v>0</v>
      </c>
      <c r="AJ64" s="104">
        <f t="shared" si="12"/>
        <v>0</v>
      </c>
      <c r="AK64" s="104">
        <f t="shared" si="12"/>
        <v>0</v>
      </c>
      <c r="AL64" s="104">
        <f t="shared" si="12"/>
        <v>0</v>
      </c>
    </row>
    <row r="65" spans="2:38">
      <c r="B65" s="96" t="s">
        <v>52</v>
      </c>
      <c r="C65" s="111">
        <v>12.5</v>
      </c>
      <c r="D65" s="97">
        <f t="shared" ref="D65:AL65" si="13">D31*$C65</f>
        <v>1376075</v>
      </c>
      <c r="E65" s="104">
        <f t="shared" si="13"/>
        <v>0</v>
      </c>
      <c r="F65" s="104">
        <f t="shared" si="13"/>
        <v>0</v>
      </c>
      <c r="G65" s="104">
        <f t="shared" si="13"/>
        <v>176937.5</v>
      </c>
      <c r="H65" s="104">
        <f t="shared" si="13"/>
        <v>171475</v>
      </c>
      <c r="I65" s="104">
        <f t="shared" si="13"/>
        <v>88350</v>
      </c>
      <c r="J65" s="104">
        <f t="shared" si="13"/>
        <v>107350</v>
      </c>
      <c r="K65" s="104">
        <f t="shared" si="13"/>
        <v>116850</v>
      </c>
      <c r="L65" s="104">
        <f t="shared" si="13"/>
        <v>156750</v>
      </c>
      <c r="M65" s="104">
        <f t="shared" si="13"/>
        <v>0</v>
      </c>
      <c r="N65" s="104">
        <f t="shared" si="13"/>
        <v>0</v>
      </c>
      <c r="O65" s="104">
        <f t="shared" si="13"/>
        <v>0</v>
      </c>
      <c r="P65" s="104">
        <f t="shared" si="13"/>
        <v>0</v>
      </c>
      <c r="Q65" s="104">
        <f t="shared" si="13"/>
        <v>0</v>
      </c>
      <c r="R65" s="104">
        <f t="shared" si="13"/>
        <v>57237.5</v>
      </c>
      <c r="S65" s="104">
        <f t="shared" si="13"/>
        <v>0</v>
      </c>
      <c r="T65" s="104">
        <f t="shared" si="13"/>
        <v>0</v>
      </c>
      <c r="U65" s="104">
        <f t="shared" si="13"/>
        <v>66975</v>
      </c>
      <c r="V65" s="104">
        <f t="shared" si="13"/>
        <v>115900</v>
      </c>
      <c r="W65" s="104">
        <f t="shared" si="13"/>
        <v>45600</v>
      </c>
      <c r="X65" s="104">
        <f t="shared" si="13"/>
        <v>0</v>
      </c>
      <c r="Y65" s="104">
        <f t="shared" si="13"/>
        <v>60800</v>
      </c>
      <c r="Z65" s="104">
        <f t="shared" si="13"/>
        <v>65787.5</v>
      </c>
      <c r="AA65" s="104">
        <f t="shared" si="13"/>
        <v>60800</v>
      </c>
      <c r="AB65" s="104">
        <f t="shared" si="13"/>
        <v>0</v>
      </c>
      <c r="AC65" s="104">
        <f t="shared" si="13"/>
        <v>85262.5</v>
      </c>
      <c r="AD65" s="104">
        <f t="shared" si="13"/>
        <v>0</v>
      </c>
      <c r="AE65" s="104">
        <f t="shared" si="13"/>
        <v>0</v>
      </c>
      <c r="AF65" s="104">
        <f t="shared" si="13"/>
        <v>0</v>
      </c>
      <c r="AG65" s="104">
        <f t="shared" si="13"/>
        <v>0</v>
      </c>
      <c r="AH65" s="104">
        <f t="shared" si="13"/>
        <v>0</v>
      </c>
      <c r="AI65" s="104">
        <f t="shared" si="13"/>
        <v>0</v>
      </c>
      <c r="AJ65" s="104">
        <f t="shared" si="13"/>
        <v>0</v>
      </c>
      <c r="AK65" s="104">
        <f t="shared" si="13"/>
        <v>0</v>
      </c>
      <c r="AL65" s="104">
        <f t="shared" si="13"/>
        <v>0</v>
      </c>
    </row>
    <row r="66" spans="2:38">
      <c r="B66" s="96" t="s">
        <v>53</v>
      </c>
      <c r="C66" s="111">
        <v>26.5</v>
      </c>
      <c r="D66" s="97">
        <f t="shared" ref="D66:AL66" si="14">D32*$C66</f>
        <v>15906148</v>
      </c>
      <c r="E66" s="104">
        <f t="shared" si="14"/>
        <v>0</v>
      </c>
      <c r="F66" s="104">
        <f t="shared" si="14"/>
        <v>73749.5</v>
      </c>
      <c r="G66" s="104">
        <f t="shared" si="14"/>
        <v>937411</v>
      </c>
      <c r="H66" s="104">
        <f t="shared" si="14"/>
        <v>1105633</v>
      </c>
      <c r="I66" s="104">
        <f t="shared" si="14"/>
        <v>698487</v>
      </c>
      <c r="J66" s="104">
        <f t="shared" si="14"/>
        <v>1051387.5</v>
      </c>
      <c r="K66" s="104">
        <f t="shared" si="14"/>
        <v>1210467</v>
      </c>
      <c r="L66" s="104">
        <f t="shared" si="14"/>
        <v>406536.5</v>
      </c>
      <c r="M66" s="104">
        <f t="shared" si="14"/>
        <v>429697.5</v>
      </c>
      <c r="N66" s="104">
        <f t="shared" si="14"/>
        <v>212715.5</v>
      </c>
      <c r="O66" s="104">
        <f t="shared" si="14"/>
        <v>0</v>
      </c>
      <c r="P66" s="104">
        <f t="shared" si="14"/>
        <v>0</v>
      </c>
      <c r="Q66" s="104">
        <f t="shared" si="14"/>
        <v>44493.5</v>
      </c>
      <c r="R66" s="104">
        <f t="shared" si="14"/>
        <v>1124077</v>
      </c>
      <c r="S66" s="104">
        <f t="shared" si="14"/>
        <v>346196</v>
      </c>
      <c r="T66" s="104">
        <f t="shared" si="14"/>
        <v>472972</v>
      </c>
      <c r="U66" s="104">
        <f t="shared" si="14"/>
        <v>719819.5</v>
      </c>
      <c r="V66" s="104">
        <f t="shared" si="14"/>
        <v>1042245</v>
      </c>
      <c r="W66" s="104">
        <f t="shared" si="14"/>
        <v>712505.5</v>
      </c>
      <c r="X66" s="104">
        <f t="shared" si="14"/>
        <v>850014</v>
      </c>
      <c r="Y66" s="104">
        <f t="shared" si="14"/>
        <v>1034825</v>
      </c>
      <c r="Z66" s="104">
        <f t="shared" si="14"/>
        <v>1273245.5</v>
      </c>
      <c r="AA66" s="104">
        <f t="shared" si="14"/>
        <v>587664</v>
      </c>
      <c r="AB66" s="104">
        <f t="shared" si="14"/>
        <v>118349</v>
      </c>
      <c r="AC66" s="104">
        <f t="shared" si="14"/>
        <v>1301282.5</v>
      </c>
      <c r="AD66" s="104">
        <f t="shared" si="14"/>
        <v>152375</v>
      </c>
      <c r="AE66" s="104">
        <f t="shared" si="14"/>
        <v>0</v>
      </c>
      <c r="AF66" s="104">
        <f t="shared" si="14"/>
        <v>0</v>
      </c>
      <c r="AG66" s="104">
        <f t="shared" si="14"/>
        <v>0</v>
      </c>
      <c r="AH66" s="104">
        <f t="shared" si="14"/>
        <v>0</v>
      </c>
      <c r="AI66" s="104">
        <f t="shared" si="14"/>
        <v>0</v>
      </c>
      <c r="AJ66" s="104">
        <f t="shared" si="14"/>
        <v>0</v>
      </c>
      <c r="AK66" s="104">
        <f t="shared" si="14"/>
        <v>0</v>
      </c>
      <c r="AL66" s="104">
        <f t="shared" si="14"/>
        <v>0</v>
      </c>
    </row>
    <row r="67" spans="2:38" ht="0.2" customHeight="1">
      <c r="B67" s="96" t="s">
        <v>54</v>
      </c>
      <c r="C67" s="111">
        <v>10</v>
      </c>
      <c r="D67" s="97">
        <f t="shared" ref="D67:AL67" si="15">D33*$C67</f>
        <v>0</v>
      </c>
      <c r="E67" s="104">
        <f t="shared" si="15"/>
        <v>0</v>
      </c>
      <c r="F67" s="104">
        <f t="shared" si="15"/>
        <v>0</v>
      </c>
      <c r="G67" s="104">
        <f t="shared" si="15"/>
        <v>0</v>
      </c>
      <c r="H67" s="104">
        <f t="shared" si="15"/>
        <v>0</v>
      </c>
      <c r="I67" s="104">
        <f t="shared" si="15"/>
        <v>0</v>
      </c>
      <c r="J67" s="104">
        <f t="shared" si="15"/>
        <v>0</v>
      </c>
      <c r="K67" s="104">
        <f t="shared" si="15"/>
        <v>0</v>
      </c>
      <c r="L67" s="104">
        <f t="shared" si="15"/>
        <v>0</v>
      </c>
      <c r="M67" s="104">
        <f t="shared" si="15"/>
        <v>0</v>
      </c>
      <c r="N67" s="104">
        <f t="shared" si="15"/>
        <v>0</v>
      </c>
      <c r="O67" s="104">
        <f t="shared" si="15"/>
        <v>0</v>
      </c>
      <c r="P67" s="104">
        <f t="shared" si="15"/>
        <v>0</v>
      </c>
      <c r="Q67" s="104">
        <f t="shared" si="15"/>
        <v>0</v>
      </c>
      <c r="R67" s="104">
        <f t="shared" si="15"/>
        <v>0</v>
      </c>
      <c r="S67" s="104">
        <f t="shared" si="15"/>
        <v>0</v>
      </c>
      <c r="T67" s="104">
        <f t="shared" si="15"/>
        <v>0</v>
      </c>
      <c r="U67" s="104">
        <f t="shared" si="15"/>
        <v>0</v>
      </c>
      <c r="V67" s="104">
        <f t="shared" si="15"/>
        <v>0</v>
      </c>
      <c r="W67" s="104">
        <f t="shared" si="15"/>
        <v>0</v>
      </c>
      <c r="X67" s="104">
        <f t="shared" si="15"/>
        <v>0</v>
      </c>
      <c r="Y67" s="104">
        <f t="shared" si="15"/>
        <v>0</v>
      </c>
      <c r="Z67" s="104">
        <f t="shared" si="15"/>
        <v>0</v>
      </c>
      <c r="AA67" s="104">
        <f t="shared" si="15"/>
        <v>0</v>
      </c>
      <c r="AB67" s="104">
        <f t="shared" si="15"/>
        <v>0</v>
      </c>
      <c r="AC67" s="104">
        <f t="shared" si="15"/>
        <v>0</v>
      </c>
      <c r="AD67" s="104">
        <f t="shared" si="15"/>
        <v>0</v>
      </c>
      <c r="AE67" s="104">
        <f t="shared" si="15"/>
        <v>0</v>
      </c>
      <c r="AF67" s="104">
        <f t="shared" si="15"/>
        <v>0</v>
      </c>
      <c r="AG67" s="104">
        <f t="shared" si="15"/>
        <v>0</v>
      </c>
      <c r="AH67" s="104">
        <f t="shared" si="15"/>
        <v>0</v>
      </c>
      <c r="AI67" s="104">
        <f t="shared" si="15"/>
        <v>0</v>
      </c>
      <c r="AJ67" s="104">
        <f t="shared" si="15"/>
        <v>0</v>
      </c>
      <c r="AK67" s="104">
        <f t="shared" si="15"/>
        <v>0</v>
      </c>
      <c r="AL67" s="104">
        <f t="shared" si="15"/>
        <v>0</v>
      </c>
    </row>
    <row r="68" spans="2:38">
      <c r="B68" s="96" t="s">
        <v>55</v>
      </c>
      <c r="C68" s="111">
        <v>50</v>
      </c>
      <c r="D68" s="97">
        <f t="shared" ref="D68:AL68" si="16">D34*$C68</f>
        <v>206050</v>
      </c>
      <c r="E68" s="104">
        <f t="shared" si="16"/>
        <v>0</v>
      </c>
      <c r="F68" s="104">
        <f t="shared" si="16"/>
        <v>0</v>
      </c>
      <c r="G68" s="104">
        <f t="shared" si="16"/>
        <v>0</v>
      </c>
      <c r="H68" s="104">
        <f t="shared" si="16"/>
        <v>0</v>
      </c>
      <c r="I68" s="104">
        <f t="shared" si="16"/>
        <v>0</v>
      </c>
      <c r="J68" s="104">
        <f t="shared" si="16"/>
        <v>0</v>
      </c>
      <c r="K68" s="104">
        <f t="shared" si="16"/>
        <v>16950</v>
      </c>
      <c r="L68" s="104">
        <f t="shared" si="16"/>
        <v>0</v>
      </c>
      <c r="M68" s="104">
        <f t="shared" si="16"/>
        <v>0</v>
      </c>
      <c r="N68" s="104">
        <f t="shared" si="16"/>
        <v>0</v>
      </c>
      <c r="O68" s="104">
        <f t="shared" si="16"/>
        <v>0</v>
      </c>
      <c r="P68" s="104">
        <f t="shared" si="16"/>
        <v>0</v>
      </c>
      <c r="Q68" s="104">
        <f t="shared" si="16"/>
        <v>0</v>
      </c>
      <c r="R68" s="104">
        <f t="shared" si="16"/>
        <v>0</v>
      </c>
      <c r="S68" s="104">
        <f t="shared" si="16"/>
        <v>0</v>
      </c>
      <c r="T68" s="104">
        <f t="shared" si="16"/>
        <v>119800</v>
      </c>
      <c r="U68" s="104">
        <f t="shared" si="16"/>
        <v>0</v>
      </c>
      <c r="V68" s="104">
        <f t="shared" si="16"/>
        <v>11550</v>
      </c>
      <c r="W68" s="104">
        <f t="shared" si="16"/>
        <v>39900</v>
      </c>
      <c r="X68" s="104">
        <f t="shared" si="16"/>
        <v>2100</v>
      </c>
      <c r="Y68" s="104">
        <f t="shared" si="16"/>
        <v>1050</v>
      </c>
      <c r="Z68" s="104">
        <f t="shared" si="16"/>
        <v>1050</v>
      </c>
      <c r="AA68" s="104">
        <f t="shared" si="16"/>
        <v>0</v>
      </c>
      <c r="AB68" s="104">
        <f t="shared" si="16"/>
        <v>3150</v>
      </c>
      <c r="AC68" s="104">
        <f t="shared" si="16"/>
        <v>7350</v>
      </c>
      <c r="AD68" s="104">
        <f t="shared" si="16"/>
        <v>3150</v>
      </c>
      <c r="AE68" s="104">
        <f t="shared" si="16"/>
        <v>0</v>
      </c>
      <c r="AF68" s="104">
        <f t="shared" si="16"/>
        <v>0</v>
      </c>
      <c r="AG68" s="104">
        <f t="shared" si="16"/>
        <v>0</v>
      </c>
      <c r="AH68" s="104">
        <f t="shared" si="16"/>
        <v>0</v>
      </c>
      <c r="AI68" s="104">
        <f t="shared" si="16"/>
        <v>0</v>
      </c>
      <c r="AJ68" s="104">
        <f t="shared" si="16"/>
        <v>0</v>
      </c>
      <c r="AK68" s="104">
        <f t="shared" si="16"/>
        <v>0</v>
      </c>
      <c r="AL68" s="104">
        <f t="shared" si="16"/>
        <v>0</v>
      </c>
    </row>
    <row r="69" spans="2:38" ht="0.2" customHeight="1">
      <c r="B69" s="96" t="s">
        <v>56</v>
      </c>
      <c r="C69" s="111">
        <v>27.39</v>
      </c>
      <c r="D69" s="97">
        <f t="shared" ref="D69:AA69" si="17">D35*$C69</f>
        <v>0</v>
      </c>
      <c r="E69" s="104">
        <f t="shared" si="17"/>
        <v>0</v>
      </c>
      <c r="F69" s="104">
        <f t="shared" si="17"/>
        <v>0</v>
      </c>
      <c r="G69" s="104">
        <f t="shared" si="17"/>
        <v>0</v>
      </c>
      <c r="H69" s="104">
        <f t="shared" si="17"/>
        <v>0</v>
      </c>
      <c r="I69" s="104">
        <f t="shared" si="17"/>
        <v>0</v>
      </c>
      <c r="J69" s="104">
        <f t="shared" si="17"/>
        <v>0</v>
      </c>
      <c r="K69" s="104">
        <f t="shared" si="17"/>
        <v>0</v>
      </c>
      <c r="L69" s="104">
        <f t="shared" si="17"/>
        <v>0</v>
      </c>
      <c r="M69" s="104">
        <f t="shared" si="17"/>
        <v>0</v>
      </c>
      <c r="N69" s="104">
        <f t="shared" si="17"/>
        <v>0</v>
      </c>
      <c r="O69" s="104">
        <f t="shared" si="17"/>
        <v>0</v>
      </c>
      <c r="P69" s="104">
        <f t="shared" si="17"/>
        <v>0</v>
      </c>
      <c r="Q69" s="104">
        <f t="shared" si="17"/>
        <v>0</v>
      </c>
      <c r="R69" s="104">
        <f t="shared" si="17"/>
        <v>0</v>
      </c>
      <c r="S69" s="104">
        <f t="shared" si="17"/>
        <v>0</v>
      </c>
      <c r="T69" s="104">
        <f t="shared" si="17"/>
        <v>0</v>
      </c>
      <c r="U69" s="104">
        <f t="shared" si="17"/>
        <v>0</v>
      </c>
      <c r="V69" s="104">
        <f t="shared" si="17"/>
        <v>0</v>
      </c>
      <c r="W69" s="104">
        <f t="shared" si="17"/>
        <v>0</v>
      </c>
      <c r="X69" s="104">
        <f t="shared" si="17"/>
        <v>0</v>
      </c>
      <c r="Y69" s="104">
        <f t="shared" si="17"/>
        <v>0</v>
      </c>
      <c r="Z69" s="104">
        <f t="shared" si="17"/>
        <v>0</v>
      </c>
      <c r="AA69" s="104">
        <f t="shared" si="17"/>
        <v>0</v>
      </c>
      <c r="AB69" s="104">
        <f t="shared" ref="AB69:AJ69" si="18">AB35*$C69</f>
        <v>0</v>
      </c>
      <c r="AC69" s="104">
        <f t="shared" si="18"/>
        <v>0</v>
      </c>
      <c r="AD69" s="104">
        <f t="shared" si="18"/>
        <v>0</v>
      </c>
      <c r="AE69" s="104">
        <f t="shared" si="18"/>
        <v>0</v>
      </c>
      <c r="AF69" s="104">
        <f t="shared" si="18"/>
        <v>0</v>
      </c>
      <c r="AG69" s="104">
        <f t="shared" si="18"/>
        <v>0</v>
      </c>
      <c r="AH69" s="104">
        <f t="shared" si="18"/>
        <v>0</v>
      </c>
      <c r="AI69" s="104">
        <f t="shared" si="18"/>
        <v>0</v>
      </c>
      <c r="AJ69" s="104">
        <f t="shared" si="18"/>
        <v>0</v>
      </c>
      <c r="AK69" s="104">
        <f t="shared" ref="AK69:AL72" si="19">AK35*$C69</f>
        <v>0</v>
      </c>
      <c r="AL69" s="104">
        <f t="shared" si="19"/>
        <v>0</v>
      </c>
    </row>
    <row r="70" spans="2:38" ht="0.2" customHeight="1">
      <c r="B70" s="96" t="s">
        <v>57</v>
      </c>
      <c r="C70" s="111">
        <v>26</v>
      </c>
      <c r="D70" s="97">
        <f t="shared" ref="D70:AA70" si="20">D36*$C70</f>
        <v>0</v>
      </c>
      <c r="E70" s="104">
        <f t="shared" si="20"/>
        <v>0</v>
      </c>
      <c r="F70" s="104">
        <f t="shared" si="20"/>
        <v>0</v>
      </c>
      <c r="G70" s="104">
        <f t="shared" si="20"/>
        <v>0</v>
      </c>
      <c r="H70" s="104">
        <f t="shared" si="20"/>
        <v>0</v>
      </c>
      <c r="I70" s="104">
        <f t="shared" si="20"/>
        <v>0</v>
      </c>
      <c r="J70" s="104">
        <f t="shared" si="20"/>
        <v>0</v>
      </c>
      <c r="K70" s="104">
        <f t="shared" si="20"/>
        <v>0</v>
      </c>
      <c r="L70" s="104">
        <f t="shared" si="20"/>
        <v>0</v>
      </c>
      <c r="M70" s="104">
        <f t="shared" si="20"/>
        <v>0</v>
      </c>
      <c r="N70" s="104">
        <f t="shared" si="20"/>
        <v>0</v>
      </c>
      <c r="O70" s="104">
        <f t="shared" si="20"/>
        <v>0</v>
      </c>
      <c r="P70" s="104">
        <f t="shared" si="20"/>
        <v>0</v>
      </c>
      <c r="Q70" s="104">
        <f t="shared" si="20"/>
        <v>0</v>
      </c>
      <c r="R70" s="104">
        <f t="shared" si="20"/>
        <v>0</v>
      </c>
      <c r="S70" s="104">
        <f t="shared" si="20"/>
        <v>0</v>
      </c>
      <c r="T70" s="104">
        <f t="shared" si="20"/>
        <v>0</v>
      </c>
      <c r="U70" s="104">
        <f t="shared" si="20"/>
        <v>0</v>
      </c>
      <c r="V70" s="104">
        <f t="shared" si="20"/>
        <v>0</v>
      </c>
      <c r="W70" s="104">
        <f t="shared" si="20"/>
        <v>0</v>
      </c>
      <c r="X70" s="104">
        <f t="shared" si="20"/>
        <v>0</v>
      </c>
      <c r="Y70" s="104">
        <f t="shared" si="20"/>
        <v>0</v>
      </c>
      <c r="Z70" s="104">
        <f t="shared" si="20"/>
        <v>0</v>
      </c>
      <c r="AA70" s="104">
        <f t="shared" si="20"/>
        <v>0</v>
      </c>
      <c r="AB70" s="104">
        <f t="shared" ref="AB70:AJ70" si="21">AB36*$C70</f>
        <v>0</v>
      </c>
      <c r="AC70" s="104">
        <f t="shared" si="21"/>
        <v>0</v>
      </c>
      <c r="AD70" s="104">
        <f t="shared" si="21"/>
        <v>0</v>
      </c>
      <c r="AE70" s="104">
        <f t="shared" si="21"/>
        <v>0</v>
      </c>
      <c r="AF70" s="104">
        <f t="shared" si="21"/>
        <v>0</v>
      </c>
      <c r="AG70" s="104">
        <f t="shared" si="21"/>
        <v>0</v>
      </c>
      <c r="AH70" s="104">
        <f t="shared" si="21"/>
        <v>0</v>
      </c>
      <c r="AI70" s="104">
        <f t="shared" si="21"/>
        <v>0</v>
      </c>
      <c r="AJ70" s="104">
        <f t="shared" si="21"/>
        <v>0</v>
      </c>
      <c r="AK70" s="104">
        <f t="shared" si="19"/>
        <v>0</v>
      </c>
      <c r="AL70" s="104">
        <f t="shared" si="19"/>
        <v>0</v>
      </c>
    </row>
    <row r="71" spans="2:38" ht="0.2" customHeight="1">
      <c r="B71" s="96" t="s">
        <v>58</v>
      </c>
      <c r="C71" s="111">
        <v>48</v>
      </c>
      <c r="D71" s="97">
        <f t="shared" ref="D71:AA71" si="22">D37*$C71</f>
        <v>0</v>
      </c>
      <c r="E71" s="104">
        <f t="shared" si="22"/>
        <v>0</v>
      </c>
      <c r="F71" s="104">
        <f t="shared" si="22"/>
        <v>0</v>
      </c>
      <c r="G71" s="104">
        <f t="shared" si="22"/>
        <v>0</v>
      </c>
      <c r="H71" s="104">
        <f t="shared" si="22"/>
        <v>0</v>
      </c>
      <c r="I71" s="104">
        <f t="shared" si="22"/>
        <v>0</v>
      </c>
      <c r="J71" s="104">
        <f t="shared" si="22"/>
        <v>0</v>
      </c>
      <c r="K71" s="104">
        <f t="shared" si="22"/>
        <v>0</v>
      </c>
      <c r="L71" s="104">
        <f t="shared" si="22"/>
        <v>0</v>
      </c>
      <c r="M71" s="104">
        <f t="shared" si="22"/>
        <v>0</v>
      </c>
      <c r="N71" s="104">
        <f t="shared" si="22"/>
        <v>0</v>
      </c>
      <c r="O71" s="104">
        <f t="shared" si="22"/>
        <v>0</v>
      </c>
      <c r="P71" s="104">
        <f t="shared" si="22"/>
        <v>0</v>
      </c>
      <c r="Q71" s="104">
        <f t="shared" si="22"/>
        <v>0</v>
      </c>
      <c r="R71" s="104">
        <f t="shared" si="22"/>
        <v>0</v>
      </c>
      <c r="S71" s="104">
        <f t="shared" si="22"/>
        <v>0</v>
      </c>
      <c r="T71" s="104">
        <f t="shared" si="22"/>
        <v>0</v>
      </c>
      <c r="U71" s="104">
        <f t="shared" si="22"/>
        <v>0</v>
      </c>
      <c r="V71" s="104">
        <f t="shared" si="22"/>
        <v>0</v>
      </c>
      <c r="W71" s="104">
        <f t="shared" si="22"/>
        <v>0</v>
      </c>
      <c r="X71" s="104">
        <f t="shared" si="22"/>
        <v>0</v>
      </c>
      <c r="Y71" s="104">
        <f t="shared" si="22"/>
        <v>0</v>
      </c>
      <c r="Z71" s="104">
        <f t="shared" si="22"/>
        <v>0</v>
      </c>
      <c r="AA71" s="104">
        <f t="shared" si="22"/>
        <v>0</v>
      </c>
      <c r="AB71" s="104">
        <f t="shared" ref="AB71:AJ71" si="23">AB37*$C71</f>
        <v>0</v>
      </c>
      <c r="AC71" s="104">
        <f t="shared" si="23"/>
        <v>0</v>
      </c>
      <c r="AD71" s="104">
        <f t="shared" si="23"/>
        <v>0</v>
      </c>
      <c r="AE71" s="104">
        <f t="shared" si="23"/>
        <v>0</v>
      </c>
      <c r="AF71" s="104">
        <f t="shared" si="23"/>
        <v>0</v>
      </c>
      <c r="AG71" s="104">
        <f t="shared" si="23"/>
        <v>0</v>
      </c>
      <c r="AH71" s="104">
        <f t="shared" si="23"/>
        <v>0</v>
      </c>
      <c r="AI71" s="104">
        <f t="shared" si="23"/>
        <v>0</v>
      </c>
      <c r="AJ71" s="104">
        <f t="shared" si="23"/>
        <v>0</v>
      </c>
      <c r="AK71" s="104">
        <f t="shared" si="19"/>
        <v>0</v>
      </c>
      <c r="AL71" s="104">
        <f t="shared" si="19"/>
        <v>0</v>
      </c>
    </row>
    <row r="72" spans="2:38">
      <c r="B72" s="96" t="s">
        <v>59</v>
      </c>
      <c r="C72" s="112">
        <v>8</v>
      </c>
      <c r="D72" s="97">
        <f t="shared" ref="D72:AA72" si="24">D38*$C72</f>
        <v>95840</v>
      </c>
      <c r="E72" s="104">
        <f t="shared" si="24"/>
        <v>0</v>
      </c>
      <c r="F72" s="104">
        <f t="shared" si="24"/>
        <v>0</v>
      </c>
      <c r="G72" s="104">
        <f t="shared" si="24"/>
        <v>0</v>
      </c>
      <c r="H72" s="104">
        <f t="shared" si="24"/>
        <v>0</v>
      </c>
      <c r="I72" s="104">
        <f t="shared" si="24"/>
        <v>0</v>
      </c>
      <c r="J72" s="104">
        <f t="shared" si="24"/>
        <v>0</v>
      </c>
      <c r="K72" s="104">
        <f t="shared" si="24"/>
        <v>0</v>
      </c>
      <c r="L72" s="104">
        <f t="shared" si="24"/>
        <v>0</v>
      </c>
      <c r="M72" s="104">
        <f t="shared" si="24"/>
        <v>0</v>
      </c>
      <c r="N72" s="104">
        <f t="shared" si="24"/>
        <v>0</v>
      </c>
      <c r="O72" s="104">
        <f t="shared" si="24"/>
        <v>18016</v>
      </c>
      <c r="P72" s="104">
        <f t="shared" si="24"/>
        <v>7880</v>
      </c>
      <c r="Q72" s="104">
        <f t="shared" si="24"/>
        <v>2096</v>
      </c>
      <c r="R72" s="104">
        <f t="shared" si="24"/>
        <v>0</v>
      </c>
      <c r="S72" s="104">
        <f t="shared" si="24"/>
        <v>0</v>
      </c>
      <c r="T72" s="104">
        <f t="shared" si="24"/>
        <v>864</v>
      </c>
      <c r="U72" s="104">
        <f t="shared" si="24"/>
        <v>0</v>
      </c>
      <c r="V72" s="104">
        <f t="shared" si="24"/>
        <v>400</v>
      </c>
      <c r="W72" s="104">
        <f t="shared" si="24"/>
        <v>400</v>
      </c>
      <c r="X72" s="104">
        <f t="shared" si="24"/>
        <v>0</v>
      </c>
      <c r="Y72" s="104">
        <f t="shared" si="24"/>
        <v>0</v>
      </c>
      <c r="Z72" s="104">
        <f t="shared" si="24"/>
        <v>0</v>
      </c>
      <c r="AA72" s="104">
        <f t="shared" si="24"/>
        <v>0</v>
      </c>
      <c r="AB72" s="104">
        <f t="shared" ref="AB72:AJ72" si="25">AB38*$C72</f>
        <v>0</v>
      </c>
      <c r="AC72" s="104">
        <f t="shared" si="25"/>
        <v>0</v>
      </c>
      <c r="AD72" s="104">
        <f t="shared" si="25"/>
        <v>2448</v>
      </c>
      <c r="AE72" s="104">
        <f t="shared" si="25"/>
        <v>3696</v>
      </c>
      <c r="AF72" s="104">
        <f t="shared" si="25"/>
        <v>0</v>
      </c>
      <c r="AG72" s="104">
        <f t="shared" si="25"/>
        <v>6304</v>
      </c>
      <c r="AH72" s="104">
        <f t="shared" si="25"/>
        <v>6864</v>
      </c>
      <c r="AI72" s="104">
        <f t="shared" si="25"/>
        <v>30912</v>
      </c>
      <c r="AJ72" s="104">
        <f t="shared" si="25"/>
        <v>15960</v>
      </c>
      <c r="AK72" s="104">
        <f t="shared" si="19"/>
        <v>0</v>
      </c>
      <c r="AL72" s="104">
        <f t="shared" si="19"/>
        <v>0</v>
      </c>
    </row>
    <row r="73" spans="2:38">
      <c r="B73" s="35" t="s">
        <v>85</v>
      </c>
      <c r="C73" s="113">
        <v>3.5</v>
      </c>
      <c r="D73" s="98">
        <f t="shared" ref="D73" si="26">D51*C73</f>
        <v>402500</v>
      </c>
      <c r="E73" s="107">
        <f t="shared" ref="E73:AL73" si="27">+E51*$C$73</f>
        <v>0</v>
      </c>
      <c r="F73" s="107">
        <f t="shared" si="27"/>
        <v>0</v>
      </c>
      <c r="G73" s="107">
        <f t="shared" si="27"/>
        <v>0</v>
      </c>
      <c r="H73" s="107">
        <f t="shared" si="27"/>
        <v>0</v>
      </c>
      <c r="I73" s="107">
        <f t="shared" si="27"/>
        <v>0</v>
      </c>
      <c r="J73" s="107">
        <f t="shared" si="27"/>
        <v>0</v>
      </c>
      <c r="K73" s="107">
        <f t="shared" si="27"/>
        <v>0</v>
      </c>
      <c r="L73" s="107">
        <f t="shared" si="27"/>
        <v>0</v>
      </c>
      <c r="M73" s="107">
        <f t="shared" si="27"/>
        <v>0</v>
      </c>
      <c r="N73" s="107">
        <f t="shared" si="27"/>
        <v>0</v>
      </c>
      <c r="O73" s="107">
        <f t="shared" si="27"/>
        <v>17500</v>
      </c>
      <c r="P73" s="107">
        <f t="shared" si="27"/>
        <v>35000</v>
      </c>
      <c r="Q73" s="107">
        <f t="shared" si="27"/>
        <v>35000</v>
      </c>
      <c r="R73" s="107">
        <f t="shared" si="27"/>
        <v>0</v>
      </c>
      <c r="S73" s="107">
        <f t="shared" si="27"/>
        <v>0</v>
      </c>
      <c r="T73" s="107">
        <f t="shared" si="27"/>
        <v>0</v>
      </c>
      <c r="U73" s="107">
        <f t="shared" si="27"/>
        <v>0</v>
      </c>
      <c r="V73" s="107">
        <f t="shared" si="27"/>
        <v>0</v>
      </c>
      <c r="W73" s="107">
        <f t="shared" si="27"/>
        <v>0</v>
      </c>
      <c r="X73" s="107">
        <f t="shared" si="27"/>
        <v>0</v>
      </c>
      <c r="Y73" s="107">
        <f t="shared" si="27"/>
        <v>0</v>
      </c>
      <c r="Z73" s="107">
        <f t="shared" si="27"/>
        <v>0</v>
      </c>
      <c r="AA73" s="107">
        <f t="shared" si="27"/>
        <v>0</v>
      </c>
      <c r="AB73" s="107">
        <f t="shared" si="27"/>
        <v>0</v>
      </c>
      <c r="AC73" s="107">
        <f t="shared" si="27"/>
        <v>0</v>
      </c>
      <c r="AD73" s="107">
        <f t="shared" si="27"/>
        <v>17500</v>
      </c>
      <c r="AE73" s="107">
        <f t="shared" si="27"/>
        <v>70000</v>
      </c>
      <c r="AF73" s="107">
        <f t="shared" si="27"/>
        <v>0</v>
      </c>
      <c r="AG73" s="107">
        <f t="shared" si="27"/>
        <v>17500</v>
      </c>
      <c r="AH73" s="107">
        <f t="shared" si="27"/>
        <v>52500</v>
      </c>
      <c r="AI73" s="107">
        <f t="shared" si="27"/>
        <v>105000</v>
      </c>
      <c r="AJ73" s="107">
        <f t="shared" si="27"/>
        <v>52500</v>
      </c>
      <c r="AK73" s="107">
        <f t="shared" si="27"/>
        <v>0</v>
      </c>
      <c r="AL73" s="107">
        <f t="shared" si="27"/>
        <v>0</v>
      </c>
    </row>
    <row r="74" spans="2:38" ht="15.75">
      <c r="B74" s="250" t="s">
        <v>339</v>
      </c>
      <c r="C74" s="251">
        <f>+D60/D26</f>
        <v>24.941630534398929</v>
      </c>
    </row>
    <row r="76" spans="2:38">
      <c r="B76" s="318" t="s">
        <v>86</v>
      </c>
      <c r="C76" s="319"/>
      <c r="D76" s="108">
        <f>AVERAGEIF(E60:N60, "&gt;0")</f>
        <v>806249.33333333337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8" spans="2:38">
      <c r="B78" s="12" t="s">
        <v>87</v>
      </c>
      <c r="C78" s="13">
        <v>0.31</v>
      </c>
      <c r="D78" s="14">
        <f>SUM(E78:AL78)</f>
        <v>7905107.879999999</v>
      </c>
      <c r="E78" s="14">
        <f t="shared" ref="E78:AL78" si="28">E60*$C$78</f>
        <v>0</v>
      </c>
      <c r="F78" s="14">
        <f t="shared" si="28"/>
        <v>31643.095000000001</v>
      </c>
      <c r="G78" s="14">
        <f t="shared" si="28"/>
        <v>354360.53499999997</v>
      </c>
      <c r="H78" s="14">
        <f t="shared" si="28"/>
        <v>398208.64</v>
      </c>
      <c r="I78" s="14">
        <f t="shared" si="28"/>
        <v>246240.75</v>
      </c>
      <c r="J78" s="14">
        <f t="shared" si="28"/>
        <v>383656.46500000003</v>
      </c>
      <c r="K78" s="15">
        <f>K60*$C$78</f>
        <v>437779.52</v>
      </c>
      <c r="L78" s="14">
        <f t="shared" si="28"/>
        <v>178132.04500000001</v>
      </c>
      <c r="M78" s="15">
        <f t="shared" si="28"/>
        <v>140263.995</v>
      </c>
      <c r="N78" s="14">
        <f t="shared" si="28"/>
        <v>79150.595000000001</v>
      </c>
      <c r="O78" s="14">
        <f t="shared" si="28"/>
        <v>124173.91</v>
      </c>
      <c r="P78" s="14">
        <f t="shared" si="28"/>
        <v>315332</v>
      </c>
      <c r="Q78" s="14">
        <f t="shared" si="28"/>
        <v>86435.904999999999</v>
      </c>
      <c r="R78" s="14">
        <f t="shared" si="28"/>
        <v>369286.41499999998</v>
      </c>
      <c r="S78" s="14">
        <f t="shared" si="28"/>
        <v>110802.68</v>
      </c>
      <c r="T78" s="14">
        <f t="shared" si="28"/>
        <v>225855.46</v>
      </c>
      <c r="U78" s="14">
        <f t="shared" si="28"/>
        <v>259737.685</v>
      </c>
      <c r="V78" s="14">
        <f t="shared" si="28"/>
        <v>375894.52999999997</v>
      </c>
      <c r="W78" s="14">
        <f t="shared" si="28"/>
        <v>283115.71500000003</v>
      </c>
      <c r="X78" s="14">
        <f t="shared" si="28"/>
        <v>269631.18</v>
      </c>
      <c r="Y78" s="14">
        <f t="shared" si="28"/>
        <v>345797.56</v>
      </c>
      <c r="Z78" s="14">
        <f t="shared" si="28"/>
        <v>418130.79</v>
      </c>
      <c r="AA78" s="14">
        <f t="shared" si="28"/>
        <v>216737.12</v>
      </c>
      <c r="AB78" s="14">
        <f t="shared" si="28"/>
        <v>40353.629999999997</v>
      </c>
      <c r="AC78" s="14">
        <f t="shared" si="28"/>
        <v>436007.56</v>
      </c>
      <c r="AD78" s="14">
        <f t="shared" si="28"/>
        <v>83112.240000000005</v>
      </c>
      <c r="AE78" s="14">
        <f t="shared" si="28"/>
        <v>288625.81</v>
      </c>
      <c r="AF78" s="14">
        <f t="shared" si="28"/>
        <v>0</v>
      </c>
      <c r="AG78" s="14">
        <f t="shared" si="28"/>
        <v>154822.37</v>
      </c>
      <c r="AH78" s="14">
        <f t="shared" si="28"/>
        <v>421375.87</v>
      </c>
      <c r="AI78" s="14">
        <f t="shared" si="28"/>
        <v>506619.67</v>
      </c>
      <c r="AJ78" s="14">
        <f t="shared" si="28"/>
        <v>323824.14</v>
      </c>
      <c r="AK78" s="14">
        <f t="shared" si="28"/>
        <v>0</v>
      </c>
      <c r="AL78" s="14">
        <f t="shared" si="28"/>
        <v>0</v>
      </c>
    </row>
    <row r="79" spans="2:38">
      <c r="B79" s="16" t="s">
        <v>88</v>
      </c>
      <c r="C79" s="17">
        <v>70000</v>
      </c>
      <c r="D79" s="18">
        <f>SUM(E79:AL79)</f>
        <v>2380000</v>
      </c>
      <c r="E79" s="18">
        <f t="shared" ref="E79:AL79" si="29">$C$79</f>
        <v>70000</v>
      </c>
      <c r="F79" s="18">
        <f t="shared" si="29"/>
        <v>70000</v>
      </c>
      <c r="G79" s="18">
        <f t="shared" si="29"/>
        <v>70000</v>
      </c>
      <c r="H79" s="18">
        <f t="shared" si="29"/>
        <v>70000</v>
      </c>
      <c r="I79" s="18">
        <f t="shared" si="29"/>
        <v>70000</v>
      </c>
      <c r="J79" s="18">
        <f t="shared" si="29"/>
        <v>70000</v>
      </c>
      <c r="K79" s="19">
        <f t="shared" si="29"/>
        <v>70000</v>
      </c>
      <c r="L79" s="18">
        <f t="shared" si="29"/>
        <v>70000</v>
      </c>
      <c r="M79" s="19">
        <f t="shared" si="29"/>
        <v>70000</v>
      </c>
      <c r="N79" s="18">
        <f t="shared" si="29"/>
        <v>70000</v>
      </c>
      <c r="O79" s="18">
        <f t="shared" si="29"/>
        <v>70000</v>
      </c>
      <c r="P79" s="18">
        <f t="shared" si="29"/>
        <v>70000</v>
      </c>
      <c r="Q79" s="18">
        <f t="shared" si="29"/>
        <v>70000</v>
      </c>
      <c r="R79" s="18">
        <f t="shared" si="29"/>
        <v>70000</v>
      </c>
      <c r="S79" s="18">
        <f t="shared" si="29"/>
        <v>70000</v>
      </c>
      <c r="T79" s="18">
        <f t="shared" si="29"/>
        <v>70000</v>
      </c>
      <c r="U79" s="18">
        <f t="shared" si="29"/>
        <v>70000</v>
      </c>
      <c r="V79" s="18">
        <f t="shared" si="29"/>
        <v>70000</v>
      </c>
      <c r="W79" s="18">
        <f t="shared" si="29"/>
        <v>70000</v>
      </c>
      <c r="X79" s="18">
        <f t="shared" si="29"/>
        <v>70000</v>
      </c>
      <c r="Y79" s="18">
        <f t="shared" si="29"/>
        <v>70000</v>
      </c>
      <c r="Z79" s="18">
        <f t="shared" si="29"/>
        <v>70000</v>
      </c>
      <c r="AA79" s="18">
        <f t="shared" si="29"/>
        <v>70000</v>
      </c>
      <c r="AB79" s="18">
        <f t="shared" si="29"/>
        <v>70000</v>
      </c>
      <c r="AC79" s="18">
        <f t="shared" si="29"/>
        <v>70000</v>
      </c>
      <c r="AD79" s="18">
        <f t="shared" si="29"/>
        <v>70000</v>
      </c>
      <c r="AE79" s="18">
        <f t="shared" si="29"/>
        <v>70000</v>
      </c>
      <c r="AF79" s="18">
        <f t="shared" si="29"/>
        <v>70000</v>
      </c>
      <c r="AG79" s="18">
        <f t="shared" si="29"/>
        <v>70000</v>
      </c>
      <c r="AH79" s="18">
        <f t="shared" si="29"/>
        <v>70000</v>
      </c>
      <c r="AI79" s="18">
        <f t="shared" si="29"/>
        <v>70000</v>
      </c>
      <c r="AJ79" s="18">
        <f t="shared" si="29"/>
        <v>70000</v>
      </c>
      <c r="AK79" s="18">
        <f t="shared" si="29"/>
        <v>70000</v>
      </c>
      <c r="AL79" s="18">
        <f t="shared" si="29"/>
        <v>70000</v>
      </c>
    </row>
    <row r="80" spans="2:38">
      <c r="B80" s="16" t="s">
        <v>89</v>
      </c>
      <c r="C80" s="17">
        <v>55000</v>
      </c>
      <c r="D80" s="18">
        <f>SUM(E80:AL80)</f>
        <v>1870000</v>
      </c>
      <c r="E80" s="18">
        <f t="shared" ref="E80:AL80" si="30">$C$80</f>
        <v>55000</v>
      </c>
      <c r="F80" s="18">
        <f t="shared" si="30"/>
        <v>55000</v>
      </c>
      <c r="G80" s="18">
        <f t="shared" si="30"/>
        <v>55000</v>
      </c>
      <c r="H80" s="18">
        <f t="shared" si="30"/>
        <v>55000</v>
      </c>
      <c r="I80" s="18">
        <f t="shared" si="30"/>
        <v>55000</v>
      </c>
      <c r="J80" s="18">
        <f t="shared" si="30"/>
        <v>55000</v>
      </c>
      <c r="K80" s="19">
        <f t="shared" si="30"/>
        <v>55000</v>
      </c>
      <c r="L80" s="18">
        <f t="shared" si="30"/>
        <v>55000</v>
      </c>
      <c r="M80" s="19">
        <f t="shared" si="30"/>
        <v>55000</v>
      </c>
      <c r="N80" s="18">
        <f t="shared" si="30"/>
        <v>55000</v>
      </c>
      <c r="O80" s="18">
        <f t="shared" si="30"/>
        <v>55000</v>
      </c>
      <c r="P80" s="18">
        <f t="shared" si="30"/>
        <v>55000</v>
      </c>
      <c r="Q80" s="18">
        <f t="shared" si="30"/>
        <v>55000</v>
      </c>
      <c r="R80" s="18">
        <f t="shared" si="30"/>
        <v>55000</v>
      </c>
      <c r="S80" s="18">
        <f t="shared" si="30"/>
        <v>55000</v>
      </c>
      <c r="T80" s="18">
        <f t="shared" si="30"/>
        <v>55000</v>
      </c>
      <c r="U80" s="18">
        <f t="shared" si="30"/>
        <v>55000</v>
      </c>
      <c r="V80" s="18">
        <f t="shared" si="30"/>
        <v>55000</v>
      </c>
      <c r="W80" s="18">
        <f t="shared" si="30"/>
        <v>55000</v>
      </c>
      <c r="X80" s="18">
        <f t="shared" si="30"/>
        <v>55000</v>
      </c>
      <c r="Y80" s="18">
        <f t="shared" si="30"/>
        <v>55000</v>
      </c>
      <c r="Z80" s="18">
        <f t="shared" si="30"/>
        <v>55000</v>
      </c>
      <c r="AA80" s="18">
        <f t="shared" si="30"/>
        <v>55000</v>
      </c>
      <c r="AB80" s="18">
        <f t="shared" si="30"/>
        <v>55000</v>
      </c>
      <c r="AC80" s="18">
        <f t="shared" si="30"/>
        <v>55000</v>
      </c>
      <c r="AD80" s="18">
        <f t="shared" si="30"/>
        <v>55000</v>
      </c>
      <c r="AE80" s="18">
        <f t="shared" si="30"/>
        <v>55000</v>
      </c>
      <c r="AF80" s="18">
        <f t="shared" si="30"/>
        <v>55000</v>
      </c>
      <c r="AG80" s="18">
        <f t="shared" si="30"/>
        <v>55000</v>
      </c>
      <c r="AH80" s="18">
        <f t="shared" si="30"/>
        <v>55000</v>
      </c>
      <c r="AI80" s="18">
        <f t="shared" si="30"/>
        <v>55000</v>
      </c>
      <c r="AJ80" s="18">
        <f t="shared" si="30"/>
        <v>55000</v>
      </c>
      <c r="AK80" s="18">
        <f t="shared" si="30"/>
        <v>55000</v>
      </c>
      <c r="AL80" s="18">
        <f t="shared" si="30"/>
        <v>55000</v>
      </c>
    </row>
    <row r="81" spans="2:38">
      <c r="B81" s="20" t="s">
        <v>90</v>
      </c>
      <c r="C81" s="21">
        <v>9.5</v>
      </c>
      <c r="D81" s="18">
        <f>SUM(E81:AL81)</f>
        <v>3429500</v>
      </c>
      <c r="E81" s="23">
        <f t="shared" ref="E81:AL81" si="31">$C$81*E42</f>
        <v>47500</v>
      </c>
      <c r="F81" s="23">
        <f t="shared" si="31"/>
        <v>95000</v>
      </c>
      <c r="G81" s="23">
        <f t="shared" si="31"/>
        <v>76000</v>
      </c>
      <c r="H81" s="23">
        <f t="shared" si="31"/>
        <v>104500</v>
      </c>
      <c r="I81" s="23">
        <f t="shared" si="31"/>
        <v>133000</v>
      </c>
      <c r="J81" s="23">
        <f t="shared" si="31"/>
        <v>114000</v>
      </c>
      <c r="K81" s="22">
        <f t="shared" si="31"/>
        <v>85500</v>
      </c>
      <c r="L81" s="23">
        <f t="shared" si="31"/>
        <v>85500</v>
      </c>
      <c r="M81" s="22">
        <f t="shared" si="31"/>
        <v>76000</v>
      </c>
      <c r="N81" s="23">
        <f t="shared" si="31"/>
        <v>85500</v>
      </c>
      <c r="O81" s="23">
        <f t="shared" si="31"/>
        <v>142500</v>
      </c>
      <c r="P81" s="23">
        <f t="shared" si="31"/>
        <v>161500</v>
      </c>
      <c r="Q81" s="23">
        <f t="shared" si="31"/>
        <v>152000</v>
      </c>
      <c r="R81" s="23">
        <f t="shared" si="31"/>
        <v>85500</v>
      </c>
      <c r="S81" s="23">
        <f t="shared" si="31"/>
        <v>95000</v>
      </c>
      <c r="T81" s="23">
        <f t="shared" si="31"/>
        <v>104500</v>
      </c>
      <c r="U81" s="23">
        <f t="shared" si="31"/>
        <v>114000</v>
      </c>
      <c r="V81" s="23">
        <f t="shared" si="31"/>
        <v>114000</v>
      </c>
      <c r="W81" s="23">
        <f t="shared" si="31"/>
        <v>123500</v>
      </c>
      <c r="X81" s="23">
        <f t="shared" si="31"/>
        <v>95000</v>
      </c>
      <c r="Y81" s="23">
        <f t="shared" si="31"/>
        <v>85500</v>
      </c>
      <c r="Z81" s="23">
        <f t="shared" si="31"/>
        <v>95000</v>
      </c>
      <c r="AA81" s="23">
        <f t="shared" si="31"/>
        <v>95000</v>
      </c>
      <c r="AB81" s="23">
        <f t="shared" si="31"/>
        <v>104500</v>
      </c>
      <c r="AC81" s="23">
        <f t="shared" si="31"/>
        <v>85500</v>
      </c>
      <c r="AD81" s="23">
        <f t="shared" si="31"/>
        <v>123500</v>
      </c>
      <c r="AE81" s="23">
        <f t="shared" si="31"/>
        <v>104500</v>
      </c>
      <c r="AF81" s="23">
        <f t="shared" si="31"/>
        <v>38000</v>
      </c>
      <c r="AG81" s="23">
        <f t="shared" si="31"/>
        <v>85500</v>
      </c>
      <c r="AH81" s="23">
        <f t="shared" si="31"/>
        <v>133000</v>
      </c>
      <c r="AI81" s="23">
        <f t="shared" si="31"/>
        <v>142500</v>
      </c>
      <c r="AJ81" s="23">
        <f t="shared" si="31"/>
        <v>142500</v>
      </c>
      <c r="AK81" s="23">
        <f t="shared" si="31"/>
        <v>57000</v>
      </c>
      <c r="AL81" s="23">
        <f t="shared" si="31"/>
        <v>47500</v>
      </c>
    </row>
    <row r="82" spans="2:38">
      <c r="B82" s="24" t="s">
        <v>91</v>
      </c>
      <c r="C82" s="25">
        <f>SUM(E82:AL82)</f>
        <v>9915740.1199999992</v>
      </c>
      <c r="D82" s="252">
        <f>D60-D78-D79-D80-D81</f>
        <v>9915740.120000001</v>
      </c>
      <c r="E82" s="177">
        <f t="shared" ref="E82:AL82" si="32">E60-E78-E79-E80-E81</f>
        <v>-172500</v>
      </c>
      <c r="F82" s="26">
        <f t="shared" si="32"/>
        <v>-149568.595</v>
      </c>
      <c r="G82" s="26">
        <f t="shared" si="32"/>
        <v>587737.96500000008</v>
      </c>
      <c r="H82" s="26">
        <f t="shared" si="32"/>
        <v>656835.36</v>
      </c>
      <c r="I82" s="26">
        <f t="shared" si="32"/>
        <v>290084.25</v>
      </c>
      <c r="J82" s="26">
        <f t="shared" si="32"/>
        <v>614945.03499999992</v>
      </c>
      <c r="K82" s="27">
        <f t="shared" si="32"/>
        <v>763912.48</v>
      </c>
      <c r="L82" s="26">
        <f t="shared" si="32"/>
        <v>185987.45499999996</v>
      </c>
      <c r="M82" s="27">
        <f t="shared" si="32"/>
        <v>111200.505</v>
      </c>
      <c r="N82" s="26">
        <f t="shared" si="32"/>
        <v>-34326.095000000001</v>
      </c>
      <c r="O82" s="26">
        <f t="shared" si="32"/>
        <v>8887.0899999999674</v>
      </c>
      <c r="P82" s="26">
        <f t="shared" si="32"/>
        <v>415368</v>
      </c>
      <c r="Q82" s="26">
        <f t="shared" si="32"/>
        <v>-84610.404999999999</v>
      </c>
      <c r="R82" s="26">
        <f t="shared" si="32"/>
        <v>611460.08499999996</v>
      </c>
      <c r="S82" s="26">
        <f t="shared" si="32"/>
        <v>26625.320000000007</v>
      </c>
      <c r="T82" s="26">
        <f t="shared" si="32"/>
        <v>273210.54000000004</v>
      </c>
      <c r="U82" s="26">
        <f t="shared" si="32"/>
        <v>339125.81499999994</v>
      </c>
      <c r="V82" s="26">
        <f t="shared" si="32"/>
        <v>597668.47</v>
      </c>
      <c r="W82" s="26">
        <f t="shared" si="32"/>
        <v>381660.78499999992</v>
      </c>
      <c r="X82" s="26">
        <f t="shared" si="32"/>
        <v>380146.82000000007</v>
      </c>
      <c r="Y82" s="26">
        <f t="shared" si="32"/>
        <v>559178.43999999994</v>
      </c>
      <c r="Z82" s="26">
        <f t="shared" si="32"/>
        <v>710678.21</v>
      </c>
      <c r="AA82" s="26">
        <f t="shared" si="32"/>
        <v>262414.88</v>
      </c>
      <c r="AB82" s="26">
        <f t="shared" si="32"/>
        <v>-139680.63</v>
      </c>
      <c r="AC82" s="26">
        <f t="shared" si="32"/>
        <v>759968.44</v>
      </c>
      <c r="AD82" s="26">
        <f t="shared" si="32"/>
        <v>-63508.239999999991</v>
      </c>
      <c r="AE82" s="26">
        <f t="shared" si="32"/>
        <v>412925.18999999994</v>
      </c>
      <c r="AF82" s="26">
        <f t="shared" si="32"/>
        <v>-163000</v>
      </c>
      <c r="AG82" s="26">
        <f t="shared" si="32"/>
        <v>134104.63</v>
      </c>
      <c r="AH82" s="26">
        <f t="shared" si="32"/>
        <v>679901.13</v>
      </c>
      <c r="AI82" s="26">
        <f t="shared" si="32"/>
        <v>860137.33000000007</v>
      </c>
      <c r="AJ82" s="26">
        <f t="shared" si="32"/>
        <v>453269.86</v>
      </c>
      <c r="AK82" s="26">
        <f t="shared" si="32"/>
        <v>-182000</v>
      </c>
      <c r="AL82" s="26">
        <f t="shared" si="32"/>
        <v>-172500</v>
      </c>
    </row>
    <row r="83" spans="2:38">
      <c r="B83" s="320" t="s">
        <v>92</v>
      </c>
      <c r="C83" s="321"/>
      <c r="D83" s="326"/>
      <c r="E83" s="29">
        <f>+E82</f>
        <v>-172500</v>
      </c>
      <c r="F83" s="29">
        <f t="shared" ref="F83:AL83" si="33">F82+E83</f>
        <v>-322068.59499999997</v>
      </c>
      <c r="G83" s="29">
        <f t="shared" si="33"/>
        <v>265669.37000000011</v>
      </c>
      <c r="H83" s="29">
        <f t="shared" si="33"/>
        <v>922504.7300000001</v>
      </c>
      <c r="I83" s="29">
        <f t="shared" si="33"/>
        <v>1212588.98</v>
      </c>
      <c r="J83" s="29">
        <f t="shared" si="33"/>
        <v>1827534.0149999999</v>
      </c>
      <c r="K83" s="28">
        <f t="shared" si="33"/>
        <v>2591446.4950000001</v>
      </c>
      <c r="L83" s="29">
        <f t="shared" si="33"/>
        <v>2777433.95</v>
      </c>
      <c r="M83" s="28">
        <f t="shared" si="33"/>
        <v>2888634.4550000001</v>
      </c>
      <c r="N83" s="29">
        <f t="shared" si="33"/>
        <v>2854308.36</v>
      </c>
      <c r="O83" s="29">
        <f t="shared" si="33"/>
        <v>2863195.4499999997</v>
      </c>
      <c r="P83" s="29">
        <f t="shared" si="33"/>
        <v>3278563.4499999997</v>
      </c>
      <c r="Q83" s="29">
        <f t="shared" si="33"/>
        <v>3193953.0449999999</v>
      </c>
      <c r="R83" s="29">
        <f t="shared" si="33"/>
        <v>3805413.13</v>
      </c>
      <c r="S83" s="29">
        <f t="shared" si="33"/>
        <v>3832038.4499999997</v>
      </c>
      <c r="T83" s="29">
        <f t="shared" si="33"/>
        <v>4105248.9899999998</v>
      </c>
      <c r="U83" s="29">
        <f t="shared" si="33"/>
        <v>4444374.8049999997</v>
      </c>
      <c r="V83" s="29">
        <f t="shared" si="33"/>
        <v>5042043.2749999994</v>
      </c>
      <c r="W83" s="29">
        <f t="shared" si="33"/>
        <v>5423704.0599999996</v>
      </c>
      <c r="X83" s="29">
        <f t="shared" si="33"/>
        <v>5803850.8799999999</v>
      </c>
      <c r="Y83" s="29">
        <f t="shared" si="33"/>
        <v>6363029.3200000003</v>
      </c>
      <c r="Z83" s="29">
        <f t="shared" si="33"/>
        <v>7073707.5300000003</v>
      </c>
      <c r="AA83" s="29">
        <f t="shared" si="33"/>
        <v>7336122.4100000001</v>
      </c>
      <c r="AB83" s="29">
        <f t="shared" si="33"/>
        <v>7196441.7800000003</v>
      </c>
      <c r="AC83" s="29">
        <f t="shared" si="33"/>
        <v>7956410.2200000007</v>
      </c>
      <c r="AD83" s="29">
        <f t="shared" si="33"/>
        <v>7892901.9800000004</v>
      </c>
      <c r="AE83" s="29">
        <f t="shared" si="33"/>
        <v>8305827.1699999999</v>
      </c>
      <c r="AF83" s="29">
        <f t="shared" si="33"/>
        <v>8142827.1699999999</v>
      </c>
      <c r="AG83" s="29">
        <f t="shared" si="33"/>
        <v>8276931.7999999998</v>
      </c>
      <c r="AH83" s="29">
        <f t="shared" si="33"/>
        <v>8956832.9299999997</v>
      </c>
      <c r="AI83" s="29">
        <f t="shared" si="33"/>
        <v>9816970.2599999998</v>
      </c>
      <c r="AJ83" s="29">
        <f t="shared" si="33"/>
        <v>10270240.119999999</v>
      </c>
      <c r="AK83" s="29">
        <f t="shared" si="33"/>
        <v>10088240.119999999</v>
      </c>
      <c r="AL83" s="29">
        <f t="shared" si="33"/>
        <v>9915740.1199999992</v>
      </c>
    </row>
    <row r="84" spans="2:38">
      <c r="B84" s="350" t="s">
        <v>340</v>
      </c>
      <c r="C84" s="350"/>
      <c r="D84" s="350"/>
    </row>
    <row r="85" spans="2:38">
      <c r="B85" s="351" t="s">
        <v>341</v>
      </c>
      <c r="C85" s="351"/>
      <c r="D85" s="351"/>
      <c r="AC85" t="s">
        <v>342</v>
      </c>
    </row>
    <row r="86" spans="2:38">
      <c r="B86" s="256" t="s">
        <v>343</v>
      </c>
      <c r="C86" s="352">
        <f>D82/D60</f>
        <v>0.38884724710423563</v>
      </c>
      <c r="D86" s="353"/>
      <c r="AC86" t="s">
        <v>344</v>
      </c>
    </row>
    <row r="88" spans="2:38">
      <c r="B88" s="30" t="s">
        <v>93</v>
      </c>
      <c r="C88" s="31">
        <f>D42/D26</f>
        <v>0.35309042146868008</v>
      </c>
    </row>
    <row r="91" spans="2:38">
      <c r="N91">
        <v>2.0299999999999998</v>
      </c>
      <c r="O91">
        <f>M91*N91</f>
        <v>0</v>
      </c>
    </row>
    <row r="92" spans="2:38">
      <c r="N92">
        <v>1</v>
      </c>
      <c r="O92">
        <f>M92*N92</f>
        <v>0</v>
      </c>
    </row>
    <row r="93" spans="2:38">
      <c r="O93">
        <v>102075</v>
      </c>
    </row>
  </sheetData>
  <mergeCells count="9">
    <mergeCell ref="B84:D84"/>
    <mergeCell ref="B85:D85"/>
    <mergeCell ref="C86:D86"/>
    <mergeCell ref="B83:D83"/>
    <mergeCell ref="A26:A38"/>
    <mergeCell ref="A42:A43"/>
    <mergeCell ref="A47:A52"/>
    <mergeCell ref="A54:A58"/>
    <mergeCell ref="B76:C76"/>
  </mergeCells>
  <phoneticPr fontId="19" type="noConversion"/>
  <conditionalFormatting sqref="B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:D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0:AL4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3:AL8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1C52-B650-4A51-BAD4-B137CB1B3EB0}">
  <dimension ref="A2:AN86"/>
  <sheetViews>
    <sheetView topLeftCell="A20" workbookViewId="0">
      <selection activeCell="A74" sqref="A74"/>
    </sheetView>
  </sheetViews>
  <sheetFormatPr defaultColWidth="9.1406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6" max="6" width="11.140625" customWidth="1"/>
    <col min="7" max="7" width="13.85546875" bestFit="1" customWidth="1"/>
    <col min="8" max="8" width="11.28515625" bestFit="1" customWidth="1"/>
    <col min="9" max="38" width="11.42578125" bestFit="1" customWidth="1"/>
    <col min="39" max="40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/>
    </row>
    <row r="4" spans="2:40" ht="15.75">
      <c r="B4" s="54" t="s">
        <v>3</v>
      </c>
      <c r="C4" s="110">
        <v>45089</v>
      </c>
    </row>
    <row r="5" spans="2:40" ht="15.75">
      <c r="B5" s="54" t="s">
        <v>4</v>
      </c>
      <c r="C5" s="110">
        <v>45124</v>
      </c>
    </row>
    <row r="6" spans="2:40" ht="15.75">
      <c r="B6" s="179" t="s">
        <v>230</v>
      </c>
      <c r="C6" s="110" t="s">
        <v>284</v>
      </c>
    </row>
    <row r="7" spans="2:40" ht="15.75">
      <c r="B7" s="2"/>
      <c r="C7" s="2"/>
    </row>
    <row r="8" spans="2:40" ht="15.75">
      <c r="B8" s="54" t="s">
        <v>5</v>
      </c>
      <c r="D8" s="41" t="s">
        <v>6</v>
      </c>
      <c r="E8" s="42">
        <v>45089</v>
      </c>
      <c r="F8" s="42">
        <v>45090</v>
      </c>
      <c r="G8" s="42">
        <v>45091</v>
      </c>
      <c r="H8" s="42">
        <v>45092</v>
      </c>
      <c r="I8" s="42">
        <v>45093</v>
      </c>
      <c r="J8" s="42">
        <v>45094</v>
      </c>
      <c r="K8" s="42">
        <v>45095</v>
      </c>
      <c r="L8" s="42">
        <v>45096</v>
      </c>
      <c r="M8" s="253">
        <v>45097</v>
      </c>
      <c r="N8" s="253">
        <v>45098</v>
      </c>
      <c r="O8" s="253">
        <v>45099</v>
      </c>
      <c r="P8" s="253">
        <v>45100</v>
      </c>
      <c r="Q8" s="253">
        <v>45101</v>
      </c>
      <c r="R8" s="253">
        <v>45102</v>
      </c>
      <c r="S8" s="253">
        <v>45103</v>
      </c>
      <c r="T8" s="253">
        <v>45104</v>
      </c>
      <c r="U8" s="253">
        <v>45105</v>
      </c>
      <c r="V8" s="253">
        <v>45106</v>
      </c>
      <c r="W8" s="253">
        <v>45107</v>
      </c>
      <c r="X8" s="253">
        <v>45108</v>
      </c>
      <c r="Y8" s="253">
        <v>45109</v>
      </c>
      <c r="Z8" s="253">
        <v>45110</v>
      </c>
      <c r="AA8" s="253">
        <v>45111</v>
      </c>
      <c r="AB8" s="253">
        <v>45112</v>
      </c>
      <c r="AC8" s="253">
        <v>45113</v>
      </c>
      <c r="AD8" s="253">
        <v>45114</v>
      </c>
      <c r="AE8" s="253">
        <v>45115</v>
      </c>
      <c r="AF8" s="253">
        <v>45116</v>
      </c>
      <c r="AG8" s="253">
        <v>45117</v>
      </c>
      <c r="AH8" s="253">
        <v>45118</v>
      </c>
      <c r="AI8" s="253">
        <v>45119</v>
      </c>
      <c r="AJ8" s="253">
        <v>45120</v>
      </c>
      <c r="AK8" s="253">
        <v>45121</v>
      </c>
      <c r="AL8" s="253">
        <v>45122</v>
      </c>
      <c r="AM8" s="253">
        <v>45123</v>
      </c>
      <c r="AN8" s="253">
        <v>45124</v>
      </c>
    </row>
    <row r="9" spans="2:40">
      <c r="B9" s="46" t="s">
        <v>7</v>
      </c>
      <c r="C9" s="47" t="s">
        <v>8</v>
      </c>
      <c r="D9" s="71">
        <f>SUM(E9:AN9)</f>
        <v>700</v>
      </c>
      <c r="E9" s="114">
        <v>0</v>
      </c>
      <c r="F9" s="114">
        <v>7</v>
      </c>
      <c r="G9" s="114">
        <v>24</v>
      </c>
      <c r="H9" s="114">
        <v>24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14</v>
      </c>
      <c r="O9" s="114">
        <v>24</v>
      </c>
      <c r="P9" s="114">
        <v>24</v>
      </c>
      <c r="Q9" s="114">
        <v>24</v>
      </c>
      <c r="R9" s="114">
        <v>24</v>
      </c>
      <c r="S9" s="114">
        <v>9</v>
      </c>
      <c r="T9" s="114">
        <v>0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22</v>
      </c>
      <c r="AF9" s="114">
        <v>24</v>
      </c>
      <c r="AG9" s="114">
        <v>24</v>
      </c>
      <c r="AH9" s="114">
        <v>24</v>
      </c>
      <c r="AI9" s="114">
        <v>24</v>
      </c>
      <c r="AJ9" s="114">
        <v>24</v>
      </c>
      <c r="AK9" s="114">
        <v>24</v>
      </c>
      <c r="AL9" s="114">
        <v>0</v>
      </c>
      <c r="AM9" s="114">
        <v>0</v>
      </c>
      <c r="AN9" s="114">
        <v>0</v>
      </c>
    </row>
    <row r="10" spans="2:40">
      <c r="B10" s="48" t="s">
        <v>9</v>
      </c>
      <c r="C10" s="38" t="s">
        <v>8</v>
      </c>
      <c r="D10" s="71">
        <f>SUM(E10:AN10)</f>
        <v>47</v>
      </c>
      <c r="E10" s="115">
        <v>0</v>
      </c>
      <c r="F10" s="115">
        <v>7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10</v>
      </c>
      <c r="O10" s="115">
        <v>0</v>
      </c>
      <c r="P10" s="115">
        <v>0</v>
      </c>
      <c r="Q10" s="115">
        <v>0</v>
      </c>
      <c r="R10" s="115">
        <v>0</v>
      </c>
      <c r="S10" s="115">
        <v>15</v>
      </c>
      <c r="T10" s="115">
        <v>15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</row>
    <row r="11" spans="2:40">
      <c r="B11" s="48" t="s">
        <v>10</v>
      </c>
      <c r="C11" s="38" t="s">
        <v>8</v>
      </c>
      <c r="D11" s="71">
        <f t="shared" ref="D11:D16" si="0">SUM(E11:K11)</f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2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11</v>
      </c>
      <c r="C12" s="38" t="s">
        <v>8</v>
      </c>
      <c r="D12" s="71">
        <f t="shared" si="0"/>
        <v>6</v>
      </c>
      <c r="E12" s="115">
        <v>6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12</v>
      </c>
      <c r="C13" s="38" t="s">
        <v>8</v>
      </c>
      <c r="D13" s="71">
        <f t="shared" si="0"/>
        <v>6</v>
      </c>
      <c r="E13" s="115">
        <v>6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9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</row>
    <row r="14" spans="2:40">
      <c r="B14" s="48" t="s">
        <v>13</v>
      </c>
      <c r="C14" s="38" t="s">
        <v>8</v>
      </c>
      <c r="D14" s="71">
        <f t="shared" si="0"/>
        <v>3</v>
      </c>
      <c r="E14" s="115">
        <v>3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9" t="s">
        <v>14</v>
      </c>
      <c r="C15" s="40" t="s">
        <v>8</v>
      </c>
      <c r="D15" s="71">
        <f t="shared" si="0"/>
        <v>19</v>
      </c>
      <c r="E15" s="116">
        <v>9</v>
      </c>
      <c r="F15" s="116">
        <v>10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</row>
    <row r="16" spans="2:40">
      <c r="B16" s="68" t="s">
        <v>15</v>
      </c>
      <c r="C16" s="69" t="s">
        <v>8</v>
      </c>
      <c r="D16" s="70">
        <f t="shared" si="0"/>
        <v>168</v>
      </c>
      <c r="E16" s="117">
        <f t="shared" ref="E16:AN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254">
        <f t="shared" si="1"/>
        <v>24</v>
      </c>
      <c r="N16" s="254">
        <f t="shared" si="1"/>
        <v>24</v>
      </c>
      <c r="O16" s="254">
        <f t="shared" si="1"/>
        <v>24</v>
      </c>
      <c r="P16" s="254">
        <f t="shared" si="1"/>
        <v>24</v>
      </c>
      <c r="Q16" s="254">
        <f t="shared" si="1"/>
        <v>24</v>
      </c>
      <c r="R16" s="254">
        <f t="shared" si="1"/>
        <v>24</v>
      </c>
      <c r="S16" s="254">
        <f t="shared" si="1"/>
        <v>24</v>
      </c>
      <c r="T16" s="254">
        <f t="shared" si="1"/>
        <v>24</v>
      </c>
      <c r="U16" s="254">
        <f t="shared" si="1"/>
        <v>24</v>
      </c>
      <c r="V16" s="254">
        <f t="shared" si="1"/>
        <v>24</v>
      </c>
      <c r="W16" s="254">
        <f t="shared" si="1"/>
        <v>24</v>
      </c>
      <c r="X16" s="254">
        <f t="shared" si="1"/>
        <v>24</v>
      </c>
      <c r="Y16" s="254">
        <f t="shared" si="1"/>
        <v>24</v>
      </c>
      <c r="Z16" s="254">
        <f t="shared" si="1"/>
        <v>24</v>
      </c>
      <c r="AA16" s="254">
        <f t="shared" si="1"/>
        <v>24</v>
      </c>
      <c r="AB16" s="254">
        <f t="shared" si="1"/>
        <v>24</v>
      </c>
      <c r="AC16" s="254">
        <f t="shared" si="1"/>
        <v>24</v>
      </c>
      <c r="AD16" s="254">
        <f t="shared" si="1"/>
        <v>24</v>
      </c>
      <c r="AE16" s="254">
        <f t="shared" si="1"/>
        <v>24</v>
      </c>
      <c r="AF16" s="254">
        <f t="shared" si="1"/>
        <v>24</v>
      </c>
      <c r="AG16" s="254">
        <f t="shared" si="1"/>
        <v>24</v>
      </c>
      <c r="AH16" s="254">
        <f t="shared" si="1"/>
        <v>24</v>
      </c>
      <c r="AI16" s="254">
        <f t="shared" si="1"/>
        <v>24</v>
      </c>
      <c r="AJ16" s="254">
        <f t="shared" si="1"/>
        <v>24</v>
      </c>
      <c r="AK16" s="254">
        <f t="shared" si="1"/>
        <v>24</v>
      </c>
      <c r="AL16" s="254">
        <f t="shared" si="1"/>
        <v>0</v>
      </c>
      <c r="AM16" s="254">
        <f t="shared" si="1"/>
        <v>0</v>
      </c>
      <c r="AN16" s="254">
        <f t="shared" si="1"/>
        <v>0</v>
      </c>
    </row>
    <row r="18" spans="1:40">
      <c r="B18" s="50" t="s">
        <v>16</v>
      </c>
      <c r="C18" s="50" t="s">
        <v>0</v>
      </c>
      <c r="D18" s="58">
        <f>SUM(E18:K18)</f>
        <v>0</v>
      </c>
      <c r="E18" s="58" t="s">
        <v>203</v>
      </c>
      <c r="F18" s="58" t="s">
        <v>345</v>
      </c>
      <c r="G18" s="58" t="s">
        <v>261</v>
      </c>
      <c r="H18" s="58" t="s">
        <v>310</v>
      </c>
      <c r="I18" s="58" t="s">
        <v>346</v>
      </c>
      <c r="J18" s="58" t="s">
        <v>127</v>
      </c>
      <c r="K18" s="58" t="s">
        <v>127</v>
      </c>
      <c r="L18" s="58" t="s">
        <v>347</v>
      </c>
      <c r="M18" s="58" t="s">
        <v>127</v>
      </c>
      <c r="N18" s="58" t="s">
        <v>310</v>
      </c>
      <c r="O18" s="58" t="s">
        <v>178</v>
      </c>
      <c r="P18" s="58" t="s">
        <v>178</v>
      </c>
      <c r="Q18" s="58" t="s">
        <v>178</v>
      </c>
      <c r="R18" s="58" t="s">
        <v>178</v>
      </c>
      <c r="S18" s="58" t="s">
        <v>178</v>
      </c>
      <c r="T18" s="58" t="s">
        <v>203</v>
      </c>
      <c r="U18" s="58" t="s">
        <v>127</v>
      </c>
      <c r="V18" s="58" t="s">
        <v>127</v>
      </c>
      <c r="W18" s="58" t="s">
        <v>127</v>
      </c>
      <c r="X18" s="58" t="s">
        <v>127</v>
      </c>
      <c r="Y18" s="58" t="s">
        <v>178</v>
      </c>
      <c r="Z18" s="58" t="s">
        <v>348</v>
      </c>
      <c r="AA18" s="58" t="s">
        <v>349</v>
      </c>
      <c r="AB18" s="58" t="s">
        <v>350</v>
      </c>
      <c r="AC18" s="58" t="s">
        <v>350</v>
      </c>
      <c r="AD18" s="58" t="s">
        <v>351</v>
      </c>
      <c r="AE18" s="58" t="s">
        <v>352</v>
      </c>
      <c r="AF18" s="58" t="s">
        <v>353</v>
      </c>
      <c r="AG18" s="58" t="s">
        <v>354</v>
      </c>
      <c r="AH18" s="58" t="s">
        <v>354</v>
      </c>
      <c r="AI18" s="58" t="s">
        <v>355</v>
      </c>
      <c r="AJ18" s="58" t="s">
        <v>157</v>
      </c>
      <c r="AK18" s="58" t="s">
        <v>356</v>
      </c>
      <c r="AL18" s="58">
        <v>0</v>
      </c>
      <c r="AM18" s="58">
        <v>0</v>
      </c>
      <c r="AN18" s="58">
        <v>0</v>
      </c>
    </row>
    <row r="19" spans="1:40">
      <c r="B19" s="37" t="s">
        <v>31</v>
      </c>
      <c r="C19" s="37" t="s">
        <v>32</v>
      </c>
      <c r="D19" s="131">
        <f>SUM(E19:AN19)</f>
        <v>455.3</v>
      </c>
      <c r="E19" s="61">
        <v>0</v>
      </c>
      <c r="F19" s="61">
        <v>4</v>
      </c>
      <c r="G19" s="61">
        <v>17</v>
      </c>
      <c r="H19" s="61">
        <v>16.5</v>
      </c>
      <c r="I19" s="61">
        <v>17.5</v>
      </c>
      <c r="J19" s="61">
        <v>18</v>
      </c>
      <c r="K19" s="61" t="s">
        <v>187</v>
      </c>
      <c r="L19" s="61">
        <v>15.4</v>
      </c>
      <c r="M19" s="61">
        <v>18</v>
      </c>
      <c r="N19" s="61">
        <v>9</v>
      </c>
      <c r="O19" s="61">
        <v>19.5</v>
      </c>
      <c r="P19" s="61">
        <v>14</v>
      </c>
      <c r="Q19" s="61">
        <v>21</v>
      </c>
      <c r="R19" s="61">
        <v>15.5</v>
      </c>
      <c r="S19" s="61">
        <v>9</v>
      </c>
      <c r="T19" s="61">
        <v>0</v>
      </c>
      <c r="U19" s="61">
        <v>17</v>
      </c>
      <c r="V19" s="61">
        <v>16.399999999999999</v>
      </c>
      <c r="W19" s="61">
        <v>19</v>
      </c>
      <c r="X19" s="61">
        <v>21</v>
      </c>
      <c r="Y19" s="61">
        <v>5</v>
      </c>
      <c r="Z19" s="61">
        <v>17</v>
      </c>
      <c r="AA19" s="61">
        <v>20</v>
      </c>
      <c r="AB19" s="61">
        <v>15</v>
      </c>
      <c r="AC19" s="61">
        <v>16.5</v>
      </c>
      <c r="AD19" s="61">
        <v>12</v>
      </c>
      <c r="AE19" s="61">
        <v>12.5</v>
      </c>
      <c r="AF19" s="61">
        <v>15.5</v>
      </c>
      <c r="AG19" s="61">
        <v>6.5</v>
      </c>
      <c r="AH19" s="61">
        <v>15</v>
      </c>
      <c r="AI19" s="61">
        <v>17.5</v>
      </c>
      <c r="AJ19" s="61">
        <v>14.5</v>
      </c>
      <c r="AK19" s="61">
        <v>20.5</v>
      </c>
      <c r="AL19" s="61">
        <v>0</v>
      </c>
      <c r="AM19" s="61">
        <v>0</v>
      </c>
      <c r="AN19" s="61">
        <v>0</v>
      </c>
    </row>
    <row r="20" spans="1:40">
      <c r="B20" s="37" t="s">
        <v>35</v>
      </c>
      <c r="C20" s="37" t="s">
        <v>36</v>
      </c>
      <c r="D20" s="131">
        <f>SUM(E20:AN20)</f>
        <v>101</v>
      </c>
      <c r="E20" s="61">
        <v>0</v>
      </c>
      <c r="F20" s="61">
        <v>1</v>
      </c>
      <c r="G20" s="61">
        <v>3</v>
      </c>
      <c r="H20" s="61">
        <v>3</v>
      </c>
      <c r="I20" s="61">
        <v>4</v>
      </c>
      <c r="J20" s="61">
        <v>4</v>
      </c>
      <c r="K20" s="61">
        <v>4</v>
      </c>
      <c r="L20" s="61">
        <v>4</v>
      </c>
      <c r="M20" s="61">
        <v>4</v>
      </c>
      <c r="N20" s="61">
        <v>2</v>
      </c>
      <c r="O20" s="61">
        <v>4</v>
      </c>
      <c r="P20" s="61">
        <v>3</v>
      </c>
      <c r="Q20" s="61">
        <v>4</v>
      </c>
      <c r="R20" s="61">
        <v>3</v>
      </c>
      <c r="S20" s="61">
        <v>2</v>
      </c>
      <c r="T20" s="61">
        <v>0</v>
      </c>
      <c r="U20" s="61">
        <v>4</v>
      </c>
      <c r="V20" s="61">
        <v>3</v>
      </c>
      <c r="W20" s="61">
        <v>4</v>
      </c>
      <c r="X20" s="61">
        <v>4</v>
      </c>
      <c r="Y20" s="61">
        <v>1</v>
      </c>
      <c r="Z20" s="61">
        <v>3</v>
      </c>
      <c r="AA20" s="61">
        <v>4</v>
      </c>
      <c r="AB20" s="61">
        <v>3</v>
      </c>
      <c r="AC20" s="61">
        <v>4</v>
      </c>
      <c r="AD20" s="61">
        <v>3</v>
      </c>
      <c r="AE20" s="61">
        <v>3</v>
      </c>
      <c r="AF20" s="61">
        <v>3</v>
      </c>
      <c r="AG20" s="61">
        <v>2</v>
      </c>
      <c r="AH20" s="61">
        <v>3</v>
      </c>
      <c r="AI20" s="61">
        <v>5</v>
      </c>
      <c r="AJ20" s="61">
        <v>3</v>
      </c>
      <c r="AK20" s="61">
        <v>4</v>
      </c>
      <c r="AL20" s="61">
        <v>0</v>
      </c>
      <c r="AM20" s="61">
        <v>0</v>
      </c>
      <c r="AN20" s="61">
        <v>0</v>
      </c>
    </row>
    <row r="21" spans="1:40">
      <c r="B21" s="39" t="s">
        <v>37</v>
      </c>
      <c r="C21" s="39" t="s">
        <v>38</v>
      </c>
      <c r="D21" s="67">
        <f>SUM(E21:K21)</f>
        <v>0</v>
      </c>
      <c r="E21" s="67">
        <v>0</v>
      </c>
      <c r="F21" s="67" t="s">
        <v>40</v>
      </c>
      <c r="G21" s="67" t="s">
        <v>40</v>
      </c>
      <c r="H21" s="67" t="s">
        <v>40</v>
      </c>
      <c r="I21" s="67" t="s">
        <v>40</v>
      </c>
      <c r="J21" s="67" t="s">
        <v>40</v>
      </c>
      <c r="K21" s="67" t="s">
        <v>40</v>
      </c>
      <c r="L21" s="67" t="s">
        <v>40</v>
      </c>
      <c r="M21" s="67" t="s">
        <v>40</v>
      </c>
      <c r="N21" s="67" t="s">
        <v>40</v>
      </c>
      <c r="O21" s="67" t="s">
        <v>228</v>
      </c>
      <c r="P21" s="67" t="s">
        <v>40</v>
      </c>
      <c r="Q21" s="67" t="s">
        <v>40</v>
      </c>
      <c r="R21" s="67" t="s">
        <v>227</v>
      </c>
      <c r="S21" s="67" t="s">
        <v>227</v>
      </c>
      <c r="T21" s="67">
        <v>0</v>
      </c>
      <c r="U21" s="67" t="s">
        <v>40</v>
      </c>
      <c r="V21" s="67" t="s">
        <v>40</v>
      </c>
      <c r="W21" s="67" t="s">
        <v>40</v>
      </c>
      <c r="X21" s="67" t="s">
        <v>40</v>
      </c>
      <c r="Y21" s="67" t="s">
        <v>40</v>
      </c>
      <c r="Z21" s="67" t="s">
        <v>40</v>
      </c>
      <c r="AA21" s="67" t="s">
        <v>40</v>
      </c>
      <c r="AB21" s="67" t="s">
        <v>40</v>
      </c>
      <c r="AC21" s="67" t="s">
        <v>40</v>
      </c>
      <c r="AD21" s="67" t="s">
        <v>40</v>
      </c>
      <c r="AE21" s="67" t="s">
        <v>40</v>
      </c>
      <c r="AF21" s="67" t="s">
        <v>40</v>
      </c>
      <c r="AG21" s="67" t="s">
        <v>40</v>
      </c>
      <c r="AH21" s="67" t="s">
        <v>40</v>
      </c>
      <c r="AI21" s="67" t="s">
        <v>40</v>
      </c>
      <c r="AJ21" s="67" t="s">
        <v>357</v>
      </c>
      <c r="AK21" s="67" t="s">
        <v>40</v>
      </c>
      <c r="AL21" s="67">
        <v>0</v>
      </c>
      <c r="AM21" s="67">
        <v>0</v>
      </c>
      <c r="AN21" s="67">
        <v>0</v>
      </c>
    </row>
    <row r="22" spans="1:40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4" spans="1:40">
      <c r="B24" s="167" t="s">
        <v>43</v>
      </c>
      <c r="C24" s="168">
        <f>D26/D19</f>
        <v>2236.663738194597</v>
      </c>
    </row>
    <row r="25" spans="1:40">
      <c r="D25" s="10"/>
    </row>
    <row r="26" spans="1:40">
      <c r="A26" s="312" t="s">
        <v>44</v>
      </c>
      <c r="B26" s="35" t="s">
        <v>45</v>
      </c>
      <c r="C26" s="35"/>
      <c r="D26" s="175">
        <f t="shared" ref="D26:D38" si="2">SUM(E26:AN26)</f>
        <v>1018353</v>
      </c>
      <c r="E26" s="75">
        <f t="shared" ref="E26:AN26" si="3">SUM(E27:E38)</f>
        <v>0</v>
      </c>
      <c r="F26" s="175">
        <f t="shared" si="3"/>
        <v>2944</v>
      </c>
      <c r="G26" s="75">
        <f t="shared" si="3"/>
        <v>26773</v>
      </c>
      <c r="H26" s="175">
        <f t="shared" si="3"/>
        <v>65583</v>
      </c>
      <c r="I26" s="75">
        <f t="shared" si="3"/>
        <v>42539</v>
      </c>
      <c r="J26" s="175">
        <f t="shared" si="3"/>
        <v>54582</v>
      </c>
      <c r="K26" s="75">
        <f t="shared" si="3"/>
        <v>31791</v>
      </c>
      <c r="L26" s="175">
        <f t="shared" si="3"/>
        <v>53152</v>
      </c>
      <c r="M26" s="75">
        <f t="shared" si="3"/>
        <v>14460</v>
      </c>
      <c r="N26" s="175">
        <f t="shared" si="3"/>
        <v>21053</v>
      </c>
      <c r="O26" s="75">
        <f t="shared" si="3"/>
        <v>60771</v>
      </c>
      <c r="P26" s="175">
        <f t="shared" si="3"/>
        <v>56867</v>
      </c>
      <c r="Q26" s="75">
        <f t="shared" si="3"/>
        <v>43767</v>
      </c>
      <c r="R26" s="175">
        <f t="shared" si="3"/>
        <v>29046</v>
      </c>
      <c r="S26" s="75">
        <f t="shared" si="3"/>
        <v>22547</v>
      </c>
      <c r="T26" s="175">
        <f t="shared" si="3"/>
        <v>0</v>
      </c>
      <c r="U26" s="75">
        <f t="shared" si="3"/>
        <v>54576</v>
      </c>
      <c r="V26" s="175">
        <f t="shared" si="3"/>
        <v>54242</v>
      </c>
      <c r="W26" s="75">
        <f t="shared" si="3"/>
        <v>52301</v>
      </c>
      <c r="X26" s="175">
        <f t="shared" si="3"/>
        <v>27780</v>
      </c>
      <c r="Y26" s="75">
        <f t="shared" si="3"/>
        <v>1735</v>
      </c>
      <c r="Z26" s="175">
        <f t="shared" si="3"/>
        <v>19860</v>
      </c>
      <c r="AA26" s="75">
        <f t="shared" si="3"/>
        <v>26046</v>
      </c>
      <c r="AB26" s="175">
        <f t="shared" si="3"/>
        <v>24152</v>
      </c>
      <c r="AC26" s="75">
        <f t="shared" si="3"/>
        <v>31746</v>
      </c>
      <c r="AD26" s="175">
        <f t="shared" si="3"/>
        <v>26222</v>
      </c>
      <c r="AE26" s="75">
        <f t="shared" si="3"/>
        <v>37627</v>
      </c>
      <c r="AF26" s="175">
        <f t="shared" si="3"/>
        <v>21234</v>
      </c>
      <c r="AG26" s="75">
        <f t="shared" si="3"/>
        <v>7485</v>
      </c>
      <c r="AH26" s="175">
        <f t="shared" si="3"/>
        <v>38242</v>
      </c>
      <c r="AI26" s="75">
        <f t="shared" si="3"/>
        <v>34707</v>
      </c>
      <c r="AJ26" s="175">
        <f t="shared" si="3"/>
        <v>12154</v>
      </c>
      <c r="AK26" s="75">
        <f t="shared" si="3"/>
        <v>22369</v>
      </c>
      <c r="AL26" s="176">
        <f t="shared" si="3"/>
        <v>0</v>
      </c>
      <c r="AM26" s="70">
        <f t="shared" si="3"/>
        <v>0</v>
      </c>
      <c r="AN26" s="70">
        <f t="shared" si="3"/>
        <v>0</v>
      </c>
    </row>
    <row r="27" spans="1:40">
      <c r="A27" s="312"/>
      <c r="B27" s="37" t="s">
        <v>47</v>
      </c>
      <c r="C27" s="38" t="s">
        <v>48</v>
      </c>
      <c r="D27" s="73">
        <f t="shared" si="2"/>
        <v>371933</v>
      </c>
      <c r="E27" s="55">
        <v>0</v>
      </c>
      <c r="F27" s="55">
        <v>0</v>
      </c>
      <c r="G27" s="55">
        <v>1257</v>
      </c>
      <c r="H27" s="55">
        <v>441</v>
      </c>
      <c r="I27" s="55">
        <v>336</v>
      </c>
      <c r="J27" s="55">
        <v>483</v>
      </c>
      <c r="K27" s="55">
        <v>0</v>
      </c>
      <c r="L27" s="55">
        <v>145</v>
      </c>
      <c r="M27" s="55">
        <v>48</v>
      </c>
      <c r="N27" s="55">
        <v>239</v>
      </c>
      <c r="O27" s="55">
        <v>58000</v>
      </c>
      <c r="P27" s="55">
        <v>55126</v>
      </c>
      <c r="Q27" s="55">
        <v>40750</v>
      </c>
      <c r="R27" s="55">
        <v>27436</v>
      </c>
      <c r="S27" s="55">
        <v>18946</v>
      </c>
      <c r="T27" s="55">
        <v>0</v>
      </c>
      <c r="U27" s="55">
        <v>142</v>
      </c>
      <c r="V27" s="55">
        <v>222</v>
      </c>
      <c r="W27" s="55">
        <v>292</v>
      </c>
      <c r="X27" s="55">
        <v>222</v>
      </c>
      <c r="Y27" s="55">
        <v>872</v>
      </c>
      <c r="Z27" s="55">
        <v>17594</v>
      </c>
      <c r="AA27" s="55">
        <v>22702</v>
      </c>
      <c r="AB27" s="55">
        <v>14502</v>
      </c>
      <c r="AC27" s="55">
        <v>24471</v>
      </c>
      <c r="AD27" s="55">
        <v>10022</v>
      </c>
      <c r="AE27" s="55">
        <v>21723</v>
      </c>
      <c r="AF27" s="55">
        <v>15205</v>
      </c>
      <c r="AG27" s="55">
        <v>820</v>
      </c>
      <c r="AH27" s="55">
        <v>885</v>
      </c>
      <c r="AI27" s="55">
        <v>16148</v>
      </c>
      <c r="AJ27" s="55">
        <v>8640</v>
      </c>
      <c r="AK27" s="55">
        <v>14264</v>
      </c>
      <c r="AL27" s="55">
        <v>0</v>
      </c>
      <c r="AM27" s="55">
        <v>0</v>
      </c>
      <c r="AN27" s="55">
        <v>0</v>
      </c>
    </row>
    <row r="28" spans="1:40">
      <c r="A28" s="312"/>
      <c r="B28" s="37" t="s">
        <v>49</v>
      </c>
      <c r="C28" s="38" t="s">
        <v>48</v>
      </c>
      <c r="D28" s="73">
        <f t="shared" si="2"/>
        <v>28144</v>
      </c>
      <c r="E28" s="55">
        <v>0</v>
      </c>
      <c r="F28" s="55">
        <v>0</v>
      </c>
      <c r="G28" s="55">
        <v>236</v>
      </c>
      <c r="H28" s="55">
        <v>96</v>
      </c>
      <c r="I28" s="55">
        <v>94</v>
      </c>
      <c r="J28" s="55">
        <v>144</v>
      </c>
      <c r="K28" s="55">
        <v>283</v>
      </c>
      <c r="L28" s="55">
        <v>378</v>
      </c>
      <c r="M28" s="55">
        <v>142</v>
      </c>
      <c r="N28" s="55">
        <v>94</v>
      </c>
      <c r="O28" s="55">
        <v>1085</v>
      </c>
      <c r="P28" s="55">
        <v>566</v>
      </c>
      <c r="Q28" s="55">
        <v>1038</v>
      </c>
      <c r="R28" s="55">
        <v>755</v>
      </c>
      <c r="S28" s="55">
        <v>944</v>
      </c>
      <c r="T28" s="55">
        <v>0</v>
      </c>
      <c r="U28" s="55">
        <v>141</v>
      </c>
      <c r="V28" s="55">
        <v>282</v>
      </c>
      <c r="W28" s="55">
        <v>94</v>
      </c>
      <c r="X28" s="55">
        <v>188</v>
      </c>
      <c r="Y28" s="55">
        <v>47</v>
      </c>
      <c r="Z28" s="55">
        <v>1457</v>
      </c>
      <c r="AA28" s="55">
        <v>846</v>
      </c>
      <c r="AB28" s="55">
        <v>8470</v>
      </c>
      <c r="AC28" s="55">
        <v>5875</v>
      </c>
      <c r="AD28" s="55">
        <v>470</v>
      </c>
      <c r="AE28" s="55">
        <v>1081</v>
      </c>
      <c r="AF28" s="55">
        <v>893</v>
      </c>
      <c r="AG28" s="55">
        <v>70</v>
      </c>
      <c r="AH28" s="55">
        <v>142</v>
      </c>
      <c r="AI28" s="55">
        <v>612</v>
      </c>
      <c r="AJ28" s="55">
        <v>1175</v>
      </c>
      <c r="AK28" s="55">
        <v>446</v>
      </c>
      <c r="AL28" s="55">
        <v>0</v>
      </c>
      <c r="AM28" s="55">
        <v>0</v>
      </c>
      <c r="AN28" s="55">
        <v>0</v>
      </c>
    </row>
    <row r="29" spans="1:40">
      <c r="A29" s="312"/>
      <c r="B29" s="37" t="s">
        <v>50</v>
      </c>
      <c r="C29" s="38" t="s">
        <v>48</v>
      </c>
      <c r="D29" s="73">
        <f t="shared" si="2"/>
        <v>493533</v>
      </c>
      <c r="E29" s="55">
        <v>0</v>
      </c>
      <c r="F29" s="55">
        <v>2944</v>
      </c>
      <c r="G29" s="55">
        <v>23012</v>
      </c>
      <c r="H29" s="55">
        <v>62634</v>
      </c>
      <c r="I29" s="55">
        <v>36131</v>
      </c>
      <c r="J29" s="55">
        <v>52363</v>
      </c>
      <c r="K29" s="55">
        <v>29803</v>
      </c>
      <c r="L29" s="55">
        <v>44637</v>
      </c>
      <c r="M29" s="55">
        <v>12052</v>
      </c>
      <c r="N29" s="55">
        <v>19142</v>
      </c>
      <c r="O29" s="55">
        <v>0</v>
      </c>
      <c r="P29" s="55">
        <v>46</v>
      </c>
      <c r="Q29" s="55">
        <v>0</v>
      </c>
      <c r="R29" s="55">
        <v>0</v>
      </c>
      <c r="S29" s="55">
        <v>0</v>
      </c>
      <c r="T29" s="55">
        <v>0</v>
      </c>
      <c r="U29" s="55">
        <v>51512</v>
      </c>
      <c r="V29" s="55">
        <v>52760</v>
      </c>
      <c r="W29" s="55">
        <v>49212</v>
      </c>
      <c r="X29" s="55">
        <v>25325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5715</v>
      </c>
      <c r="AE29" s="55">
        <v>1175</v>
      </c>
      <c r="AF29" s="55">
        <v>378</v>
      </c>
      <c r="AG29" s="55">
        <v>0</v>
      </c>
      <c r="AH29" s="55">
        <v>20654</v>
      </c>
      <c r="AI29" s="55">
        <v>2020</v>
      </c>
      <c r="AJ29" s="55">
        <v>190</v>
      </c>
      <c r="AK29" s="55">
        <v>1828</v>
      </c>
      <c r="AL29" s="55">
        <v>0</v>
      </c>
      <c r="AM29" s="55">
        <v>0</v>
      </c>
      <c r="AN29" s="55">
        <v>0</v>
      </c>
    </row>
    <row r="30" spans="1:40">
      <c r="A30" s="312"/>
      <c r="B30" s="37" t="s">
        <v>51</v>
      </c>
      <c r="C30" s="38" t="s">
        <v>48</v>
      </c>
      <c r="D30" s="73">
        <f t="shared" si="2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2"/>
      <c r="B31" s="37" t="s">
        <v>52</v>
      </c>
      <c r="C31" s="38" t="s">
        <v>48</v>
      </c>
      <c r="D31" s="73">
        <f t="shared" si="2"/>
        <v>106478</v>
      </c>
      <c r="E31" s="55">
        <v>0</v>
      </c>
      <c r="F31" s="55">
        <v>0</v>
      </c>
      <c r="G31" s="55">
        <v>2268</v>
      </c>
      <c r="H31" s="55">
        <v>2124</v>
      </c>
      <c r="I31" s="55">
        <v>5868</v>
      </c>
      <c r="J31" s="55">
        <v>1296</v>
      </c>
      <c r="K31" s="55">
        <v>1314</v>
      </c>
      <c r="L31" s="55">
        <v>7992</v>
      </c>
      <c r="M31" s="55">
        <v>1692</v>
      </c>
      <c r="N31" s="55">
        <v>1188</v>
      </c>
      <c r="O31" s="55">
        <v>666</v>
      </c>
      <c r="P31" s="55">
        <v>288</v>
      </c>
      <c r="Q31" s="55">
        <v>588</v>
      </c>
      <c r="R31" s="55">
        <v>730</v>
      </c>
      <c r="S31" s="55">
        <v>594</v>
      </c>
      <c r="T31" s="55">
        <v>0</v>
      </c>
      <c r="U31" s="55">
        <v>2304</v>
      </c>
      <c r="V31" s="55">
        <v>540</v>
      </c>
      <c r="W31" s="55">
        <v>2358</v>
      </c>
      <c r="X31" s="55">
        <v>1368</v>
      </c>
      <c r="Y31" s="55">
        <v>608</v>
      </c>
      <c r="Z31" s="55">
        <v>250</v>
      </c>
      <c r="AA31" s="55">
        <v>0</v>
      </c>
      <c r="AB31" s="55">
        <v>0</v>
      </c>
      <c r="AC31" s="55">
        <v>0</v>
      </c>
      <c r="AD31" s="55">
        <v>8932</v>
      </c>
      <c r="AE31" s="55">
        <v>13348</v>
      </c>
      <c r="AF31" s="55">
        <v>4546</v>
      </c>
      <c r="AG31" s="55">
        <v>6574</v>
      </c>
      <c r="AH31" s="55">
        <v>16461</v>
      </c>
      <c r="AI31" s="55">
        <v>15509</v>
      </c>
      <c r="AJ31" s="55">
        <v>1591</v>
      </c>
      <c r="AK31" s="55">
        <v>5481</v>
      </c>
      <c r="AL31" s="55">
        <v>0</v>
      </c>
      <c r="AM31" s="55">
        <v>0</v>
      </c>
      <c r="AN31" s="55">
        <v>0</v>
      </c>
    </row>
    <row r="32" spans="1:40">
      <c r="A32" s="312"/>
      <c r="B32" s="37" t="s">
        <v>53</v>
      </c>
      <c r="C32" s="38" t="s">
        <v>48</v>
      </c>
      <c r="D32" s="73">
        <f t="shared" si="2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2"/>
      <c r="B33" s="37" t="s">
        <v>54</v>
      </c>
      <c r="C33" s="38" t="s">
        <v>48</v>
      </c>
      <c r="D33" s="73">
        <f t="shared" si="2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2"/>
      <c r="B34" s="37" t="s">
        <v>55</v>
      </c>
      <c r="C34" s="38" t="s">
        <v>48</v>
      </c>
      <c r="D34" s="73">
        <f t="shared" si="2"/>
        <v>3269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211</v>
      </c>
      <c r="Q34" s="55">
        <v>441</v>
      </c>
      <c r="R34" s="55">
        <v>105</v>
      </c>
      <c r="S34" s="55">
        <v>1113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820</v>
      </c>
      <c r="AB34" s="55">
        <v>285</v>
      </c>
      <c r="AC34" s="55">
        <v>0</v>
      </c>
      <c r="AD34" s="55">
        <v>63</v>
      </c>
      <c r="AE34" s="55">
        <v>0</v>
      </c>
      <c r="AF34" s="55">
        <v>42</v>
      </c>
      <c r="AG34" s="55">
        <v>21</v>
      </c>
      <c r="AH34" s="55">
        <v>0</v>
      </c>
      <c r="AI34" s="55">
        <v>0</v>
      </c>
      <c r="AJ34" s="55">
        <v>168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2"/>
      <c r="B35" s="37" t="s">
        <v>56</v>
      </c>
      <c r="C35" s="38" t="s">
        <v>48</v>
      </c>
      <c r="D35" s="73">
        <f t="shared" si="2"/>
        <v>988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40</v>
      </c>
      <c r="Q35" s="55">
        <v>300</v>
      </c>
      <c r="R35" s="55">
        <v>20</v>
      </c>
      <c r="S35" s="55">
        <v>200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278</v>
      </c>
      <c r="AB35" s="55">
        <v>70</v>
      </c>
      <c r="AC35" s="55">
        <v>0</v>
      </c>
      <c r="AD35" s="55">
        <v>20</v>
      </c>
      <c r="AE35" s="55">
        <v>0</v>
      </c>
      <c r="AF35" s="55">
        <v>20</v>
      </c>
      <c r="AG35" s="55">
        <v>0</v>
      </c>
      <c r="AH35" s="55">
        <v>0</v>
      </c>
      <c r="AI35" s="55">
        <v>0</v>
      </c>
      <c r="AJ35" s="55">
        <v>40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2"/>
      <c r="B36" s="37" t="s">
        <v>57</v>
      </c>
      <c r="C36" s="38" t="s">
        <v>48</v>
      </c>
      <c r="D36" s="73">
        <f t="shared" si="2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</row>
    <row r="37" spans="1:40">
      <c r="A37" s="312"/>
      <c r="B37" s="37" t="s">
        <v>58</v>
      </c>
      <c r="C37" s="38" t="s">
        <v>48</v>
      </c>
      <c r="D37" s="73">
        <f t="shared" si="2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</row>
    <row r="38" spans="1:40">
      <c r="A38" s="312"/>
      <c r="B38" s="39" t="s">
        <v>59</v>
      </c>
      <c r="C38" s="40" t="s">
        <v>48</v>
      </c>
      <c r="D38" s="73">
        <f t="shared" si="2"/>
        <v>14008</v>
      </c>
      <c r="E38" s="55">
        <v>0</v>
      </c>
      <c r="F38" s="55">
        <v>0</v>
      </c>
      <c r="G38" s="55">
        <v>0</v>
      </c>
      <c r="H38" s="55">
        <v>288</v>
      </c>
      <c r="I38" s="55">
        <v>110</v>
      </c>
      <c r="J38" s="55">
        <v>296</v>
      </c>
      <c r="K38" s="55">
        <v>391</v>
      </c>
      <c r="L38" s="55">
        <v>0</v>
      </c>
      <c r="M38" s="55">
        <v>526</v>
      </c>
      <c r="N38" s="55">
        <v>390</v>
      </c>
      <c r="O38" s="55">
        <v>1020</v>
      </c>
      <c r="P38" s="55">
        <v>590</v>
      </c>
      <c r="Q38" s="55">
        <v>650</v>
      </c>
      <c r="R38" s="55">
        <v>0</v>
      </c>
      <c r="S38" s="55">
        <v>750</v>
      </c>
      <c r="T38" s="55">
        <v>0</v>
      </c>
      <c r="U38" s="55">
        <v>477</v>
      </c>
      <c r="V38" s="55">
        <v>438</v>
      </c>
      <c r="W38" s="55">
        <v>345</v>
      </c>
      <c r="X38" s="55">
        <v>677</v>
      </c>
      <c r="Y38" s="55">
        <v>208</v>
      </c>
      <c r="Z38" s="55">
        <v>559</v>
      </c>
      <c r="AA38" s="55">
        <v>1400</v>
      </c>
      <c r="AB38" s="55">
        <v>825</v>
      </c>
      <c r="AC38" s="55">
        <v>1400</v>
      </c>
      <c r="AD38" s="55">
        <v>1000</v>
      </c>
      <c r="AE38" s="55">
        <v>300</v>
      </c>
      <c r="AF38" s="55">
        <v>150</v>
      </c>
      <c r="AG38" s="55">
        <v>0</v>
      </c>
      <c r="AH38" s="55">
        <v>100</v>
      </c>
      <c r="AI38" s="55">
        <v>418</v>
      </c>
      <c r="AJ38" s="55">
        <v>350</v>
      </c>
      <c r="AK38" s="55">
        <v>350</v>
      </c>
      <c r="AL38" s="55">
        <v>0</v>
      </c>
      <c r="AM38" s="55">
        <v>0</v>
      </c>
      <c r="AN38" s="55">
        <v>0</v>
      </c>
    </row>
    <row r="39" spans="1:40">
      <c r="A39" s="164"/>
      <c r="B39" s="94" t="s">
        <v>149</v>
      </c>
      <c r="C39" s="166"/>
      <c r="D39" s="180">
        <f t="shared" ref="D39:AN39" si="4">D37/D26</f>
        <v>0</v>
      </c>
      <c r="E39" s="170" t="e">
        <f t="shared" si="4"/>
        <v>#DIV/0!</v>
      </c>
      <c r="F39" s="170">
        <f t="shared" si="4"/>
        <v>0</v>
      </c>
      <c r="G39" s="170">
        <f t="shared" si="4"/>
        <v>0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 t="e">
        <f t="shared" si="4"/>
        <v>#DIV/0!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>
        <f t="shared" si="4"/>
        <v>0</v>
      </c>
      <c r="AG39" s="170">
        <f t="shared" si="4"/>
        <v>0</v>
      </c>
      <c r="AH39" s="170">
        <f t="shared" si="4"/>
        <v>0</v>
      </c>
      <c r="AI39" s="170">
        <f t="shared" si="4"/>
        <v>0</v>
      </c>
      <c r="AJ39" s="170">
        <f t="shared" si="4"/>
        <v>0</v>
      </c>
      <c r="AK39" s="170">
        <f t="shared" si="4"/>
        <v>0</v>
      </c>
      <c r="AL39" s="170" t="e">
        <f t="shared" si="4"/>
        <v>#DIV/0!</v>
      </c>
      <c r="AM39" s="170" t="e">
        <f t="shared" si="4"/>
        <v>#DIV/0!</v>
      </c>
      <c r="AN39" s="170" t="e">
        <f t="shared" si="4"/>
        <v>#DIV/0!</v>
      </c>
    </row>
    <row r="40" spans="1:40" ht="18.75" customHeight="1">
      <c r="A40" s="245"/>
      <c r="B40" s="246" t="s">
        <v>338</v>
      </c>
      <c r="C40" s="247" t="s">
        <v>84</v>
      </c>
      <c r="D40" s="248"/>
      <c r="E40" s="249" t="e">
        <f t="shared" ref="E40:AN40" si="5">+E60/E26</f>
        <v>#DIV/0!</v>
      </c>
      <c r="F40" s="249">
        <f t="shared" si="5"/>
        <v>21</v>
      </c>
      <c r="G40" s="249">
        <f t="shared" si="5"/>
        <v>21.744877301759235</v>
      </c>
      <c r="H40" s="249">
        <f t="shared" si="5"/>
        <v>20.910187091166918</v>
      </c>
      <c r="I40" s="249">
        <f t="shared" si="5"/>
        <v>20.140873081172572</v>
      </c>
      <c r="J40" s="249">
        <f t="shared" si="5"/>
        <v>21.035803011981972</v>
      </c>
      <c r="K40" s="249">
        <f t="shared" si="5"/>
        <v>20.611424617029979</v>
      </c>
      <c r="L40" s="249">
        <f t="shared" si="5"/>
        <v>19.94185355207706</v>
      </c>
      <c r="M40" s="249">
        <f t="shared" si="5"/>
        <v>19.905283540802216</v>
      </c>
      <c r="N40" s="249">
        <f t="shared" si="5"/>
        <v>20.744672968223053</v>
      </c>
      <c r="O40" s="249">
        <f t="shared" si="5"/>
        <v>48.530404304684801</v>
      </c>
      <c r="P40" s="249">
        <f t="shared" si="5"/>
        <v>49.159691912708603</v>
      </c>
      <c r="Q40" s="249">
        <f t="shared" si="5"/>
        <v>48.267452646971464</v>
      </c>
      <c r="R40" s="249">
        <f t="shared" si="5"/>
        <v>48.453790539144805</v>
      </c>
      <c r="S40" s="249">
        <f t="shared" si="5"/>
        <v>46.807903490486538</v>
      </c>
      <c r="T40" s="249" t="e">
        <f t="shared" si="5"/>
        <v>#DIV/0!</v>
      </c>
      <c r="U40" s="249">
        <f t="shared" si="5"/>
        <v>20.680423629434184</v>
      </c>
      <c r="V40" s="249">
        <f t="shared" si="5"/>
        <v>20.994358615095315</v>
      </c>
      <c r="W40" s="249">
        <f t="shared" si="5"/>
        <v>20.75986310013193</v>
      </c>
      <c r="X40" s="249">
        <f t="shared" si="5"/>
        <v>20.662152627789776</v>
      </c>
      <c r="Y40" s="249">
        <f t="shared" si="5"/>
        <v>31.898328530259366</v>
      </c>
      <c r="Z40" s="249">
        <f t="shared" si="5"/>
        <v>46.706445115810673</v>
      </c>
      <c r="AA40" s="249">
        <f t="shared" si="5"/>
        <v>47.094003685786682</v>
      </c>
      <c r="AB40" s="249">
        <f t="shared" si="5"/>
        <v>40.278747101689305</v>
      </c>
      <c r="AC40" s="249">
        <f t="shared" si="5"/>
        <v>43.882693882693886</v>
      </c>
      <c r="AD40" s="249">
        <f t="shared" si="5"/>
        <v>29.25978948974144</v>
      </c>
      <c r="AE40" s="249">
        <f t="shared" si="5"/>
        <v>35.04729582480666</v>
      </c>
      <c r="AF40" s="249">
        <f t="shared" si="5"/>
        <v>40.316049731562586</v>
      </c>
      <c r="AG40" s="249">
        <f t="shared" si="5"/>
        <v>17.468510354041413</v>
      </c>
      <c r="AH40" s="249">
        <f t="shared" si="5"/>
        <v>18.308697243867996</v>
      </c>
      <c r="AI40" s="249">
        <f t="shared" si="5"/>
        <v>30.987028553317774</v>
      </c>
      <c r="AJ40" s="249">
        <f t="shared" si="5"/>
        <v>41.309593549448742</v>
      </c>
      <c r="AK40" s="249">
        <f t="shared" si="5"/>
        <v>37.540042022441767</v>
      </c>
      <c r="AL40" s="249" t="e">
        <f t="shared" si="5"/>
        <v>#DIV/0!</v>
      </c>
      <c r="AM40" s="249" t="e">
        <f t="shared" si="5"/>
        <v>#DIV/0!</v>
      </c>
      <c r="AN40" s="249" t="e">
        <f t="shared" si="5"/>
        <v>#DIV/0!</v>
      </c>
    </row>
    <row r="41" spans="1:40">
      <c r="A41" s="33"/>
      <c r="C41" s="5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</row>
    <row r="42" spans="1:40">
      <c r="A42" s="324" t="s">
        <v>60</v>
      </c>
      <c r="B42" s="50" t="s">
        <v>61</v>
      </c>
      <c r="C42" s="91" t="s">
        <v>62</v>
      </c>
      <c r="D42" s="81">
        <f>SUM(E42:AL42)</f>
        <v>490000</v>
      </c>
      <c r="E42" s="86">
        <v>4000</v>
      </c>
      <c r="F42" s="86">
        <v>9000</v>
      </c>
      <c r="G42" s="86">
        <v>16000</v>
      </c>
      <c r="H42" s="86">
        <v>13000</v>
      </c>
      <c r="I42" s="86">
        <v>15000</v>
      </c>
      <c r="J42" s="86">
        <v>15000</v>
      </c>
      <c r="K42" s="86">
        <v>16000</v>
      </c>
      <c r="L42" s="86">
        <v>15000</v>
      </c>
      <c r="M42" s="86">
        <v>15000</v>
      </c>
      <c r="N42" s="86">
        <v>15000</v>
      </c>
      <c r="O42" s="86">
        <v>16000</v>
      </c>
      <c r="P42" s="86">
        <v>14000</v>
      </c>
      <c r="Q42" s="86">
        <v>16000</v>
      </c>
      <c r="R42" s="86">
        <v>19000</v>
      </c>
      <c r="S42" s="86">
        <v>16000</v>
      </c>
      <c r="T42" s="86">
        <v>8000</v>
      </c>
      <c r="U42" s="86">
        <v>14000</v>
      </c>
      <c r="V42" s="86">
        <v>14000</v>
      </c>
      <c r="W42" s="86">
        <v>16000</v>
      </c>
      <c r="X42" s="86">
        <v>17000</v>
      </c>
      <c r="Y42" s="86">
        <v>17000</v>
      </c>
      <c r="Z42" s="86">
        <v>15000</v>
      </c>
      <c r="AA42" s="86">
        <v>15000</v>
      </c>
      <c r="AB42" s="86">
        <v>15000</v>
      </c>
      <c r="AC42" s="86">
        <v>15000</v>
      </c>
      <c r="AD42" s="86">
        <v>16000</v>
      </c>
      <c r="AE42" s="86">
        <v>15000</v>
      </c>
      <c r="AF42" s="86">
        <v>15000</v>
      </c>
      <c r="AG42" s="86">
        <v>15000</v>
      </c>
      <c r="AH42" s="86">
        <v>14000</v>
      </c>
      <c r="AI42" s="86">
        <v>14000</v>
      </c>
      <c r="AJ42" s="86">
        <v>15000</v>
      </c>
      <c r="AK42" s="86">
        <v>15000</v>
      </c>
      <c r="AL42" s="86">
        <v>11000</v>
      </c>
      <c r="AM42" s="86">
        <v>7000</v>
      </c>
      <c r="AN42" s="86">
        <v>0</v>
      </c>
    </row>
    <row r="43" spans="1:40">
      <c r="A43" s="324"/>
      <c r="B43" s="39" t="s">
        <v>63</v>
      </c>
      <c r="C43" s="92" t="s">
        <v>62</v>
      </c>
      <c r="D43" s="82">
        <f>SUM(E43:AL43)</f>
        <v>500</v>
      </c>
      <c r="E43" s="87">
        <v>0</v>
      </c>
      <c r="F43" s="87">
        <v>200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7"/>
      <c r="U43" s="87">
        <v>0</v>
      </c>
      <c r="V43" s="87"/>
      <c r="W43" s="87">
        <v>0</v>
      </c>
      <c r="X43" s="87">
        <v>100</v>
      </c>
      <c r="Y43" s="87">
        <v>0</v>
      </c>
      <c r="Z43" s="87">
        <v>0</v>
      </c>
      <c r="AA43" s="87">
        <v>0</v>
      </c>
      <c r="AB43" s="87">
        <v>0</v>
      </c>
      <c r="AC43" s="87">
        <v>0</v>
      </c>
      <c r="AD43" s="87">
        <v>200</v>
      </c>
      <c r="AE43" s="87"/>
      <c r="AF43" s="87"/>
      <c r="AG43" s="87">
        <v>0</v>
      </c>
      <c r="AH43" s="87">
        <v>0</v>
      </c>
      <c r="AI43" s="87">
        <v>0</v>
      </c>
      <c r="AJ43" s="87" t="s">
        <v>128</v>
      </c>
      <c r="AK43" s="87">
        <v>0</v>
      </c>
      <c r="AL43" s="87"/>
      <c r="AM43" s="87">
        <v>0</v>
      </c>
      <c r="AN43" s="87">
        <v>0</v>
      </c>
    </row>
    <row r="45" spans="1:40">
      <c r="B45" s="167" t="s">
        <v>240</v>
      </c>
      <c r="C45" s="184" t="s">
        <v>241</v>
      </c>
      <c r="D45" s="187">
        <f t="shared" ref="D45:AN45" si="6">D42/D26</f>
        <v>0.48116910344448338</v>
      </c>
      <c r="E45" s="185" t="e">
        <f t="shared" si="6"/>
        <v>#DIV/0!</v>
      </c>
      <c r="F45" s="188">
        <f t="shared" si="6"/>
        <v>3.0570652173913042</v>
      </c>
      <c r="G45" s="186">
        <f t="shared" si="6"/>
        <v>0.59761700220371272</v>
      </c>
      <c r="H45" s="188">
        <f t="shared" si="6"/>
        <v>0.1982221002393913</v>
      </c>
      <c r="I45" s="186">
        <f t="shared" si="6"/>
        <v>0.35261759796892261</v>
      </c>
      <c r="J45" s="188">
        <f t="shared" si="6"/>
        <v>0.27481587336484553</v>
      </c>
      <c r="K45" s="186">
        <f t="shared" si="6"/>
        <v>0.50328709383158754</v>
      </c>
      <c r="L45" s="188">
        <f t="shared" si="6"/>
        <v>0.28220951234196268</v>
      </c>
      <c r="M45" s="186">
        <f t="shared" si="6"/>
        <v>1.0373443983402491</v>
      </c>
      <c r="N45" s="188">
        <f t="shared" si="6"/>
        <v>0.71248753146819932</v>
      </c>
      <c r="O45" s="186">
        <f t="shared" si="6"/>
        <v>0.26328347402543978</v>
      </c>
      <c r="P45" s="188">
        <f t="shared" si="6"/>
        <v>0.24618847486239823</v>
      </c>
      <c r="Q45" s="186">
        <f t="shared" si="6"/>
        <v>0.36557223478876777</v>
      </c>
      <c r="R45" s="188">
        <f t="shared" si="6"/>
        <v>0.65413482062934658</v>
      </c>
      <c r="S45" s="186">
        <f t="shared" si="6"/>
        <v>0.70962877544684433</v>
      </c>
      <c r="T45" s="188" t="e">
        <f t="shared" si="6"/>
        <v>#DIV/0!</v>
      </c>
      <c r="U45" s="186">
        <f t="shared" si="6"/>
        <v>0.25652301377895048</v>
      </c>
      <c r="V45" s="188">
        <f t="shared" si="6"/>
        <v>0.25810257733859371</v>
      </c>
      <c r="W45" s="186">
        <f t="shared" si="6"/>
        <v>0.30592149289688536</v>
      </c>
      <c r="X45" s="188">
        <f t="shared" si="6"/>
        <v>0.61195104391648669</v>
      </c>
      <c r="Y45" s="186">
        <f t="shared" si="6"/>
        <v>9.7982708933717575</v>
      </c>
      <c r="Z45" s="188">
        <f t="shared" si="6"/>
        <v>0.75528700906344415</v>
      </c>
      <c r="AA45" s="186">
        <f t="shared" si="6"/>
        <v>0.57590416954618751</v>
      </c>
      <c r="AB45" s="188">
        <f t="shared" si="6"/>
        <v>0.62106657833719769</v>
      </c>
      <c r="AC45" s="186">
        <f t="shared" si="6"/>
        <v>0.4725004725004725</v>
      </c>
      <c r="AD45" s="188">
        <f t="shared" si="6"/>
        <v>0.61017466249713981</v>
      </c>
      <c r="AE45" s="186">
        <f t="shared" si="6"/>
        <v>0.39864990565285569</v>
      </c>
      <c r="AF45" s="188">
        <f t="shared" si="6"/>
        <v>0.70641424131110486</v>
      </c>
      <c r="AG45" s="186">
        <f t="shared" si="6"/>
        <v>2.0040080160320639</v>
      </c>
      <c r="AH45" s="188">
        <f t="shared" si="6"/>
        <v>0.36608963966319752</v>
      </c>
      <c r="AI45" s="186">
        <f t="shared" si="6"/>
        <v>0.40337684040683436</v>
      </c>
      <c r="AJ45" s="188">
        <f t="shared" si="6"/>
        <v>1.2341615928912293</v>
      </c>
      <c r="AK45" s="186">
        <f t="shared" si="6"/>
        <v>0.67057087934194648</v>
      </c>
      <c r="AL45" s="188" t="e">
        <f t="shared" si="6"/>
        <v>#DIV/0!</v>
      </c>
      <c r="AM45" s="186" t="e">
        <f t="shared" si="6"/>
        <v>#DIV/0!</v>
      </c>
      <c r="AN45" s="186" t="e">
        <f t="shared" si="6"/>
        <v>#DIV/0!</v>
      </c>
    </row>
    <row r="47" spans="1:40">
      <c r="A47" s="312" t="s">
        <v>64</v>
      </c>
      <c r="B47" s="93" t="s">
        <v>65</v>
      </c>
      <c r="C47" s="47" t="s">
        <v>8</v>
      </c>
      <c r="D47" s="182">
        <f>SUM(E47:AN47)</f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88">
        <v>0</v>
      </c>
      <c r="AI47" s="88">
        <v>0</v>
      </c>
      <c r="AJ47" s="88">
        <v>0</v>
      </c>
      <c r="AK47" s="88">
        <v>0</v>
      </c>
      <c r="AL47" s="88">
        <v>0</v>
      </c>
      <c r="AM47" s="88">
        <v>0</v>
      </c>
      <c r="AN47" s="88">
        <v>0</v>
      </c>
    </row>
    <row r="48" spans="1:40">
      <c r="A48" s="312"/>
      <c r="B48" s="94" t="s">
        <v>66</v>
      </c>
      <c r="C48" s="38" t="s">
        <v>8</v>
      </c>
      <c r="D48" s="182">
        <f>SUM(E48:AN48)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</row>
    <row r="49" spans="1:40">
      <c r="A49" s="312"/>
      <c r="B49" s="94" t="s">
        <v>67</v>
      </c>
      <c r="C49" s="38" t="s">
        <v>8</v>
      </c>
      <c r="D49" s="182">
        <f>SUM(E49:AN49)</f>
        <v>2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2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</row>
    <row r="50" spans="1:40">
      <c r="A50" s="312"/>
      <c r="B50" s="95" t="s">
        <v>68</v>
      </c>
      <c r="C50" s="40" t="s">
        <v>8</v>
      </c>
      <c r="D50" s="182">
        <f>SUM(E50:AN50)</f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90">
        <v>0</v>
      </c>
      <c r="AJ50" s="90">
        <v>0</v>
      </c>
      <c r="AK50" s="90">
        <v>0</v>
      </c>
      <c r="AL50" s="90">
        <v>0</v>
      </c>
      <c r="AM50" s="90">
        <v>0</v>
      </c>
      <c r="AN50" s="90">
        <v>0</v>
      </c>
    </row>
    <row r="51" spans="1:40">
      <c r="A51" s="312"/>
      <c r="B51" s="93" t="s">
        <v>69</v>
      </c>
      <c r="C51" s="91" t="s">
        <v>48</v>
      </c>
      <c r="D51" s="195">
        <f>SUM(E51:AM51)</f>
        <v>454300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6">
        <v>0</v>
      </c>
      <c r="O51" s="86">
        <v>0</v>
      </c>
      <c r="P51" s="86">
        <v>0</v>
      </c>
      <c r="Q51" s="86">
        <v>0</v>
      </c>
      <c r="R51" s="86">
        <v>0</v>
      </c>
      <c r="S51" s="86">
        <v>232300</v>
      </c>
      <c r="T51" s="86">
        <v>0</v>
      </c>
      <c r="U51" s="86">
        <v>0</v>
      </c>
      <c r="V51" s="86">
        <v>0</v>
      </c>
      <c r="W51" s="86">
        <v>0</v>
      </c>
      <c r="X51" s="86">
        <v>0</v>
      </c>
      <c r="Y51" s="86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6">
        <v>0</v>
      </c>
      <c r="AK51" s="86">
        <v>0</v>
      </c>
      <c r="AL51" s="86">
        <v>0</v>
      </c>
      <c r="AM51" s="86">
        <v>222000</v>
      </c>
      <c r="AN51" s="86">
        <v>0</v>
      </c>
    </row>
    <row r="52" spans="1:40">
      <c r="A52" s="312"/>
      <c r="B52" s="95" t="s">
        <v>70</v>
      </c>
      <c r="C52" s="92" t="s">
        <v>48</v>
      </c>
      <c r="D52" s="199">
        <f>SUM(E52:AM52)</f>
        <v>13900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7100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Z52" s="87">
        <v>0</v>
      </c>
      <c r="AA52" s="87">
        <v>0</v>
      </c>
      <c r="AB52" s="87">
        <v>0</v>
      </c>
      <c r="AC52" s="87"/>
      <c r="AD52" s="87">
        <v>0</v>
      </c>
      <c r="AE52" s="87">
        <v>0</v>
      </c>
      <c r="AF52" s="87">
        <v>0</v>
      </c>
      <c r="AG52" s="87">
        <v>0</v>
      </c>
      <c r="AH52" s="87"/>
      <c r="AI52" s="87">
        <v>0</v>
      </c>
      <c r="AJ52" s="87">
        <v>0</v>
      </c>
      <c r="AK52" s="87">
        <v>0</v>
      </c>
      <c r="AL52" s="87">
        <v>0</v>
      </c>
      <c r="AM52" s="87">
        <v>6800</v>
      </c>
      <c r="AN52" s="87">
        <v>0</v>
      </c>
    </row>
    <row r="53" spans="1:40"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>
      <c r="A54" s="315" t="s">
        <v>71</v>
      </c>
      <c r="B54" s="50" t="s">
        <v>72</v>
      </c>
      <c r="C54" s="45" t="s">
        <v>73</v>
      </c>
      <c r="D54" s="7" t="s">
        <v>73</v>
      </c>
      <c r="E54" s="7" t="s">
        <v>73</v>
      </c>
      <c r="F54" s="7" t="s">
        <v>73</v>
      </c>
      <c r="G54" s="7" t="s">
        <v>73</v>
      </c>
      <c r="H54" s="7" t="s">
        <v>73</v>
      </c>
      <c r="I54" s="7" t="s">
        <v>73</v>
      </c>
      <c r="J54" s="7" t="s">
        <v>73</v>
      </c>
      <c r="K54" s="7" t="s">
        <v>73</v>
      </c>
      <c r="L54" s="7" t="s">
        <v>73</v>
      </c>
      <c r="M54" s="7" t="s">
        <v>73</v>
      </c>
      <c r="N54" s="7" t="s">
        <v>73</v>
      </c>
      <c r="O54" s="7" t="s">
        <v>73</v>
      </c>
      <c r="P54" s="7" t="s">
        <v>73</v>
      </c>
      <c r="Q54" s="7" t="s">
        <v>73</v>
      </c>
      <c r="R54" s="7" t="s">
        <v>73</v>
      </c>
      <c r="S54" s="7" t="s">
        <v>73</v>
      </c>
      <c r="T54" s="7" t="s">
        <v>73</v>
      </c>
      <c r="U54" s="7" t="s">
        <v>73</v>
      </c>
      <c r="V54" s="7" t="s">
        <v>73</v>
      </c>
      <c r="W54" s="7" t="s">
        <v>73</v>
      </c>
      <c r="X54" s="7" t="s">
        <v>73</v>
      </c>
      <c r="Y54" s="7" t="s">
        <v>73</v>
      </c>
      <c r="Z54" s="7" t="s">
        <v>73</v>
      </c>
      <c r="AA54" s="7" t="s">
        <v>73</v>
      </c>
      <c r="AB54" s="7" t="s">
        <v>73</v>
      </c>
      <c r="AC54" s="7" t="s">
        <v>73</v>
      </c>
      <c r="AD54" s="7" t="s">
        <v>73</v>
      </c>
      <c r="AE54" s="7" t="s">
        <v>73</v>
      </c>
      <c r="AF54" s="7" t="s">
        <v>73</v>
      </c>
      <c r="AG54" s="7" t="s">
        <v>73</v>
      </c>
      <c r="AH54" s="7" t="s">
        <v>73</v>
      </c>
      <c r="AI54" s="7" t="s">
        <v>73</v>
      </c>
      <c r="AJ54" s="7" t="s">
        <v>73</v>
      </c>
      <c r="AK54" s="7" t="s">
        <v>73</v>
      </c>
      <c r="AL54" s="7" t="s">
        <v>73</v>
      </c>
      <c r="AM54" s="7" t="s">
        <v>73</v>
      </c>
      <c r="AN54" s="7" t="s">
        <v>73</v>
      </c>
    </row>
    <row r="55" spans="1:40">
      <c r="A55" s="315"/>
      <c r="B55" s="37" t="s">
        <v>74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75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75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</row>
    <row r="56" spans="1:40">
      <c r="A56" s="315"/>
      <c r="B56" s="37" t="s">
        <v>7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358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75</v>
      </c>
      <c r="AM56" s="8" t="s">
        <v>75</v>
      </c>
      <c r="AN56" s="8" t="s">
        <v>75</v>
      </c>
    </row>
    <row r="57" spans="1:40">
      <c r="A57" s="315"/>
      <c r="B57" s="37" t="s">
        <v>76</v>
      </c>
      <c r="C57" s="51" t="s">
        <v>75</v>
      </c>
      <c r="D57" s="8" t="s">
        <v>75</v>
      </c>
      <c r="E57" s="8" t="s">
        <v>75</v>
      </c>
      <c r="F57" s="8" t="s">
        <v>75</v>
      </c>
      <c r="G57" s="8" t="s">
        <v>75</v>
      </c>
      <c r="H57" s="8" t="s">
        <v>75</v>
      </c>
      <c r="I57" s="8" t="s">
        <v>75</v>
      </c>
      <c r="J57" s="8" t="s">
        <v>75</v>
      </c>
      <c r="K57" s="8" t="s">
        <v>75</v>
      </c>
      <c r="L57" s="8" t="s">
        <v>75</v>
      </c>
      <c r="M57" s="8" t="s">
        <v>75</v>
      </c>
      <c r="N57" s="8" t="s">
        <v>75</v>
      </c>
      <c r="O57" s="8" t="s">
        <v>75</v>
      </c>
      <c r="P57" s="8" t="s">
        <v>75</v>
      </c>
      <c r="Q57" s="8" t="s">
        <v>75</v>
      </c>
      <c r="R57" s="8" t="s">
        <v>75</v>
      </c>
      <c r="S57" s="8" t="s">
        <v>75</v>
      </c>
      <c r="T57" s="8" t="s">
        <v>75</v>
      </c>
      <c r="U57" s="8" t="s">
        <v>75</v>
      </c>
      <c r="V57" s="8" t="s">
        <v>75</v>
      </c>
      <c r="W57" s="8" t="s">
        <v>75</v>
      </c>
      <c r="X57" s="8" t="s">
        <v>75</v>
      </c>
      <c r="Y57" s="8" t="s">
        <v>75</v>
      </c>
      <c r="Z57" s="8" t="s">
        <v>75</v>
      </c>
      <c r="AA57" s="8" t="s">
        <v>75</v>
      </c>
      <c r="AB57" s="8" t="s">
        <v>75</v>
      </c>
      <c r="AC57" s="8" t="s">
        <v>75</v>
      </c>
      <c r="AD57" s="8" t="s">
        <v>75</v>
      </c>
      <c r="AE57" s="8" t="s">
        <v>75</v>
      </c>
      <c r="AF57" s="8" t="s">
        <v>75</v>
      </c>
      <c r="AG57" s="8" t="s">
        <v>75</v>
      </c>
      <c r="AH57" s="8" t="s">
        <v>75</v>
      </c>
      <c r="AI57" s="8" t="s">
        <v>75</v>
      </c>
      <c r="AJ57" s="8" t="s">
        <v>75</v>
      </c>
      <c r="AK57" s="8" t="s">
        <v>75</v>
      </c>
      <c r="AL57" s="8" t="s">
        <v>75</v>
      </c>
      <c r="AM57" s="8" t="s">
        <v>75</v>
      </c>
      <c r="AN57" s="8" t="s">
        <v>75</v>
      </c>
    </row>
    <row r="58" spans="1:40">
      <c r="A58" s="315"/>
      <c r="B58" s="39" t="s">
        <v>82</v>
      </c>
      <c r="C58" s="52" t="s">
        <v>75</v>
      </c>
      <c r="D58" s="9" t="s">
        <v>75</v>
      </c>
      <c r="E58" s="9" t="s">
        <v>75</v>
      </c>
      <c r="F58" s="9" t="s">
        <v>75</v>
      </c>
      <c r="G58" s="9" t="s">
        <v>75</v>
      </c>
      <c r="H58" s="9" t="s">
        <v>75</v>
      </c>
      <c r="I58" s="9" t="s">
        <v>75</v>
      </c>
      <c r="J58" s="9" t="s">
        <v>75</v>
      </c>
      <c r="K58" s="9" t="s">
        <v>75</v>
      </c>
      <c r="L58" s="9" t="s">
        <v>75</v>
      </c>
      <c r="M58" s="9" t="s">
        <v>75</v>
      </c>
      <c r="N58" s="9" t="s">
        <v>75</v>
      </c>
      <c r="O58" s="9" t="s">
        <v>75</v>
      </c>
      <c r="P58" s="9" t="s">
        <v>75</v>
      </c>
      <c r="Q58" s="9" t="s">
        <v>75</v>
      </c>
      <c r="R58" s="9" t="s">
        <v>75</v>
      </c>
      <c r="S58" s="9" t="s">
        <v>75</v>
      </c>
      <c r="T58" s="9" t="s">
        <v>75</v>
      </c>
      <c r="U58" s="9" t="s">
        <v>75</v>
      </c>
      <c r="V58" s="9" t="s">
        <v>75</v>
      </c>
      <c r="W58" s="9" t="s">
        <v>75</v>
      </c>
      <c r="X58" s="9" t="s">
        <v>75</v>
      </c>
      <c r="Y58" s="9" t="s">
        <v>75</v>
      </c>
      <c r="Z58" s="9" t="s">
        <v>75</v>
      </c>
      <c r="AA58" s="9" t="s">
        <v>75</v>
      </c>
      <c r="AB58" s="9" t="s">
        <v>75</v>
      </c>
      <c r="AC58" s="9" t="s">
        <v>75</v>
      </c>
      <c r="AD58" s="9" t="s">
        <v>75</v>
      </c>
      <c r="AE58" s="9" t="s">
        <v>75</v>
      </c>
      <c r="AF58" s="9" t="s">
        <v>75</v>
      </c>
      <c r="AG58" s="9" t="s">
        <v>75</v>
      </c>
      <c r="AH58" s="9" t="s">
        <v>75</v>
      </c>
      <c r="AI58" s="9" t="s">
        <v>75</v>
      </c>
      <c r="AJ58" s="9" t="s">
        <v>75</v>
      </c>
      <c r="AK58" s="9" t="s">
        <v>75</v>
      </c>
      <c r="AL58" s="9" t="s">
        <v>75</v>
      </c>
      <c r="AM58" s="9" t="s">
        <v>75</v>
      </c>
      <c r="AN58" s="9" t="s">
        <v>75</v>
      </c>
    </row>
    <row r="60" spans="1:40" ht="15.75">
      <c r="B60" s="53" t="s">
        <v>83</v>
      </c>
      <c r="C60" s="99" t="s">
        <v>84</v>
      </c>
      <c r="D60" s="100">
        <f t="shared" ref="D60:AN60" si="7">SUM(D61:D73)</f>
        <v>32926808.920000002</v>
      </c>
      <c r="E60" s="101">
        <f t="shared" si="7"/>
        <v>0</v>
      </c>
      <c r="F60" s="101">
        <f t="shared" si="7"/>
        <v>61824</v>
      </c>
      <c r="G60" s="101">
        <f t="shared" si="7"/>
        <v>582175.6</v>
      </c>
      <c r="H60" s="101">
        <f t="shared" si="7"/>
        <v>1371352.8</v>
      </c>
      <c r="I60" s="101">
        <f t="shared" si="7"/>
        <v>856772.6</v>
      </c>
      <c r="J60" s="101">
        <f t="shared" si="7"/>
        <v>1148176.2</v>
      </c>
      <c r="K60" s="101">
        <f t="shared" si="7"/>
        <v>655257.80000000005</v>
      </c>
      <c r="L60" s="101">
        <f t="shared" si="7"/>
        <v>1059949.3999999999</v>
      </c>
      <c r="M60" s="101">
        <f t="shared" si="7"/>
        <v>287830.40000000002</v>
      </c>
      <c r="N60" s="101">
        <f t="shared" si="7"/>
        <v>436737.6</v>
      </c>
      <c r="O60" s="101">
        <f t="shared" si="7"/>
        <v>2949241.2</v>
      </c>
      <c r="P60" s="101">
        <f t="shared" si="7"/>
        <v>2795564.2</v>
      </c>
      <c r="Q60" s="101">
        <f t="shared" si="7"/>
        <v>2112521.6</v>
      </c>
      <c r="R60" s="101">
        <f t="shared" si="7"/>
        <v>1407388.8</v>
      </c>
      <c r="S60" s="101">
        <f t="shared" si="7"/>
        <v>1055377.8</v>
      </c>
      <c r="T60" s="101">
        <f t="shared" si="7"/>
        <v>0</v>
      </c>
      <c r="U60" s="101">
        <f t="shared" si="7"/>
        <v>1128654.8</v>
      </c>
      <c r="V60" s="101">
        <f t="shared" si="7"/>
        <v>1138776</v>
      </c>
      <c r="W60" s="101">
        <f t="shared" si="7"/>
        <v>1085761.6000000001</v>
      </c>
      <c r="X60" s="101">
        <f t="shared" si="7"/>
        <v>573994.6</v>
      </c>
      <c r="Y60" s="101">
        <f t="shared" si="7"/>
        <v>55343.6</v>
      </c>
      <c r="Z60" s="101">
        <f t="shared" si="7"/>
        <v>927590</v>
      </c>
      <c r="AA60" s="101">
        <f t="shared" si="7"/>
        <v>1226610.42</v>
      </c>
      <c r="AB60" s="101">
        <f t="shared" si="7"/>
        <v>972812.3</v>
      </c>
      <c r="AC60" s="101">
        <f t="shared" si="7"/>
        <v>1393100</v>
      </c>
      <c r="AD60" s="101">
        <f t="shared" si="7"/>
        <v>767250.20000000007</v>
      </c>
      <c r="AE60" s="101">
        <f t="shared" si="7"/>
        <v>1318724.6000000001</v>
      </c>
      <c r="AF60" s="101">
        <f t="shared" si="7"/>
        <v>856071</v>
      </c>
      <c r="AG60" s="101">
        <f t="shared" si="7"/>
        <v>130751.79999999999</v>
      </c>
      <c r="AH60" s="101">
        <f t="shared" si="7"/>
        <v>700161.2</v>
      </c>
      <c r="AI60" s="101">
        <f t="shared" si="7"/>
        <v>1075466.8</v>
      </c>
      <c r="AJ60" s="101">
        <f t="shared" si="7"/>
        <v>502076.8</v>
      </c>
      <c r="AK60" s="101">
        <f t="shared" si="7"/>
        <v>839733.2</v>
      </c>
      <c r="AL60" s="101">
        <f t="shared" si="7"/>
        <v>0</v>
      </c>
      <c r="AM60" s="101">
        <f t="shared" si="7"/>
        <v>710400</v>
      </c>
      <c r="AN60" s="101">
        <f t="shared" si="7"/>
        <v>0</v>
      </c>
    </row>
    <row r="61" spans="1:40">
      <c r="B61" s="96" t="s">
        <v>47</v>
      </c>
      <c r="C61" s="111">
        <v>50</v>
      </c>
      <c r="D61" s="97">
        <f t="shared" ref="D61:AN61" si="8">D27*$C61</f>
        <v>18596650</v>
      </c>
      <c r="E61" s="104">
        <f t="shared" si="8"/>
        <v>0</v>
      </c>
      <c r="F61" s="104">
        <f t="shared" si="8"/>
        <v>0</v>
      </c>
      <c r="G61" s="104">
        <f t="shared" si="8"/>
        <v>62850</v>
      </c>
      <c r="H61" s="104">
        <f t="shared" si="8"/>
        <v>22050</v>
      </c>
      <c r="I61" s="104">
        <f t="shared" si="8"/>
        <v>16800</v>
      </c>
      <c r="J61" s="104">
        <f t="shared" si="8"/>
        <v>24150</v>
      </c>
      <c r="K61" s="104">
        <f t="shared" si="8"/>
        <v>0</v>
      </c>
      <c r="L61" s="104">
        <f t="shared" si="8"/>
        <v>7250</v>
      </c>
      <c r="M61" s="104">
        <f t="shared" si="8"/>
        <v>2400</v>
      </c>
      <c r="N61" s="104">
        <f t="shared" si="8"/>
        <v>11950</v>
      </c>
      <c r="O61" s="104">
        <f t="shared" si="8"/>
        <v>2900000</v>
      </c>
      <c r="P61" s="104">
        <f t="shared" si="8"/>
        <v>2756300</v>
      </c>
      <c r="Q61" s="104">
        <f t="shared" si="8"/>
        <v>2037500</v>
      </c>
      <c r="R61" s="104">
        <f t="shared" si="8"/>
        <v>1371800</v>
      </c>
      <c r="S61" s="104">
        <f t="shared" si="8"/>
        <v>947300</v>
      </c>
      <c r="T61" s="104">
        <f t="shared" si="8"/>
        <v>0</v>
      </c>
      <c r="U61" s="104">
        <f t="shared" si="8"/>
        <v>7100</v>
      </c>
      <c r="V61" s="104">
        <f t="shared" si="8"/>
        <v>11100</v>
      </c>
      <c r="W61" s="104">
        <f t="shared" si="8"/>
        <v>14600</v>
      </c>
      <c r="X61" s="104">
        <f t="shared" si="8"/>
        <v>11100</v>
      </c>
      <c r="Y61" s="104">
        <f t="shared" si="8"/>
        <v>43600</v>
      </c>
      <c r="Z61" s="104">
        <f t="shared" si="8"/>
        <v>879700</v>
      </c>
      <c r="AA61" s="104">
        <f t="shared" si="8"/>
        <v>1135100</v>
      </c>
      <c r="AB61" s="104">
        <f t="shared" si="8"/>
        <v>725100</v>
      </c>
      <c r="AC61" s="104">
        <f t="shared" si="8"/>
        <v>1223550</v>
      </c>
      <c r="AD61" s="104">
        <f t="shared" si="8"/>
        <v>501100</v>
      </c>
      <c r="AE61" s="104">
        <f t="shared" si="8"/>
        <v>1086150</v>
      </c>
      <c r="AF61" s="104">
        <f t="shared" si="8"/>
        <v>760250</v>
      </c>
      <c r="AG61" s="104">
        <f t="shared" si="8"/>
        <v>41000</v>
      </c>
      <c r="AH61" s="104">
        <f t="shared" si="8"/>
        <v>44250</v>
      </c>
      <c r="AI61" s="104">
        <f t="shared" si="8"/>
        <v>807400</v>
      </c>
      <c r="AJ61" s="104">
        <f t="shared" si="8"/>
        <v>432000</v>
      </c>
      <c r="AK61" s="104">
        <f t="shared" si="8"/>
        <v>713200</v>
      </c>
      <c r="AL61" s="104">
        <f t="shared" si="8"/>
        <v>0</v>
      </c>
      <c r="AM61" s="104">
        <f t="shared" si="8"/>
        <v>0</v>
      </c>
      <c r="AN61" s="104">
        <f t="shared" si="8"/>
        <v>0</v>
      </c>
    </row>
    <row r="62" spans="1:40">
      <c r="B62" s="96" t="s">
        <v>49</v>
      </c>
      <c r="C62" s="111">
        <v>26</v>
      </c>
      <c r="D62" s="97">
        <f t="shared" ref="D62:AN62" si="9">D28*$C62</f>
        <v>731744</v>
      </c>
      <c r="E62" s="104">
        <f t="shared" si="9"/>
        <v>0</v>
      </c>
      <c r="F62" s="104">
        <f t="shared" si="9"/>
        <v>0</v>
      </c>
      <c r="G62" s="104">
        <f t="shared" si="9"/>
        <v>6136</v>
      </c>
      <c r="H62" s="104">
        <f t="shared" si="9"/>
        <v>2496</v>
      </c>
      <c r="I62" s="104">
        <f t="shared" si="9"/>
        <v>2444</v>
      </c>
      <c r="J62" s="104">
        <f t="shared" si="9"/>
        <v>3744</v>
      </c>
      <c r="K62" s="104">
        <f t="shared" si="9"/>
        <v>7358</v>
      </c>
      <c r="L62" s="104">
        <f t="shared" si="9"/>
        <v>9828</v>
      </c>
      <c r="M62" s="104">
        <f t="shared" si="9"/>
        <v>3692</v>
      </c>
      <c r="N62" s="104">
        <f t="shared" si="9"/>
        <v>2444</v>
      </c>
      <c r="O62" s="104">
        <f t="shared" si="9"/>
        <v>28210</v>
      </c>
      <c r="P62" s="104">
        <f t="shared" si="9"/>
        <v>14716</v>
      </c>
      <c r="Q62" s="104">
        <f t="shared" si="9"/>
        <v>26988</v>
      </c>
      <c r="R62" s="104">
        <f t="shared" si="9"/>
        <v>19630</v>
      </c>
      <c r="S62" s="104">
        <f t="shared" si="9"/>
        <v>24544</v>
      </c>
      <c r="T62" s="104">
        <f t="shared" si="9"/>
        <v>0</v>
      </c>
      <c r="U62" s="104">
        <f t="shared" si="9"/>
        <v>3666</v>
      </c>
      <c r="V62" s="104">
        <f t="shared" si="9"/>
        <v>7332</v>
      </c>
      <c r="W62" s="104">
        <f t="shared" si="9"/>
        <v>2444</v>
      </c>
      <c r="X62" s="104">
        <f t="shared" si="9"/>
        <v>4888</v>
      </c>
      <c r="Y62" s="104">
        <f t="shared" si="9"/>
        <v>1222</v>
      </c>
      <c r="Z62" s="104">
        <f t="shared" si="9"/>
        <v>37882</v>
      </c>
      <c r="AA62" s="104">
        <f t="shared" si="9"/>
        <v>21996</v>
      </c>
      <c r="AB62" s="104">
        <f t="shared" si="9"/>
        <v>220220</v>
      </c>
      <c r="AC62" s="104">
        <f t="shared" si="9"/>
        <v>152750</v>
      </c>
      <c r="AD62" s="104">
        <f t="shared" si="9"/>
        <v>12220</v>
      </c>
      <c r="AE62" s="104">
        <f t="shared" si="9"/>
        <v>28106</v>
      </c>
      <c r="AF62" s="104">
        <f t="shared" si="9"/>
        <v>23218</v>
      </c>
      <c r="AG62" s="104">
        <f t="shared" si="9"/>
        <v>1820</v>
      </c>
      <c r="AH62" s="104">
        <f t="shared" si="9"/>
        <v>3692</v>
      </c>
      <c r="AI62" s="104">
        <f t="shared" si="9"/>
        <v>15912</v>
      </c>
      <c r="AJ62" s="104">
        <f t="shared" si="9"/>
        <v>30550</v>
      </c>
      <c r="AK62" s="104">
        <f t="shared" si="9"/>
        <v>11596</v>
      </c>
      <c r="AL62" s="104">
        <f t="shared" si="9"/>
        <v>0</v>
      </c>
      <c r="AM62" s="104">
        <f t="shared" si="9"/>
        <v>0</v>
      </c>
      <c r="AN62" s="104">
        <f t="shared" si="9"/>
        <v>0</v>
      </c>
    </row>
    <row r="63" spans="1:40">
      <c r="B63" s="96" t="s">
        <v>50</v>
      </c>
      <c r="C63" s="111">
        <v>21</v>
      </c>
      <c r="D63" s="97">
        <f t="shared" ref="D63:AN63" si="10">D29*$C63</f>
        <v>10364193</v>
      </c>
      <c r="E63" s="104">
        <f t="shared" si="10"/>
        <v>0</v>
      </c>
      <c r="F63" s="104">
        <f t="shared" si="10"/>
        <v>61824</v>
      </c>
      <c r="G63" s="104">
        <f t="shared" si="10"/>
        <v>483252</v>
      </c>
      <c r="H63" s="104">
        <f t="shared" si="10"/>
        <v>1315314</v>
      </c>
      <c r="I63" s="104">
        <f t="shared" si="10"/>
        <v>758751</v>
      </c>
      <c r="J63" s="104">
        <f t="shared" si="10"/>
        <v>1099623</v>
      </c>
      <c r="K63" s="104">
        <f t="shared" si="10"/>
        <v>625863</v>
      </c>
      <c r="L63" s="104">
        <f t="shared" si="10"/>
        <v>937377</v>
      </c>
      <c r="M63" s="104">
        <f t="shared" si="10"/>
        <v>253092</v>
      </c>
      <c r="N63" s="104">
        <f t="shared" si="10"/>
        <v>401982</v>
      </c>
      <c r="O63" s="104">
        <f t="shared" si="10"/>
        <v>0</v>
      </c>
      <c r="P63" s="104">
        <f t="shared" si="10"/>
        <v>966</v>
      </c>
      <c r="Q63" s="104">
        <f t="shared" si="10"/>
        <v>0</v>
      </c>
      <c r="R63" s="104">
        <f t="shared" si="10"/>
        <v>0</v>
      </c>
      <c r="S63" s="104">
        <f t="shared" si="10"/>
        <v>0</v>
      </c>
      <c r="T63" s="104">
        <f t="shared" si="10"/>
        <v>0</v>
      </c>
      <c r="U63" s="104">
        <f t="shared" si="10"/>
        <v>1081752</v>
      </c>
      <c r="V63" s="104">
        <f t="shared" si="10"/>
        <v>1107960</v>
      </c>
      <c r="W63" s="104">
        <f t="shared" si="10"/>
        <v>1033452</v>
      </c>
      <c r="X63" s="104">
        <f t="shared" si="10"/>
        <v>531825</v>
      </c>
      <c r="Y63" s="104">
        <f t="shared" si="10"/>
        <v>0</v>
      </c>
      <c r="Z63" s="104">
        <f t="shared" si="10"/>
        <v>0</v>
      </c>
      <c r="AA63" s="104">
        <f t="shared" si="10"/>
        <v>0</v>
      </c>
      <c r="AB63" s="104">
        <f t="shared" si="10"/>
        <v>0</v>
      </c>
      <c r="AC63" s="104">
        <f t="shared" si="10"/>
        <v>0</v>
      </c>
      <c r="AD63" s="104">
        <f t="shared" si="10"/>
        <v>120015</v>
      </c>
      <c r="AE63" s="104">
        <f t="shared" si="10"/>
        <v>24675</v>
      </c>
      <c r="AF63" s="104">
        <f t="shared" si="10"/>
        <v>7938</v>
      </c>
      <c r="AG63" s="104">
        <f t="shared" si="10"/>
        <v>0</v>
      </c>
      <c r="AH63" s="104">
        <f t="shared" si="10"/>
        <v>433734</v>
      </c>
      <c r="AI63" s="104">
        <f t="shared" si="10"/>
        <v>42420</v>
      </c>
      <c r="AJ63" s="104">
        <f t="shared" si="10"/>
        <v>3990</v>
      </c>
      <c r="AK63" s="104">
        <f t="shared" si="10"/>
        <v>38388</v>
      </c>
      <c r="AL63" s="104">
        <f t="shared" si="10"/>
        <v>0</v>
      </c>
      <c r="AM63" s="104">
        <f t="shared" si="10"/>
        <v>0</v>
      </c>
      <c r="AN63" s="104">
        <f t="shared" si="10"/>
        <v>0</v>
      </c>
    </row>
    <row r="64" spans="1:40">
      <c r="B64" s="96" t="s">
        <v>51</v>
      </c>
      <c r="C64" s="111">
        <v>15</v>
      </c>
      <c r="D64" s="97">
        <f t="shared" ref="D64:AN64" si="11">D30*$C64</f>
        <v>0</v>
      </c>
      <c r="E64" s="104">
        <f t="shared" si="11"/>
        <v>0</v>
      </c>
      <c r="F64" s="104">
        <f t="shared" si="11"/>
        <v>0</v>
      </c>
      <c r="G64" s="104">
        <f t="shared" si="11"/>
        <v>0</v>
      </c>
      <c r="H64" s="104">
        <f t="shared" si="11"/>
        <v>0</v>
      </c>
      <c r="I64" s="104">
        <f t="shared" si="11"/>
        <v>0</v>
      </c>
      <c r="J64" s="104">
        <f t="shared" si="11"/>
        <v>0</v>
      </c>
      <c r="K64" s="104">
        <f t="shared" si="11"/>
        <v>0</v>
      </c>
      <c r="L64" s="104">
        <f t="shared" si="11"/>
        <v>0</v>
      </c>
      <c r="M64" s="104">
        <f t="shared" si="11"/>
        <v>0</v>
      </c>
      <c r="N64" s="104">
        <f t="shared" si="11"/>
        <v>0</v>
      </c>
      <c r="O64" s="104">
        <f t="shared" si="11"/>
        <v>0</v>
      </c>
      <c r="P64" s="104">
        <f t="shared" si="11"/>
        <v>0</v>
      </c>
      <c r="Q64" s="104">
        <f t="shared" si="11"/>
        <v>0</v>
      </c>
      <c r="R64" s="104">
        <f t="shared" si="11"/>
        <v>0</v>
      </c>
      <c r="S64" s="104">
        <f t="shared" si="11"/>
        <v>0</v>
      </c>
      <c r="T64" s="104">
        <f t="shared" si="11"/>
        <v>0</v>
      </c>
      <c r="U64" s="104">
        <f t="shared" si="11"/>
        <v>0</v>
      </c>
      <c r="V64" s="104">
        <f t="shared" si="11"/>
        <v>0</v>
      </c>
      <c r="W64" s="104">
        <f t="shared" si="11"/>
        <v>0</v>
      </c>
      <c r="X64" s="104">
        <f t="shared" si="11"/>
        <v>0</v>
      </c>
      <c r="Y64" s="104">
        <f t="shared" si="11"/>
        <v>0</v>
      </c>
      <c r="Z64" s="104">
        <f t="shared" si="11"/>
        <v>0</v>
      </c>
      <c r="AA64" s="104">
        <f t="shared" si="11"/>
        <v>0</v>
      </c>
      <c r="AB64" s="104">
        <f t="shared" si="11"/>
        <v>0</v>
      </c>
      <c r="AC64" s="104">
        <f t="shared" si="11"/>
        <v>0</v>
      </c>
      <c r="AD64" s="104">
        <f t="shared" si="11"/>
        <v>0</v>
      </c>
      <c r="AE64" s="104">
        <f t="shared" si="11"/>
        <v>0</v>
      </c>
      <c r="AF64" s="104">
        <f t="shared" si="11"/>
        <v>0</v>
      </c>
      <c r="AG64" s="104">
        <f t="shared" si="11"/>
        <v>0</v>
      </c>
      <c r="AH64" s="104">
        <f t="shared" si="11"/>
        <v>0</v>
      </c>
      <c r="AI64" s="104">
        <f t="shared" si="11"/>
        <v>0</v>
      </c>
      <c r="AJ64" s="104">
        <f t="shared" si="11"/>
        <v>0</v>
      </c>
      <c r="AK64" s="104">
        <f t="shared" si="11"/>
        <v>0</v>
      </c>
      <c r="AL64" s="104">
        <f t="shared" si="11"/>
        <v>0</v>
      </c>
      <c r="AM64" s="104">
        <f t="shared" si="11"/>
        <v>0</v>
      </c>
      <c r="AN64" s="104">
        <f t="shared" si="11"/>
        <v>0</v>
      </c>
    </row>
    <row r="65" spans="2:40">
      <c r="B65" s="96" t="s">
        <v>52</v>
      </c>
      <c r="C65" s="111">
        <v>13.2</v>
      </c>
      <c r="D65" s="97">
        <f t="shared" ref="D65:AN65" si="12">D31*$C65</f>
        <v>1405509.5999999999</v>
      </c>
      <c r="E65" s="104">
        <f t="shared" si="12"/>
        <v>0</v>
      </c>
      <c r="F65" s="104">
        <f t="shared" si="12"/>
        <v>0</v>
      </c>
      <c r="G65" s="104">
        <f t="shared" si="12"/>
        <v>29937.599999999999</v>
      </c>
      <c r="H65" s="104">
        <f t="shared" si="12"/>
        <v>28036.799999999999</v>
      </c>
      <c r="I65" s="104">
        <f t="shared" si="12"/>
        <v>77457.599999999991</v>
      </c>
      <c r="J65" s="104">
        <f t="shared" si="12"/>
        <v>17107.2</v>
      </c>
      <c r="K65" s="104">
        <f t="shared" si="12"/>
        <v>17344.8</v>
      </c>
      <c r="L65" s="104">
        <f t="shared" si="12"/>
        <v>105494.39999999999</v>
      </c>
      <c r="M65" s="104">
        <f t="shared" si="12"/>
        <v>22334.399999999998</v>
      </c>
      <c r="N65" s="104">
        <f t="shared" si="12"/>
        <v>15681.599999999999</v>
      </c>
      <c r="O65" s="104">
        <f t="shared" si="12"/>
        <v>8791.1999999999989</v>
      </c>
      <c r="P65" s="104">
        <f t="shared" si="12"/>
        <v>3801.6</v>
      </c>
      <c r="Q65" s="104">
        <f t="shared" si="12"/>
        <v>7761.5999999999995</v>
      </c>
      <c r="R65" s="104">
        <f t="shared" si="12"/>
        <v>9636</v>
      </c>
      <c r="S65" s="104">
        <f t="shared" si="12"/>
        <v>7840.7999999999993</v>
      </c>
      <c r="T65" s="104">
        <f t="shared" si="12"/>
        <v>0</v>
      </c>
      <c r="U65" s="104">
        <f t="shared" si="12"/>
        <v>30412.799999999999</v>
      </c>
      <c r="V65" s="104">
        <f t="shared" si="12"/>
        <v>7128</v>
      </c>
      <c r="W65" s="104">
        <f t="shared" si="12"/>
        <v>31125.599999999999</v>
      </c>
      <c r="X65" s="104">
        <f t="shared" si="12"/>
        <v>18057.599999999999</v>
      </c>
      <c r="Y65" s="104">
        <f t="shared" si="12"/>
        <v>8025.5999999999995</v>
      </c>
      <c r="Z65" s="104">
        <f t="shared" si="12"/>
        <v>3300</v>
      </c>
      <c r="AA65" s="104">
        <f t="shared" si="12"/>
        <v>0</v>
      </c>
      <c r="AB65" s="104">
        <f t="shared" si="12"/>
        <v>0</v>
      </c>
      <c r="AC65" s="104">
        <f t="shared" si="12"/>
        <v>0</v>
      </c>
      <c r="AD65" s="104">
        <f t="shared" si="12"/>
        <v>117902.39999999999</v>
      </c>
      <c r="AE65" s="104">
        <f t="shared" si="12"/>
        <v>176193.59999999998</v>
      </c>
      <c r="AF65" s="104">
        <f t="shared" si="12"/>
        <v>60007.199999999997</v>
      </c>
      <c r="AG65" s="104">
        <f t="shared" si="12"/>
        <v>86776.799999999988</v>
      </c>
      <c r="AH65" s="104">
        <f t="shared" si="12"/>
        <v>217285.19999999998</v>
      </c>
      <c r="AI65" s="104">
        <f t="shared" si="12"/>
        <v>204718.8</v>
      </c>
      <c r="AJ65" s="104">
        <f t="shared" si="12"/>
        <v>21001.199999999997</v>
      </c>
      <c r="AK65" s="104">
        <f t="shared" si="12"/>
        <v>72349.2</v>
      </c>
      <c r="AL65" s="104">
        <f t="shared" si="12"/>
        <v>0</v>
      </c>
      <c r="AM65" s="104">
        <f t="shared" si="12"/>
        <v>0</v>
      </c>
      <c r="AN65" s="104">
        <f t="shared" si="12"/>
        <v>0</v>
      </c>
    </row>
    <row r="66" spans="2:40">
      <c r="B66" s="96" t="s">
        <v>53</v>
      </c>
      <c r="C66" s="111">
        <v>26.5</v>
      </c>
      <c r="D66" s="97">
        <f t="shared" ref="D66:AN66" si="13">D32*$C66</f>
        <v>0</v>
      </c>
      <c r="E66" s="104">
        <f t="shared" si="13"/>
        <v>0</v>
      </c>
      <c r="F66" s="104">
        <f t="shared" si="13"/>
        <v>0</v>
      </c>
      <c r="G66" s="104">
        <f t="shared" si="13"/>
        <v>0</v>
      </c>
      <c r="H66" s="104">
        <f t="shared" si="13"/>
        <v>0</v>
      </c>
      <c r="I66" s="104">
        <f t="shared" si="13"/>
        <v>0</v>
      </c>
      <c r="J66" s="104">
        <f t="shared" si="13"/>
        <v>0</v>
      </c>
      <c r="K66" s="104">
        <f t="shared" si="13"/>
        <v>0</v>
      </c>
      <c r="L66" s="104">
        <f t="shared" si="13"/>
        <v>0</v>
      </c>
      <c r="M66" s="104">
        <f t="shared" si="13"/>
        <v>0</v>
      </c>
      <c r="N66" s="104">
        <f t="shared" si="13"/>
        <v>0</v>
      </c>
      <c r="O66" s="104">
        <f t="shared" si="13"/>
        <v>0</v>
      </c>
      <c r="P66" s="104">
        <f t="shared" si="13"/>
        <v>0</v>
      </c>
      <c r="Q66" s="104">
        <f t="shared" si="13"/>
        <v>0</v>
      </c>
      <c r="R66" s="104">
        <f t="shared" si="13"/>
        <v>0</v>
      </c>
      <c r="S66" s="104">
        <f t="shared" si="13"/>
        <v>0</v>
      </c>
      <c r="T66" s="104">
        <f t="shared" si="13"/>
        <v>0</v>
      </c>
      <c r="U66" s="104">
        <f t="shared" si="13"/>
        <v>0</v>
      </c>
      <c r="V66" s="104">
        <f t="shared" si="13"/>
        <v>0</v>
      </c>
      <c r="W66" s="104">
        <f t="shared" si="13"/>
        <v>0</v>
      </c>
      <c r="X66" s="104">
        <f t="shared" si="13"/>
        <v>0</v>
      </c>
      <c r="Y66" s="104">
        <f t="shared" si="13"/>
        <v>0</v>
      </c>
      <c r="Z66" s="104">
        <f t="shared" si="13"/>
        <v>0</v>
      </c>
      <c r="AA66" s="104">
        <f t="shared" si="13"/>
        <v>0</v>
      </c>
      <c r="AB66" s="104">
        <f t="shared" si="13"/>
        <v>0</v>
      </c>
      <c r="AC66" s="104">
        <f t="shared" si="13"/>
        <v>0</v>
      </c>
      <c r="AD66" s="104">
        <f t="shared" si="13"/>
        <v>0</v>
      </c>
      <c r="AE66" s="104">
        <f t="shared" si="13"/>
        <v>0</v>
      </c>
      <c r="AF66" s="104">
        <f t="shared" si="13"/>
        <v>0</v>
      </c>
      <c r="AG66" s="104">
        <f t="shared" si="13"/>
        <v>0</v>
      </c>
      <c r="AH66" s="104">
        <f t="shared" si="13"/>
        <v>0</v>
      </c>
      <c r="AI66" s="104">
        <f t="shared" si="13"/>
        <v>0</v>
      </c>
      <c r="AJ66" s="104">
        <f t="shared" si="13"/>
        <v>0</v>
      </c>
      <c r="AK66" s="104">
        <f t="shared" si="13"/>
        <v>0</v>
      </c>
      <c r="AL66" s="104">
        <f t="shared" si="13"/>
        <v>0</v>
      </c>
      <c r="AM66" s="104">
        <f t="shared" si="13"/>
        <v>0</v>
      </c>
      <c r="AN66" s="104">
        <f t="shared" si="13"/>
        <v>0</v>
      </c>
    </row>
    <row r="67" spans="2:40">
      <c r="B67" s="96" t="s">
        <v>54</v>
      </c>
      <c r="C67" s="111">
        <v>10</v>
      </c>
      <c r="D67" s="97">
        <f t="shared" ref="D67:AN67" si="14">D33*$C67</f>
        <v>0</v>
      </c>
      <c r="E67" s="104">
        <f t="shared" si="14"/>
        <v>0</v>
      </c>
      <c r="F67" s="104">
        <f t="shared" si="14"/>
        <v>0</v>
      </c>
      <c r="G67" s="104">
        <f t="shared" si="14"/>
        <v>0</v>
      </c>
      <c r="H67" s="104">
        <f t="shared" si="14"/>
        <v>0</v>
      </c>
      <c r="I67" s="104">
        <f t="shared" si="14"/>
        <v>0</v>
      </c>
      <c r="J67" s="104">
        <f t="shared" si="14"/>
        <v>0</v>
      </c>
      <c r="K67" s="104">
        <f t="shared" si="14"/>
        <v>0</v>
      </c>
      <c r="L67" s="104">
        <f t="shared" si="14"/>
        <v>0</v>
      </c>
      <c r="M67" s="104">
        <f t="shared" si="14"/>
        <v>0</v>
      </c>
      <c r="N67" s="104">
        <f t="shared" si="14"/>
        <v>0</v>
      </c>
      <c r="O67" s="104">
        <f t="shared" si="14"/>
        <v>0</v>
      </c>
      <c r="P67" s="104">
        <f t="shared" si="14"/>
        <v>0</v>
      </c>
      <c r="Q67" s="104">
        <f t="shared" si="14"/>
        <v>0</v>
      </c>
      <c r="R67" s="104">
        <f t="shared" si="14"/>
        <v>0</v>
      </c>
      <c r="S67" s="104">
        <f t="shared" si="14"/>
        <v>0</v>
      </c>
      <c r="T67" s="104">
        <f t="shared" si="14"/>
        <v>0</v>
      </c>
      <c r="U67" s="104">
        <f t="shared" si="14"/>
        <v>0</v>
      </c>
      <c r="V67" s="104">
        <f t="shared" si="14"/>
        <v>0</v>
      </c>
      <c r="W67" s="104">
        <f t="shared" si="14"/>
        <v>0</v>
      </c>
      <c r="X67" s="104">
        <f t="shared" si="14"/>
        <v>0</v>
      </c>
      <c r="Y67" s="104">
        <f t="shared" si="14"/>
        <v>0</v>
      </c>
      <c r="Z67" s="104">
        <f t="shared" si="14"/>
        <v>0</v>
      </c>
      <c r="AA67" s="104">
        <f t="shared" si="14"/>
        <v>0</v>
      </c>
      <c r="AB67" s="104">
        <f t="shared" si="14"/>
        <v>0</v>
      </c>
      <c r="AC67" s="104">
        <f t="shared" si="14"/>
        <v>0</v>
      </c>
      <c r="AD67" s="104">
        <f t="shared" si="14"/>
        <v>0</v>
      </c>
      <c r="AE67" s="104">
        <f t="shared" si="14"/>
        <v>0</v>
      </c>
      <c r="AF67" s="104">
        <f t="shared" si="14"/>
        <v>0</v>
      </c>
      <c r="AG67" s="104">
        <f t="shared" si="14"/>
        <v>0</v>
      </c>
      <c r="AH67" s="104">
        <f t="shared" si="14"/>
        <v>0</v>
      </c>
      <c r="AI67" s="104">
        <f t="shared" si="14"/>
        <v>0</v>
      </c>
      <c r="AJ67" s="104">
        <f t="shared" si="14"/>
        <v>0</v>
      </c>
      <c r="AK67" s="104">
        <f t="shared" si="14"/>
        <v>0</v>
      </c>
      <c r="AL67" s="104">
        <f t="shared" si="14"/>
        <v>0</v>
      </c>
      <c r="AM67" s="104">
        <f t="shared" si="14"/>
        <v>0</v>
      </c>
      <c r="AN67" s="104">
        <f t="shared" si="14"/>
        <v>0</v>
      </c>
    </row>
    <row r="68" spans="2:40">
      <c r="B68" s="96" t="s">
        <v>55</v>
      </c>
      <c r="C68" s="111">
        <v>55</v>
      </c>
      <c r="D68" s="97">
        <f t="shared" ref="D68:AN68" si="15">D34*$C68</f>
        <v>179795</v>
      </c>
      <c r="E68" s="104">
        <f t="shared" si="15"/>
        <v>0</v>
      </c>
      <c r="F68" s="104">
        <f t="shared" si="15"/>
        <v>0</v>
      </c>
      <c r="G68" s="104">
        <f t="shared" si="15"/>
        <v>0</v>
      </c>
      <c r="H68" s="104">
        <f t="shared" si="15"/>
        <v>0</v>
      </c>
      <c r="I68" s="104">
        <f t="shared" si="15"/>
        <v>0</v>
      </c>
      <c r="J68" s="104">
        <f t="shared" si="15"/>
        <v>0</v>
      </c>
      <c r="K68" s="104">
        <f t="shared" si="15"/>
        <v>0</v>
      </c>
      <c r="L68" s="104">
        <f t="shared" si="15"/>
        <v>0</v>
      </c>
      <c r="M68" s="104">
        <f t="shared" si="15"/>
        <v>0</v>
      </c>
      <c r="N68" s="104">
        <f t="shared" si="15"/>
        <v>0</v>
      </c>
      <c r="O68" s="104">
        <f t="shared" si="15"/>
        <v>0</v>
      </c>
      <c r="P68" s="104">
        <f t="shared" si="15"/>
        <v>11605</v>
      </c>
      <c r="Q68" s="104">
        <f t="shared" si="15"/>
        <v>24255</v>
      </c>
      <c r="R68" s="104">
        <f t="shared" si="15"/>
        <v>5775</v>
      </c>
      <c r="S68" s="104">
        <f t="shared" si="15"/>
        <v>61215</v>
      </c>
      <c r="T68" s="104">
        <f t="shared" si="15"/>
        <v>0</v>
      </c>
      <c r="U68" s="104">
        <f t="shared" si="15"/>
        <v>0</v>
      </c>
      <c r="V68" s="104">
        <f t="shared" si="15"/>
        <v>0</v>
      </c>
      <c r="W68" s="104">
        <f t="shared" si="15"/>
        <v>0</v>
      </c>
      <c r="X68" s="104">
        <f t="shared" si="15"/>
        <v>0</v>
      </c>
      <c r="Y68" s="104">
        <f t="shared" si="15"/>
        <v>0</v>
      </c>
      <c r="Z68" s="104">
        <f t="shared" si="15"/>
        <v>0</v>
      </c>
      <c r="AA68" s="104">
        <f t="shared" si="15"/>
        <v>45100</v>
      </c>
      <c r="AB68" s="104">
        <f t="shared" si="15"/>
        <v>15675</v>
      </c>
      <c r="AC68" s="104">
        <f t="shared" si="15"/>
        <v>0</v>
      </c>
      <c r="AD68" s="104">
        <f t="shared" si="15"/>
        <v>3465</v>
      </c>
      <c r="AE68" s="104">
        <f t="shared" si="15"/>
        <v>0</v>
      </c>
      <c r="AF68" s="104">
        <f t="shared" si="15"/>
        <v>2310</v>
      </c>
      <c r="AG68" s="104">
        <f t="shared" si="15"/>
        <v>1155</v>
      </c>
      <c r="AH68" s="104">
        <f t="shared" si="15"/>
        <v>0</v>
      </c>
      <c r="AI68" s="104">
        <f t="shared" si="15"/>
        <v>0</v>
      </c>
      <c r="AJ68" s="104">
        <f t="shared" si="15"/>
        <v>9240</v>
      </c>
      <c r="AK68" s="104">
        <f t="shared" si="15"/>
        <v>0</v>
      </c>
      <c r="AL68" s="104">
        <f t="shared" si="15"/>
        <v>0</v>
      </c>
      <c r="AM68" s="104">
        <f t="shared" si="15"/>
        <v>0</v>
      </c>
      <c r="AN68" s="104">
        <f t="shared" si="15"/>
        <v>0</v>
      </c>
    </row>
    <row r="69" spans="2:40">
      <c r="B69" s="96" t="s">
        <v>56</v>
      </c>
      <c r="C69" s="111">
        <v>27.39</v>
      </c>
      <c r="D69" s="97">
        <f t="shared" ref="D69:AN69" si="16">D35*$C69</f>
        <v>27061.32</v>
      </c>
      <c r="E69" s="104">
        <f t="shared" si="16"/>
        <v>0</v>
      </c>
      <c r="F69" s="104">
        <f t="shared" si="16"/>
        <v>0</v>
      </c>
      <c r="G69" s="104">
        <f t="shared" si="16"/>
        <v>0</v>
      </c>
      <c r="H69" s="104">
        <f t="shared" si="16"/>
        <v>0</v>
      </c>
      <c r="I69" s="104">
        <f t="shared" si="16"/>
        <v>0</v>
      </c>
      <c r="J69" s="104">
        <f t="shared" si="16"/>
        <v>0</v>
      </c>
      <c r="K69" s="104">
        <f t="shared" si="16"/>
        <v>0</v>
      </c>
      <c r="L69" s="104">
        <f t="shared" si="16"/>
        <v>0</v>
      </c>
      <c r="M69" s="104">
        <f t="shared" si="16"/>
        <v>0</v>
      </c>
      <c r="N69" s="104">
        <f t="shared" si="16"/>
        <v>0</v>
      </c>
      <c r="O69" s="104">
        <f t="shared" si="16"/>
        <v>0</v>
      </c>
      <c r="P69" s="104">
        <f t="shared" si="16"/>
        <v>1095.5999999999999</v>
      </c>
      <c r="Q69" s="104">
        <f t="shared" si="16"/>
        <v>8217</v>
      </c>
      <c r="R69" s="104">
        <f t="shared" si="16"/>
        <v>547.79999999999995</v>
      </c>
      <c r="S69" s="104">
        <f t="shared" si="16"/>
        <v>5478</v>
      </c>
      <c r="T69" s="104">
        <f t="shared" si="16"/>
        <v>0</v>
      </c>
      <c r="U69" s="104">
        <f t="shared" si="16"/>
        <v>0</v>
      </c>
      <c r="V69" s="104">
        <f t="shared" si="16"/>
        <v>0</v>
      </c>
      <c r="W69" s="104">
        <f t="shared" si="16"/>
        <v>0</v>
      </c>
      <c r="X69" s="104">
        <f t="shared" si="16"/>
        <v>0</v>
      </c>
      <c r="Y69" s="104">
        <f t="shared" si="16"/>
        <v>0</v>
      </c>
      <c r="Z69" s="104">
        <f t="shared" si="16"/>
        <v>0</v>
      </c>
      <c r="AA69" s="104">
        <f t="shared" si="16"/>
        <v>7614.42</v>
      </c>
      <c r="AB69" s="104">
        <f t="shared" si="16"/>
        <v>1917.3</v>
      </c>
      <c r="AC69" s="104">
        <f t="shared" si="16"/>
        <v>0</v>
      </c>
      <c r="AD69" s="104">
        <f t="shared" si="16"/>
        <v>547.79999999999995</v>
      </c>
      <c r="AE69" s="104">
        <f t="shared" si="16"/>
        <v>0</v>
      </c>
      <c r="AF69" s="104">
        <f t="shared" si="16"/>
        <v>547.79999999999995</v>
      </c>
      <c r="AG69" s="104">
        <f t="shared" si="16"/>
        <v>0</v>
      </c>
      <c r="AH69" s="104">
        <f t="shared" si="16"/>
        <v>0</v>
      </c>
      <c r="AI69" s="104">
        <f t="shared" si="16"/>
        <v>0</v>
      </c>
      <c r="AJ69" s="104">
        <f t="shared" si="16"/>
        <v>1095.5999999999999</v>
      </c>
      <c r="AK69" s="104">
        <f t="shared" si="16"/>
        <v>0</v>
      </c>
      <c r="AL69" s="104">
        <f t="shared" si="16"/>
        <v>0</v>
      </c>
      <c r="AM69" s="104">
        <f t="shared" si="16"/>
        <v>0</v>
      </c>
      <c r="AN69" s="104">
        <f t="shared" si="16"/>
        <v>0</v>
      </c>
    </row>
    <row r="70" spans="2:40">
      <c r="B70" s="96" t="s">
        <v>57</v>
      </c>
      <c r="C70" s="111">
        <v>26</v>
      </c>
      <c r="D70" s="97">
        <f t="shared" ref="D70:AN70" si="17">D36*$C70</f>
        <v>0</v>
      </c>
      <c r="E70" s="104">
        <f t="shared" si="17"/>
        <v>0</v>
      </c>
      <c r="F70" s="104">
        <f t="shared" si="17"/>
        <v>0</v>
      </c>
      <c r="G70" s="104">
        <f t="shared" si="17"/>
        <v>0</v>
      </c>
      <c r="H70" s="104">
        <f t="shared" si="17"/>
        <v>0</v>
      </c>
      <c r="I70" s="104">
        <f t="shared" si="17"/>
        <v>0</v>
      </c>
      <c r="J70" s="104">
        <f t="shared" si="17"/>
        <v>0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>
        <f t="shared" si="17"/>
        <v>0</v>
      </c>
      <c r="Q70" s="104">
        <f t="shared" si="17"/>
        <v>0</v>
      </c>
      <c r="R70" s="104">
        <f t="shared" si="17"/>
        <v>0</v>
      </c>
      <c r="S70" s="104">
        <f t="shared" si="17"/>
        <v>0</v>
      </c>
      <c r="T70" s="104">
        <f t="shared" si="17"/>
        <v>0</v>
      </c>
      <c r="U70" s="104">
        <f t="shared" si="17"/>
        <v>0</v>
      </c>
      <c r="V70" s="104">
        <f t="shared" si="17"/>
        <v>0</v>
      </c>
      <c r="W70" s="104">
        <f t="shared" si="17"/>
        <v>0</v>
      </c>
      <c r="X70" s="104">
        <f t="shared" si="17"/>
        <v>0</v>
      </c>
      <c r="Y70" s="104">
        <f t="shared" si="17"/>
        <v>0</v>
      </c>
      <c r="Z70" s="104">
        <f t="shared" si="17"/>
        <v>0</v>
      </c>
      <c r="AA70" s="104">
        <f t="shared" si="17"/>
        <v>0</v>
      </c>
      <c r="AB70" s="104">
        <f t="shared" si="17"/>
        <v>0</v>
      </c>
      <c r="AC70" s="104">
        <f t="shared" si="17"/>
        <v>0</v>
      </c>
      <c r="AD70" s="104">
        <f t="shared" si="17"/>
        <v>0</v>
      </c>
      <c r="AE70" s="104">
        <f t="shared" si="17"/>
        <v>0</v>
      </c>
      <c r="AF70" s="104">
        <f t="shared" si="17"/>
        <v>0</v>
      </c>
      <c r="AG70" s="104">
        <f t="shared" si="17"/>
        <v>0</v>
      </c>
      <c r="AH70" s="104">
        <f t="shared" si="17"/>
        <v>0</v>
      </c>
      <c r="AI70" s="104">
        <f t="shared" si="17"/>
        <v>0</v>
      </c>
      <c r="AJ70" s="104">
        <f t="shared" si="17"/>
        <v>0</v>
      </c>
      <c r="AK70" s="104">
        <f t="shared" si="17"/>
        <v>0</v>
      </c>
      <c r="AL70" s="104">
        <f t="shared" si="17"/>
        <v>0</v>
      </c>
      <c r="AM70" s="104">
        <f t="shared" si="17"/>
        <v>0</v>
      </c>
      <c r="AN70" s="104">
        <f t="shared" si="17"/>
        <v>0</v>
      </c>
    </row>
    <row r="71" spans="2:40">
      <c r="B71" s="96" t="s">
        <v>58</v>
      </c>
      <c r="C71" s="111">
        <v>48</v>
      </c>
      <c r="D71" s="97">
        <f t="shared" ref="D71:AN71" si="18">D37*$C71</f>
        <v>0</v>
      </c>
      <c r="E71" s="104">
        <f t="shared" si="18"/>
        <v>0</v>
      </c>
      <c r="F71" s="104">
        <f t="shared" si="18"/>
        <v>0</v>
      </c>
      <c r="G71" s="104">
        <f t="shared" si="18"/>
        <v>0</v>
      </c>
      <c r="H71" s="104">
        <f t="shared" si="18"/>
        <v>0</v>
      </c>
      <c r="I71" s="104">
        <f t="shared" si="18"/>
        <v>0</v>
      </c>
      <c r="J71" s="104">
        <f t="shared" si="18"/>
        <v>0</v>
      </c>
      <c r="K71" s="104">
        <f t="shared" si="18"/>
        <v>0</v>
      </c>
      <c r="L71" s="104">
        <f t="shared" si="18"/>
        <v>0</v>
      </c>
      <c r="M71" s="104">
        <f t="shared" si="18"/>
        <v>0</v>
      </c>
      <c r="N71" s="104">
        <f t="shared" si="18"/>
        <v>0</v>
      </c>
      <c r="O71" s="104">
        <f t="shared" si="18"/>
        <v>0</v>
      </c>
      <c r="P71" s="104">
        <f t="shared" si="18"/>
        <v>0</v>
      </c>
      <c r="Q71" s="104">
        <f t="shared" si="18"/>
        <v>0</v>
      </c>
      <c r="R71" s="104">
        <f t="shared" si="18"/>
        <v>0</v>
      </c>
      <c r="S71" s="104">
        <f t="shared" si="18"/>
        <v>0</v>
      </c>
      <c r="T71" s="104">
        <f t="shared" si="18"/>
        <v>0</v>
      </c>
      <c r="U71" s="104">
        <f t="shared" si="18"/>
        <v>0</v>
      </c>
      <c r="V71" s="104">
        <f t="shared" si="18"/>
        <v>0</v>
      </c>
      <c r="W71" s="104">
        <f t="shared" si="18"/>
        <v>0</v>
      </c>
      <c r="X71" s="104">
        <f t="shared" si="18"/>
        <v>0</v>
      </c>
      <c r="Y71" s="104">
        <f t="shared" si="18"/>
        <v>0</v>
      </c>
      <c r="Z71" s="104">
        <f t="shared" si="18"/>
        <v>0</v>
      </c>
      <c r="AA71" s="104">
        <f t="shared" si="18"/>
        <v>0</v>
      </c>
      <c r="AB71" s="104">
        <f t="shared" si="18"/>
        <v>0</v>
      </c>
      <c r="AC71" s="104">
        <f t="shared" si="18"/>
        <v>0</v>
      </c>
      <c r="AD71" s="104">
        <f t="shared" si="18"/>
        <v>0</v>
      </c>
      <c r="AE71" s="104">
        <f t="shared" si="18"/>
        <v>0</v>
      </c>
      <c r="AF71" s="104">
        <f t="shared" si="18"/>
        <v>0</v>
      </c>
      <c r="AG71" s="104">
        <f t="shared" si="18"/>
        <v>0</v>
      </c>
      <c r="AH71" s="104">
        <f t="shared" si="18"/>
        <v>0</v>
      </c>
      <c r="AI71" s="104">
        <f t="shared" si="18"/>
        <v>0</v>
      </c>
      <c r="AJ71" s="104">
        <f t="shared" si="18"/>
        <v>0</v>
      </c>
      <c r="AK71" s="104">
        <f t="shared" si="18"/>
        <v>0</v>
      </c>
      <c r="AL71" s="104">
        <f t="shared" si="18"/>
        <v>0</v>
      </c>
      <c r="AM71" s="104">
        <f t="shared" si="18"/>
        <v>0</v>
      </c>
      <c r="AN71" s="104">
        <f t="shared" si="18"/>
        <v>0</v>
      </c>
    </row>
    <row r="72" spans="2:40">
      <c r="B72" s="96" t="s">
        <v>59</v>
      </c>
      <c r="C72" s="112">
        <v>12</v>
      </c>
      <c r="D72" s="97">
        <f t="shared" ref="D72:AN72" si="19">D38*$C72</f>
        <v>168096</v>
      </c>
      <c r="E72" s="104">
        <f t="shared" si="19"/>
        <v>0</v>
      </c>
      <c r="F72" s="104">
        <f t="shared" si="19"/>
        <v>0</v>
      </c>
      <c r="G72" s="104">
        <f t="shared" si="19"/>
        <v>0</v>
      </c>
      <c r="H72" s="104">
        <f t="shared" si="19"/>
        <v>3456</v>
      </c>
      <c r="I72" s="104">
        <f t="shared" si="19"/>
        <v>1320</v>
      </c>
      <c r="J72" s="104">
        <f t="shared" si="19"/>
        <v>3552</v>
      </c>
      <c r="K72" s="104">
        <f t="shared" si="19"/>
        <v>4692</v>
      </c>
      <c r="L72" s="104">
        <f t="shared" si="19"/>
        <v>0</v>
      </c>
      <c r="M72" s="104">
        <f t="shared" si="19"/>
        <v>6312</v>
      </c>
      <c r="N72" s="104">
        <f t="shared" si="19"/>
        <v>4680</v>
      </c>
      <c r="O72" s="104">
        <f t="shared" si="19"/>
        <v>12240</v>
      </c>
      <c r="P72" s="104">
        <f t="shared" si="19"/>
        <v>7080</v>
      </c>
      <c r="Q72" s="104">
        <f t="shared" si="19"/>
        <v>7800</v>
      </c>
      <c r="R72" s="104">
        <f t="shared" si="19"/>
        <v>0</v>
      </c>
      <c r="S72" s="104">
        <f t="shared" si="19"/>
        <v>9000</v>
      </c>
      <c r="T72" s="104">
        <f t="shared" si="19"/>
        <v>0</v>
      </c>
      <c r="U72" s="104">
        <f t="shared" si="19"/>
        <v>5724</v>
      </c>
      <c r="V72" s="104">
        <f t="shared" si="19"/>
        <v>5256</v>
      </c>
      <c r="W72" s="104">
        <f t="shared" si="19"/>
        <v>4140</v>
      </c>
      <c r="X72" s="104">
        <f t="shared" si="19"/>
        <v>8124</v>
      </c>
      <c r="Y72" s="104">
        <f t="shared" si="19"/>
        <v>2496</v>
      </c>
      <c r="Z72" s="104">
        <f t="shared" si="19"/>
        <v>6708</v>
      </c>
      <c r="AA72" s="104">
        <f t="shared" si="19"/>
        <v>16800</v>
      </c>
      <c r="AB72" s="104">
        <f t="shared" si="19"/>
        <v>9900</v>
      </c>
      <c r="AC72" s="104">
        <f t="shared" si="19"/>
        <v>16800</v>
      </c>
      <c r="AD72" s="104">
        <f t="shared" si="19"/>
        <v>12000</v>
      </c>
      <c r="AE72" s="104">
        <f t="shared" si="19"/>
        <v>3600</v>
      </c>
      <c r="AF72" s="104">
        <f t="shared" si="19"/>
        <v>1800</v>
      </c>
      <c r="AG72" s="104">
        <f t="shared" si="19"/>
        <v>0</v>
      </c>
      <c r="AH72" s="104">
        <f t="shared" si="19"/>
        <v>1200</v>
      </c>
      <c r="AI72" s="104">
        <f t="shared" si="19"/>
        <v>5016</v>
      </c>
      <c r="AJ72" s="104">
        <f t="shared" si="19"/>
        <v>4200</v>
      </c>
      <c r="AK72" s="104">
        <f t="shared" si="19"/>
        <v>4200</v>
      </c>
      <c r="AL72" s="104">
        <f t="shared" si="19"/>
        <v>0</v>
      </c>
      <c r="AM72" s="104">
        <f t="shared" si="19"/>
        <v>0</v>
      </c>
      <c r="AN72" s="104">
        <f t="shared" si="19"/>
        <v>0</v>
      </c>
    </row>
    <row r="73" spans="2:40">
      <c r="B73" s="35" t="s">
        <v>85</v>
      </c>
      <c r="C73" s="113">
        <v>3.2</v>
      </c>
      <c r="D73" s="98">
        <f t="shared" ref="D73" si="20">D51*C73</f>
        <v>1453760</v>
      </c>
      <c r="E73" s="107">
        <f t="shared" ref="E73:R73" si="21">+E51*$C$73</f>
        <v>0</v>
      </c>
      <c r="F73" s="107">
        <f t="shared" si="21"/>
        <v>0</v>
      </c>
      <c r="G73" s="107">
        <f t="shared" si="21"/>
        <v>0</v>
      </c>
      <c r="H73" s="107">
        <f t="shared" si="21"/>
        <v>0</v>
      </c>
      <c r="I73" s="107">
        <f t="shared" si="21"/>
        <v>0</v>
      </c>
      <c r="J73" s="107">
        <f t="shared" si="21"/>
        <v>0</v>
      </c>
      <c r="K73" s="107">
        <f t="shared" si="21"/>
        <v>0</v>
      </c>
      <c r="L73" s="107">
        <f t="shared" si="21"/>
        <v>0</v>
      </c>
      <c r="M73" s="107">
        <f t="shared" si="21"/>
        <v>0</v>
      </c>
      <c r="N73" s="107">
        <f t="shared" si="21"/>
        <v>0</v>
      </c>
      <c r="O73" s="107">
        <f t="shared" si="21"/>
        <v>0</v>
      </c>
      <c r="P73" s="107">
        <f t="shared" si="21"/>
        <v>0</v>
      </c>
      <c r="Q73" s="107">
        <f t="shared" si="21"/>
        <v>0</v>
      </c>
      <c r="R73" s="107">
        <f t="shared" si="21"/>
        <v>0</v>
      </c>
      <c r="S73" s="107">
        <v>0</v>
      </c>
      <c r="T73" s="107">
        <f t="shared" ref="T73:AN73" si="22">+T51*$C$73</f>
        <v>0</v>
      </c>
      <c r="U73" s="107">
        <f t="shared" si="22"/>
        <v>0</v>
      </c>
      <c r="V73" s="107">
        <f t="shared" si="22"/>
        <v>0</v>
      </c>
      <c r="W73" s="107">
        <f t="shared" si="22"/>
        <v>0</v>
      </c>
      <c r="X73" s="107">
        <f t="shared" si="22"/>
        <v>0</v>
      </c>
      <c r="Y73" s="107">
        <f t="shared" si="22"/>
        <v>0</v>
      </c>
      <c r="Z73" s="107">
        <f t="shared" si="22"/>
        <v>0</v>
      </c>
      <c r="AA73" s="107">
        <f t="shared" si="22"/>
        <v>0</v>
      </c>
      <c r="AB73" s="107">
        <f t="shared" si="22"/>
        <v>0</v>
      </c>
      <c r="AC73" s="107">
        <f t="shared" si="22"/>
        <v>0</v>
      </c>
      <c r="AD73" s="107">
        <f t="shared" si="22"/>
        <v>0</v>
      </c>
      <c r="AE73" s="107">
        <f t="shared" si="22"/>
        <v>0</v>
      </c>
      <c r="AF73" s="107">
        <f t="shared" si="22"/>
        <v>0</v>
      </c>
      <c r="AG73" s="107">
        <f t="shared" si="22"/>
        <v>0</v>
      </c>
      <c r="AH73" s="107">
        <f t="shared" si="22"/>
        <v>0</v>
      </c>
      <c r="AI73" s="107">
        <f t="shared" si="22"/>
        <v>0</v>
      </c>
      <c r="AJ73" s="107">
        <f t="shared" si="22"/>
        <v>0</v>
      </c>
      <c r="AK73" s="107">
        <f t="shared" si="22"/>
        <v>0</v>
      </c>
      <c r="AL73" s="107">
        <f t="shared" si="22"/>
        <v>0</v>
      </c>
      <c r="AM73" s="107">
        <f t="shared" si="22"/>
        <v>710400</v>
      </c>
      <c r="AN73" s="107">
        <f t="shared" si="22"/>
        <v>0</v>
      </c>
    </row>
    <row r="74" spans="2:40" ht="15.75">
      <c r="B74" s="250" t="s">
        <v>339</v>
      </c>
      <c r="C74" s="251">
        <f>+D60/D26</f>
        <v>32.333394137396368</v>
      </c>
    </row>
    <row r="76" spans="2:40">
      <c r="B76" s="318" t="s">
        <v>86</v>
      </c>
      <c r="C76" s="318"/>
      <c r="D76" s="108">
        <f>AVERAGEIF(E60:N60, "&gt;0")</f>
        <v>717786.26666666672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8" spans="2:40">
      <c r="B78" s="12" t="s">
        <v>87</v>
      </c>
      <c r="C78" s="13">
        <v>0.31</v>
      </c>
      <c r="D78" s="14">
        <f>SUM(E78:AN78)</f>
        <v>9976869.1651999988</v>
      </c>
      <c r="E78" s="14">
        <f t="shared" ref="E78:AN78" si="23">E60*$C$78</f>
        <v>0</v>
      </c>
      <c r="F78" s="14">
        <f t="shared" si="23"/>
        <v>19165.439999999999</v>
      </c>
      <c r="G78" s="14">
        <f t="shared" si="23"/>
        <v>180474.43599999999</v>
      </c>
      <c r="H78" s="14">
        <f t="shared" si="23"/>
        <v>425119.36800000002</v>
      </c>
      <c r="I78" s="14">
        <f t="shared" si="23"/>
        <v>265599.50599999999</v>
      </c>
      <c r="J78" s="14">
        <f t="shared" si="23"/>
        <v>355934.62199999997</v>
      </c>
      <c r="K78" s="15">
        <f t="shared" si="23"/>
        <v>203129.91800000001</v>
      </c>
      <c r="L78" s="14">
        <f t="shared" si="23"/>
        <v>328584.31399999995</v>
      </c>
      <c r="M78" s="15">
        <f t="shared" si="23"/>
        <v>89227.424000000014</v>
      </c>
      <c r="N78" s="14">
        <f t="shared" si="23"/>
        <v>135388.65599999999</v>
      </c>
      <c r="O78" s="14">
        <f t="shared" si="23"/>
        <v>914264.772</v>
      </c>
      <c r="P78" s="14">
        <f t="shared" si="23"/>
        <v>866624.902</v>
      </c>
      <c r="Q78" s="14">
        <f t="shared" si="23"/>
        <v>654881.696</v>
      </c>
      <c r="R78" s="14">
        <f t="shared" si="23"/>
        <v>436290.52799999999</v>
      </c>
      <c r="S78" s="14">
        <f t="shared" si="23"/>
        <v>327167.11800000002</v>
      </c>
      <c r="T78" s="14">
        <f t="shared" si="23"/>
        <v>0</v>
      </c>
      <c r="U78" s="14">
        <f t="shared" si="23"/>
        <v>349882.98800000001</v>
      </c>
      <c r="V78" s="14">
        <f t="shared" si="23"/>
        <v>353020.56</v>
      </c>
      <c r="W78" s="14">
        <f t="shared" si="23"/>
        <v>336586.09600000002</v>
      </c>
      <c r="X78" s="14">
        <f t="shared" si="23"/>
        <v>177938.326</v>
      </c>
      <c r="Y78" s="14">
        <f t="shared" si="23"/>
        <v>17156.516</v>
      </c>
      <c r="Z78" s="14">
        <f t="shared" si="23"/>
        <v>287552.90000000002</v>
      </c>
      <c r="AA78" s="14">
        <f t="shared" si="23"/>
        <v>380249.23019999999</v>
      </c>
      <c r="AB78" s="14">
        <f t="shared" si="23"/>
        <v>301571.81300000002</v>
      </c>
      <c r="AC78" s="14">
        <f t="shared" si="23"/>
        <v>431861</v>
      </c>
      <c r="AD78" s="14">
        <f t="shared" si="23"/>
        <v>237847.56200000003</v>
      </c>
      <c r="AE78" s="14">
        <f t="shared" si="23"/>
        <v>408804.62600000005</v>
      </c>
      <c r="AF78" s="14">
        <f t="shared" si="23"/>
        <v>265382.01</v>
      </c>
      <c r="AG78" s="14">
        <f t="shared" si="23"/>
        <v>40533.057999999997</v>
      </c>
      <c r="AH78" s="14">
        <f t="shared" si="23"/>
        <v>217049.97199999998</v>
      </c>
      <c r="AI78" s="14">
        <f t="shared" si="23"/>
        <v>333394.70799999998</v>
      </c>
      <c r="AJ78" s="14">
        <f t="shared" si="23"/>
        <v>155643.80799999999</v>
      </c>
      <c r="AK78" s="14">
        <f t="shared" si="23"/>
        <v>260317.29199999999</v>
      </c>
      <c r="AL78" s="14">
        <f t="shared" si="23"/>
        <v>0</v>
      </c>
      <c r="AM78" s="14">
        <f t="shared" si="23"/>
        <v>220224</v>
      </c>
      <c r="AN78" s="14">
        <f t="shared" si="23"/>
        <v>0</v>
      </c>
    </row>
    <row r="79" spans="2:40">
      <c r="B79" s="16" t="s">
        <v>88</v>
      </c>
      <c r="C79" s="17">
        <v>60000</v>
      </c>
      <c r="D79" s="18">
        <f>SUM(E79:AN79)</f>
        <v>2160000</v>
      </c>
      <c r="E79" s="18">
        <f t="shared" ref="E79:AN79" si="24">$C$79</f>
        <v>60000</v>
      </c>
      <c r="F79" s="18">
        <f t="shared" si="24"/>
        <v>60000</v>
      </c>
      <c r="G79" s="18">
        <f t="shared" si="24"/>
        <v>60000</v>
      </c>
      <c r="H79" s="18">
        <f t="shared" si="24"/>
        <v>60000</v>
      </c>
      <c r="I79" s="18">
        <f t="shared" si="24"/>
        <v>60000</v>
      </c>
      <c r="J79" s="18">
        <f t="shared" si="24"/>
        <v>60000</v>
      </c>
      <c r="K79" s="19">
        <f t="shared" si="24"/>
        <v>60000</v>
      </c>
      <c r="L79" s="18">
        <f t="shared" si="24"/>
        <v>60000</v>
      </c>
      <c r="M79" s="19">
        <f t="shared" si="24"/>
        <v>60000</v>
      </c>
      <c r="N79" s="18">
        <f t="shared" si="24"/>
        <v>60000</v>
      </c>
      <c r="O79" s="18">
        <f t="shared" si="24"/>
        <v>60000</v>
      </c>
      <c r="P79" s="18">
        <f t="shared" si="24"/>
        <v>60000</v>
      </c>
      <c r="Q79" s="18">
        <f t="shared" si="24"/>
        <v>60000</v>
      </c>
      <c r="R79" s="18">
        <f t="shared" si="24"/>
        <v>60000</v>
      </c>
      <c r="S79" s="18">
        <f t="shared" si="24"/>
        <v>60000</v>
      </c>
      <c r="T79" s="18">
        <f t="shared" si="24"/>
        <v>60000</v>
      </c>
      <c r="U79" s="18">
        <f t="shared" si="24"/>
        <v>60000</v>
      </c>
      <c r="V79" s="18">
        <f t="shared" si="24"/>
        <v>60000</v>
      </c>
      <c r="W79" s="18">
        <f t="shared" si="24"/>
        <v>60000</v>
      </c>
      <c r="X79" s="18">
        <f t="shared" si="24"/>
        <v>60000</v>
      </c>
      <c r="Y79" s="18">
        <f t="shared" si="24"/>
        <v>60000</v>
      </c>
      <c r="Z79" s="18">
        <f t="shared" si="24"/>
        <v>60000</v>
      </c>
      <c r="AA79" s="18">
        <f t="shared" si="24"/>
        <v>60000</v>
      </c>
      <c r="AB79" s="18">
        <f t="shared" si="24"/>
        <v>60000</v>
      </c>
      <c r="AC79" s="18">
        <f t="shared" si="24"/>
        <v>60000</v>
      </c>
      <c r="AD79" s="18">
        <f t="shared" si="24"/>
        <v>60000</v>
      </c>
      <c r="AE79" s="18">
        <f t="shared" si="24"/>
        <v>60000</v>
      </c>
      <c r="AF79" s="18">
        <f t="shared" si="24"/>
        <v>60000</v>
      </c>
      <c r="AG79" s="18">
        <f t="shared" si="24"/>
        <v>60000</v>
      </c>
      <c r="AH79" s="18">
        <f t="shared" si="24"/>
        <v>60000</v>
      </c>
      <c r="AI79" s="18">
        <f t="shared" si="24"/>
        <v>60000</v>
      </c>
      <c r="AJ79" s="18">
        <f t="shared" si="24"/>
        <v>60000</v>
      </c>
      <c r="AK79" s="18">
        <f t="shared" si="24"/>
        <v>60000</v>
      </c>
      <c r="AL79" s="18">
        <f t="shared" si="24"/>
        <v>60000</v>
      </c>
      <c r="AM79" s="18">
        <f t="shared" si="24"/>
        <v>60000</v>
      </c>
      <c r="AN79" s="18">
        <f t="shared" si="24"/>
        <v>60000</v>
      </c>
    </row>
    <row r="80" spans="2:40">
      <c r="B80" s="16" t="s">
        <v>89</v>
      </c>
      <c r="C80" s="17">
        <v>55000</v>
      </c>
      <c r="D80" s="18">
        <f t="shared" ref="D80:D81" si="25">SUM(E80:AN80)</f>
        <v>1980000</v>
      </c>
      <c r="E80" s="18">
        <f t="shared" ref="E80:AN80" si="26">$C$80</f>
        <v>55000</v>
      </c>
      <c r="F80" s="18">
        <f t="shared" si="26"/>
        <v>55000</v>
      </c>
      <c r="G80" s="18">
        <f t="shared" si="26"/>
        <v>55000</v>
      </c>
      <c r="H80" s="18">
        <f t="shared" si="26"/>
        <v>55000</v>
      </c>
      <c r="I80" s="18">
        <f t="shared" si="26"/>
        <v>55000</v>
      </c>
      <c r="J80" s="18">
        <f t="shared" si="26"/>
        <v>55000</v>
      </c>
      <c r="K80" s="19">
        <f t="shared" si="26"/>
        <v>55000</v>
      </c>
      <c r="L80" s="18">
        <f t="shared" si="26"/>
        <v>55000</v>
      </c>
      <c r="M80" s="19">
        <f t="shared" si="26"/>
        <v>55000</v>
      </c>
      <c r="N80" s="18">
        <f t="shared" si="26"/>
        <v>55000</v>
      </c>
      <c r="O80" s="18">
        <f t="shared" si="26"/>
        <v>55000</v>
      </c>
      <c r="P80" s="18">
        <f t="shared" si="26"/>
        <v>55000</v>
      </c>
      <c r="Q80" s="18">
        <f t="shared" si="26"/>
        <v>55000</v>
      </c>
      <c r="R80" s="18">
        <f t="shared" si="26"/>
        <v>55000</v>
      </c>
      <c r="S80" s="18">
        <f t="shared" si="26"/>
        <v>55000</v>
      </c>
      <c r="T80" s="18">
        <f t="shared" si="26"/>
        <v>55000</v>
      </c>
      <c r="U80" s="18">
        <f t="shared" si="26"/>
        <v>55000</v>
      </c>
      <c r="V80" s="18">
        <f t="shared" si="26"/>
        <v>55000</v>
      </c>
      <c r="W80" s="18">
        <f t="shared" si="26"/>
        <v>55000</v>
      </c>
      <c r="X80" s="18">
        <f t="shared" si="26"/>
        <v>55000</v>
      </c>
      <c r="Y80" s="18">
        <f t="shared" si="26"/>
        <v>55000</v>
      </c>
      <c r="Z80" s="18">
        <f t="shared" si="26"/>
        <v>55000</v>
      </c>
      <c r="AA80" s="18">
        <f t="shared" si="26"/>
        <v>55000</v>
      </c>
      <c r="AB80" s="18">
        <f t="shared" si="26"/>
        <v>55000</v>
      </c>
      <c r="AC80" s="18">
        <f t="shared" si="26"/>
        <v>55000</v>
      </c>
      <c r="AD80" s="18">
        <f t="shared" si="26"/>
        <v>55000</v>
      </c>
      <c r="AE80" s="18">
        <f t="shared" si="26"/>
        <v>55000</v>
      </c>
      <c r="AF80" s="18">
        <f t="shared" si="26"/>
        <v>55000</v>
      </c>
      <c r="AG80" s="18">
        <f t="shared" si="26"/>
        <v>55000</v>
      </c>
      <c r="AH80" s="18">
        <f t="shared" si="26"/>
        <v>55000</v>
      </c>
      <c r="AI80" s="18">
        <f t="shared" si="26"/>
        <v>55000</v>
      </c>
      <c r="AJ80" s="18">
        <f t="shared" si="26"/>
        <v>55000</v>
      </c>
      <c r="AK80" s="18">
        <f t="shared" si="26"/>
        <v>55000</v>
      </c>
      <c r="AL80" s="18">
        <f t="shared" si="26"/>
        <v>55000</v>
      </c>
      <c r="AM80" s="18">
        <f t="shared" si="26"/>
        <v>55000</v>
      </c>
      <c r="AN80" s="18">
        <f t="shared" si="26"/>
        <v>55000</v>
      </c>
    </row>
    <row r="81" spans="2:40">
      <c r="B81" s="20" t="s">
        <v>90</v>
      </c>
      <c r="C81" s="21">
        <v>8</v>
      </c>
      <c r="D81" s="18">
        <f t="shared" si="25"/>
        <v>3976000</v>
      </c>
      <c r="E81" s="23">
        <f t="shared" ref="E81:AN81" si="27">$C$81*E42</f>
        <v>32000</v>
      </c>
      <c r="F81" s="23">
        <f t="shared" si="27"/>
        <v>72000</v>
      </c>
      <c r="G81" s="23">
        <f t="shared" si="27"/>
        <v>128000</v>
      </c>
      <c r="H81" s="23">
        <f t="shared" si="27"/>
        <v>104000</v>
      </c>
      <c r="I81" s="23">
        <f t="shared" si="27"/>
        <v>120000</v>
      </c>
      <c r="J81" s="23">
        <f t="shared" si="27"/>
        <v>120000</v>
      </c>
      <c r="K81" s="22">
        <f t="shared" si="27"/>
        <v>128000</v>
      </c>
      <c r="L81" s="23">
        <f t="shared" si="27"/>
        <v>120000</v>
      </c>
      <c r="M81" s="22">
        <f t="shared" si="27"/>
        <v>120000</v>
      </c>
      <c r="N81" s="23">
        <f t="shared" si="27"/>
        <v>120000</v>
      </c>
      <c r="O81" s="23">
        <f t="shared" si="27"/>
        <v>128000</v>
      </c>
      <c r="P81" s="23">
        <f t="shared" si="27"/>
        <v>112000</v>
      </c>
      <c r="Q81" s="23">
        <f t="shared" si="27"/>
        <v>128000</v>
      </c>
      <c r="R81" s="23">
        <f t="shared" si="27"/>
        <v>152000</v>
      </c>
      <c r="S81" s="23">
        <f t="shared" si="27"/>
        <v>128000</v>
      </c>
      <c r="T81" s="23">
        <f t="shared" si="27"/>
        <v>64000</v>
      </c>
      <c r="U81" s="23">
        <f t="shared" si="27"/>
        <v>112000</v>
      </c>
      <c r="V81" s="23">
        <f t="shared" si="27"/>
        <v>112000</v>
      </c>
      <c r="W81" s="23">
        <f t="shared" si="27"/>
        <v>128000</v>
      </c>
      <c r="X81" s="23">
        <f t="shared" si="27"/>
        <v>136000</v>
      </c>
      <c r="Y81" s="23">
        <f t="shared" si="27"/>
        <v>136000</v>
      </c>
      <c r="Z81" s="23">
        <f t="shared" si="27"/>
        <v>120000</v>
      </c>
      <c r="AA81" s="23">
        <f t="shared" si="27"/>
        <v>120000</v>
      </c>
      <c r="AB81" s="23">
        <f t="shared" si="27"/>
        <v>120000</v>
      </c>
      <c r="AC81" s="23">
        <f t="shared" si="27"/>
        <v>120000</v>
      </c>
      <c r="AD81" s="23">
        <f t="shared" si="27"/>
        <v>128000</v>
      </c>
      <c r="AE81" s="23">
        <f t="shared" si="27"/>
        <v>120000</v>
      </c>
      <c r="AF81" s="23">
        <f t="shared" si="27"/>
        <v>120000</v>
      </c>
      <c r="AG81" s="23">
        <f t="shared" si="27"/>
        <v>120000</v>
      </c>
      <c r="AH81" s="23">
        <f t="shared" si="27"/>
        <v>112000</v>
      </c>
      <c r="AI81" s="23">
        <f t="shared" si="27"/>
        <v>112000</v>
      </c>
      <c r="AJ81" s="23">
        <f t="shared" si="27"/>
        <v>120000</v>
      </c>
      <c r="AK81" s="23">
        <f t="shared" si="27"/>
        <v>120000</v>
      </c>
      <c r="AL81" s="23">
        <f t="shared" si="27"/>
        <v>88000</v>
      </c>
      <c r="AM81" s="23">
        <f t="shared" si="27"/>
        <v>56000</v>
      </c>
      <c r="AN81" s="23">
        <f t="shared" si="27"/>
        <v>0</v>
      </c>
    </row>
    <row r="82" spans="2:40">
      <c r="B82" s="24" t="s">
        <v>91</v>
      </c>
      <c r="C82" s="25">
        <f>SUM(E82:AN82)</f>
        <v>14090579.754800003</v>
      </c>
      <c r="D82" s="252">
        <f>D60-D78-D79-D80-D81</f>
        <v>14833939.754800003</v>
      </c>
      <c r="E82" s="177">
        <f t="shared" ref="E82:AN82" si="28">E60-E78-E79-E80-E81</f>
        <v>-147000</v>
      </c>
      <c r="F82" s="26">
        <f t="shared" si="28"/>
        <v>-144341.44</v>
      </c>
      <c r="G82" s="26">
        <f t="shared" si="28"/>
        <v>158701.16399999999</v>
      </c>
      <c r="H82" s="26">
        <f t="shared" si="28"/>
        <v>727233.43200000003</v>
      </c>
      <c r="I82" s="26">
        <f t="shared" si="28"/>
        <v>356173.09400000004</v>
      </c>
      <c r="J82" s="26">
        <f t="shared" si="28"/>
        <v>557241.57799999998</v>
      </c>
      <c r="K82" s="27">
        <f t="shared" si="28"/>
        <v>209127.88200000004</v>
      </c>
      <c r="L82" s="26">
        <f t="shared" si="28"/>
        <v>496365.08599999989</v>
      </c>
      <c r="M82" s="27">
        <f t="shared" si="28"/>
        <v>-36397.023999999976</v>
      </c>
      <c r="N82" s="26">
        <f t="shared" si="28"/>
        <v>66348.944000000018</v>
      </c>
      <c r="O82" s="26">
        <f t="shared" si="28"/>
        <v>1791976.4280000003</v>
      </c>
      <c r="P82" s="26">
        <f t="shared" si="28"/>
        <v>1701939.2980000002</v>
      </c>
      <c r="Q82" s="26">
        <f t="shared" si="28"/>
        <v>1214639.9040000001</v>
      </c>
      <c r="R82" s="26">
        <f t="shared" si="28"/>
        <v>704098.27200000011</v>
      </c>
      <c r="S82" s="26">
        <f t="shared" si="28"/>
        <v>485210.68200000003</v>
      </c>
      <c r="T82" s="26">
        <f t="shared" si="28"/>
        <v>-179000</v>
      </c>
      <c r="U82" s="26">
        <f t="shared" si="28"/>
        <v>551771.81200000003</v>
      </c>
      <c r="V82" s="26">
        <f t="shared" si="28"/>
        <v>558755.43999999994</v>
      </c>
      <c r="W82" s="26">
        <f t="shared" si="28"/>
        <v>506175.50400000007</v>
      </c>
      <c r="X82" s="26">
        <f t="shared" si="28"/>
        <v>145056.27399999998</v>
      </c>
      <c r="Y82" s="26">
        <f t="shared" si="28"/>
        <v>-212812.916</v>
      </c>
      <c r="Z82" s="26">
        <f t="shared" si="28"/>
        <v>405037.1</v>
      </c>
      <c r="AA82" s="26">
        <f t="shared" si="28"/>
        <v>611361.18979999993</v>
      </c>
      <c r="AB82" s="26">
        <f t="shared" si="28"/>
        <v>436240.48699999996</v>
      </c>
      <c r="AC82" s="26">
        <f t="shared" si="28"/>
        <v>726239</v>
      </c>
      <c r="AD82" s="26">
        <f t="shared" si="28"/>
        <v>286402.63800000004</v>
      </c>
      <c r="AE82" s="26">
        <f t="shared" si="28"/>
        <v>674919.97400000005</v>
      </c>
      <c r="AF82" s="26">
        <f t="shared" si="28"/>
        <v>355688.99</v>
      </c>
      <c r="AG82" s="26">
        <f t="shared" si="28"/>
        <v>-144781.258</v>
      </c>
      <c r="AH82" s="26">
        <f t="shared" si="28"/>
        <v>256111.228</v>
      </c>
      <c r="AI82" s="26">
        <f t="shared" si="28"/>
        <v>515072.09200000006</v>
      </c>
      <c r="AJ82" s="26">
        <f t="shared" si="28"/>
        <v>111432.99199999997</v>
      </c>
      <c r="AK82" s="26">
        <f t="shared" si="28"/>
        <v>344415.90799999994</v>
      </c>
      <c r="AL82" s="26">
        <f t="shared" si="28"/>
        <v>-203000</v>
      </c>
      <c r="AM82" s="26">
        <f t="shared" si="28"/>
        <v>319176</v>
      </c>
      <c r="AN82" s="26">
        <f t="shared" si="28"/>
        <v>-115000</v>
      </c>
    </row>
    <row r="83" spans="2:40">
      <c r="B83" s="320" t="s">
        <v>92</v>
      </c>
      <c r="C83" s="320"/>
      <c r="D83" s="320"/>
      <c r="E83" s="29">
        <f t="shared" ref="E83:AN83" si="29">E82+D83</f>
        <v>-147000</v>
      </c>
      <c r="F83" s="29">
        <f t="shared" si="29"/>
        <v>-291341.44</v>
      </c>
      <c r="G83" s="29">
        <f t="shared" si="29"/>
        <v>-132640.27600000001</v>
      </c>
      <c r="H83" s="29">
        <f t="shared" si="29"/>
        <v>594593.15599999996</v>
      </c>
      <c r="I83" s="29">
        <f t="shared" si="29"/>
        <v>950766.25</v>
      </c>
      <c r="J83" s="29">
        <f t="shared" si="29"/>
        <v>1508007.828</v>
      </c>
      <c r="K83" s="28">
        <f t="shared" si="29"/>
        <v>1717135.71</v>
      </c>
      <c r="L83" s="29">
        <f t="shared" si="29"/>
        <v>2213500.7960000001</v>
      </c>
      <c r="M83" s="28">
        <f t="shared" si="29"/>
        <v>2177103.7719999999</v>
      </c>
      <c r="N83" s="29">
        <f t="shared" si="29"/>
        <v>2243452.716</v>
      </c>
      <c r="O83" s="29">
        <f t="shared" si="29"/>
        <v>4035429.1440000003</v>
      </c>
      <c r="P83" s="29">
        <f t="shared" si="29"/>
        <v>5737368.4420000007</v>
      </c>
      <c r="Q83" s="29">
        <f t="shared" si="29"/>
        <v>6952008.3460000008</v>
      </c>
      <c r="R83" s="29">
        <f t="shared" si="29"/>
        <v>7656106.6180000007</v>
      </c>
      <c r="S83" s="29">
        <f t="shared" si="29"/>
        <v>8141317.3000000007</v>
      </c>
      <c r="T83" s="29">
        <f t="shared" si="29"/>
        <v>7962317.3000000007</v>
      </c>
      <c r="U83" s="29">
        <f t="shared" si="29"/>
        <v>8514089.1120000016</v>
      </c>
      <c r="V83" s="29">
        <f t="shared" si="29"/>
        <v>9072844.5520000011</v>
      </c>
      <c r="W83" s="29">
        <f t="shared" si="29"/>
        <v>9579020.0560000017</v>
      </c>
      <c r="X83" s="29">
        <f t="shared" si="29"/>
        <v>9724076.3300000019</v>
      </c>
      <c r="Y83" s="29">
        <f t="shared" si="29"/>
        <v>9511263.4140000027</v>
      </c>
      <c r="Z83" s="29">
        <f t="shared" si="29"/>
        <v>9916300.5140000023</v>
      </c>
      <c r="AA83" s="29">
        <f t="shared" si="29"/>
        <v>10527661.703800002</v>
      </c>
      <c r="AB83" s="29">
        <f t="shared" si="29"/>
        <v>10963902.190800002</v>
      </c>
      <c r="AC83" s="29">
        <f t="shared" si="29"/>
        <v>11690141.190800002</v>
      </c>
      <c r="AD83" s="29">
        <f t="shared" si="29"/>
        <v>11976543.828800002</v>
      </c>
      <c r="AE83" s="29">
        <f t="shared" si="29"/>
        <v>12651463.802800002</v>
      </c>
      <c r="AF83" s="29">
        <f t="shared" si="29"/>
        <v>13007152.792800002</v>
      </c>
      <c r="AG83" s="29">
        <f t="shared" si="29"/>
        <v>12862371.534800002</v>
      </c>
      <c r="AH83" s="29">
        <f t="shared" si="29"/>
        <v>13118482.762800002</v>
      </c>
      <c r="AI83" s="29">
        <f t="shared" si="29"/>
        <v>13633554.854800003</v>
      </c>
      <c r="AJ83" s="29">
        <f t="shared" si="29"/>
        <v>13744987.846800003</v>
      </c>
      <c r="AK83" s="29">
        <f t="shared" si="29"/>
        <v>14089403.754800003</v>
      </c>
      <c r="AL83" s="29">
        <f t="shared" si="29"/>
        <v>13886403.754800003</v>
      </c>
      <c r="AM83" s="29">
        <f t="shared" si="29"/>
        <v>14205579.754800003</v>
      </c>
      <c r="AN83" s="29">
        <f t="shared" si="29"/>
        <v>14090579.754800003</v>
      </c>
    </row>
    <row r="84" spans="2:40">
      <c r="D84" s="259">
        <f t="shared" ref="D84:AN84" si="30">+D82/D60</f>
        <v>0.45051252281510196</v>
      </c>
      <c r="E84" s="259" t="e">
        <f t="shared" si="30"/>
        <v>#DIV/0!</v>
      </c>
      <c r="F84" s="259">
        <f t="shared" si="30"/>
        <v>-2.334715320910973</v>
      </c>
      <c r="G84" s="259">
        <f t="shared" si="30"/>
        <v>0.2726001639367916</v>
      </c>
      <c r="H84" s="259">
        <f t="shared" si="30"/>
        <v>0.53030367677814194</v>
      </c>
      <c r="I84" s="259">
        <f t="shared" si="30"/>
        <v>0.41571485129192981</v>
      </c>
      <c r="J84" s="259">
        <f t="shared" si="30"/>
        <v>0.48532758125451475</v>
      </c>
      <c r="K84" s="259">
        <f t="shared" si="30"/>
        <v>0.319153594203686</v>
      </c>
      <c r="L84" s="259">
        <f t="shared" si="30"/>
        <v>0.46829130333957447</v>
      </c>
      <c r="M84" s="259">
        <f t="shared" si="30"/>
        <v>-0.12645302233537517</v>
      </c>
      <c r="N84" s="259">
        <f t="shared" si="30"/>
        <v>0.15191946834895834</v>
      </c>
      <c r="O84" s="259">
        <f t="shared" si="30"/>
        <v>0.60760592521222079</v>
      </c>
      <c r="P84" s="259">
        <f t="shared" si="30"/>
        <v>0.60879993312262337</v>
      </c>
      <c r="Q84" s="259">
        <f t="shared" si="30"/>
        <v>0.57497159034965606</v>
      </c>
      <c r="R84" s="259">
        <f t="shared" si="30"/>
        <v>0.50028696547819629</v>
      </c>
      <c r="S84" s="259">
        <f t="shared" si="30"/>
        <v>0.45975069970204036</v>
      </c>
      <c r="T84" s="259" t="e">
        <f t="shared" si="30"/>
        <v>#DIV/0!</v>
      </c>
      <c r="U84" s="259">
        <f t="shared" si="30"/>
        <v>0.48887561723921258</v>
      </c>
      <c r="V84" s="259">
        <f t="shared" si="30"/>
        <v>0.49066316817354771</v>
      </c>
      <c r="W84" s="259">
        <f t="shared" si="30"/>
        <v>0.46619396375778993</v>
      </c>
      <c r="X84" s="259">
        <f t="shared" si="30"/>
        <v>0.25271365619119063</v>
      </c>
      <c r="Y84" s="259">
        <f t="shared" si="30"/>
        <v>-3.8453030883426451</v>
      </c>
      <c r="Z84" s="259">
        <f t="shared" si="30"/>
        <v>0.4366553110749361</v>
      </c>
      <c r="AA84" s="259">
        <f t="shared" si="30"/>
        <v>0.49841512825237533</v>
      </c>
      <c r="AB84" s="259">
        <f t="shared" si="30"/>
        <v>0.44843233067673993</v>
      </c>
      <c r="AC84" s="259">
        <f t="shared" si="30"/>
        <v>0.52131146364223668</v>
      </c>
      <c r="AD84" s="259">
        <f t="shared" si="30"/>
        <v>0.37328454003661388</v>
      </c>
      <c r="AE84" s="259">
        <f t="shared" si="30"/>
        <v>0.51179751556920983</v>
      </c>
      <c r="AF84" s="259">
        <f t="shared" si="30"/>
        <v>0.41549005865167726</v>
      </c>
      <c r="AG84" s="259">
        <f t="shared" si="30"/>
        <v>-1.107298392832833</v>
      </c>
      <c r="AH84" s="259">
        <f t="shared" si="30"/>
        <v>0.36578894688823094</v>
      </c>
      <c r="AI84" s="259">
        <f t="shared" si="30"/>
        <v>0.47892886326198081</v>
      </c>
      <c r="AJ84" s="259">
        <f t="shared" si="30"/>
        <v>0.22194411691597773</v>
      </c>
      <c r="AK84" s="259">
        <f t="shared" si="30"/>
        <v>0.41014920929647647</v>
      </c>
      <c r="AL84" s="259" t="e">
        <f t="shared" si="30"/>
        <v>#DIV/0!</v>
      </c>
      <c r="AM84" s="259">
        <f t="shared" si="30"/>
        <v>0.44929054054054052</v>
      </c>
      <c r="AN84" s="259" t="e">
        <f t="shared" si="30"/>
        <v>#DIV/0!</v>
      </c>
    </row>
    <row r="86" spans="2:40">
      <c r="B86" s="30" t="s">
        <v>93</v>
      </c>
      <c r="C86" s="31">
        <f>D42/D26</f>
        <v>0.48116910344448338</v>
      </c>
    </row>
  </sheetData>
  <mergeCells count="6">
    <mergeCell ref="B83:D83"/>
    <mergeCell ref="A26:A38"/>
    <mergeCell ref="A42:A43"/>
    <mergeCell ref="A47:A52"/>
    <mergeCell ref="A54:A58"/>
    <mergeCell ref="B76:C76"/>
  </mergeCells>
  <conditionalFormatting sqref="E40:AN4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3:AN83 B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4C76-D3E5-433D-8FE9-FD7B8A1FB12E}">
  <dimension ref="A2:AN91"/>
  <sheetViews>
    <sheetView showGridLines="0" topLeftCell="A20" zoomScaleNormal="100" workbookViewId="0">
      <selection activeCell="B89" sqref="B89:C89"/>
    </sheetView>
  </sheetViews>
  <sheetFormatPr defaultColWidth="11.42578125" defaultRowHeight="15"/>
  <cols>
    <col min="2" max="2" width="28.140625" bestFit="1" customWidth="1"/>
    <col min="3" max="3" width="16.42578125" bestFit="1" customWidth="1"/>
    <col min="4" max="4" width="14.85546875" customWidth="1"/>
    <col min="5" max="5" width="9.85546875" bestFit="1" customWidth="1"/>
    <col min="6" max="6" width="9.140625" bestFit="1" customWidth="1"/>
    <col min="7" max="7" width="12.28515625" customWidth="1"/>
    <col min="8" max="8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/>
    </row>
    <row r="4" spans="2:40" ht="15.75">
      <c r="B4" s="54" t="s">
        <v>3</v>
      </c>
      <c r="C4" s="110"/>
    </row>
    <row r="5" spans="2:40" ht="15.75">
      <c r="B5" s="54" t="s">
        <v>4</v>
      </c>
      <c r="C5" s="110"/>
    </row>
    <row r="6" spans="2:40" ht="15.75">
      <c r="B6" s="179" t="s">
        <v>230</v>
      </c>
      <c r="C6" s="110"/>
    </row>
    <row r="7" spans="2:40" ht="15.75">
      <c r="B7" s="2"/>
      <c r="C7" s="2"/>
    </row>
    <row r="8" spans="2:40" ht="15.75">
      <c r="B8" s="54" t="s">
        <v>5</v>
      </c>
      <c r="D8" s="41" t="s">
        <v>6</v>
      </c>
      <c r="E8" s="42">
        <v>45124</v>
      </c>
      <c r="F8" s="42">
        <v>45125</v>
      </c>
      <c r="G8" s="42">
        <v>45126</v>
      </c>
      <c r="H8" s="42">
        <v>45127</v>
      </c>
      <c r="I8" s="42">
        <v>45128</v>
      </c>
      <c r="J8" s="42">
        <v>45129</v>
      </c>
      <c r="K8" s="42">
        <v>45130</v>
      </c>
      <c r="L8" s="42">
        <v>45131</v>
      </c>
      <c r="M8" s="42">
        <v>45132</v>
      </c>
      <c r="N8" s="42">
        <v>45133</v>
      </c>
      <c r="O8" s="42">
        <v>45134</v>
      </c>
      <c r="P8" s="42">
        <v>45135</v>
      </c>
      <c r="Q8" s="42">
        <v>45136</v>
      </c>
      <c r="R8" s="42">
        <v>45137</v>
      </c>
      <c r="S8" s="42">
        <v>45138</v>
      </c>
      <c r="T8" s="42">
        <v>45139</v>
      </c>
      <c r="U8" s="42">
        <v>45140</v>
      </c>
      <c r="V8" s="42">
        <v>45141</v>
      </c>
      <c r="W8" s="42">
        <v>45142</v>
      </c>
      <c r="X8" s="42">
        <v>45143</v>
      </c>
      <c r="Y8" s="42">
        <v>45144</v>
      </c>
      <c r="Z8" s="42">
        <v>45145</v>
      </c>
      <c r="AA8" s="42">
        <v>45146</v>
      </c>
      <c r="AB8" s="42">
        <v>45147</v>
      </c>
      <c r="AC8" s="42">
        <v>45148</v>
      </c>
      <c r="AD8" s="42">
        <v>45149</v>
      </c>
      <c r="AE8" s="42">
        <v>45150</v>
      </c>
      <c r="AF8" s="42">
        <v>45151</v>
      </c>
      <c r="AG8" s="42">
        <v>45152</v>
      </c>
      <c r="AH8" s="42">
        <v>45153</v>
      </c>
      <c r="AI8" s="42">
        <v>45154</v>
      </c>
      <c r="AJ8" s="42">
        <v>45155</v>
      </c>
      <c r="AK8" s="42">
        <v>45156</v>
      </c>
      <c r="AL8" s="42">
        <v>45157</v>
      </c>
      <c r="AM8" s="42">
        <v>45158</v>
      </c>
      <c r="AN8" s="42">
        <v>45159</v>
      </c>
    </row>
    <row r="9" spans="2:40">
      <c r="B9" s="46" t="s">
        <v>7</v>
      </c>
      <c r="C9" s="47" t="s">
        <v>8</v>
      </c>
      <c r="D9" s="71">
        <f>SUM(E9:N9)</f>
        <v>186</v>
      </c>
      <c r="E9" s="114">
        <v>0</v>
      </c>
      <c r="F9" s="114">
        <v>0</v>
      </c>
      <c r="G9" s="114">
        <v>18</v>
      </c>
      <c r="H9" s="114">
        <v>24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24</v>
      </c>
      <c r="AI9" s="114">
        <v>24</v>
      </c>
      <c r="AJ9" s="114">
        <v>24</v>
      </c>
      <c r="AK9" s="114">
        <v>24</v>
      </c>
      <c r="AL9" s="114" t="s">
        <v>188</v>
      </c>
      <c r="AM9" s="114">
        <v>0</v>
      </c>
      <c r="AN9" s="114">
        <v>0</v>
      </c>
    </row>
    <row r="10" spans="2:40">
      <c r="B10" s="48" t="s">
        <v>9</v>
      </c>
      <c r="C10" s="38" t="s">
        <v>8</v>
      </c>
      <c r="D10" s="71">
        <f t="shared" ref="D10:D16" si="0">SUM(E10:K10)</f>
        <v>32</v>
      </c>
      <c r="E10" s="115">
        <v>2</v>
      </c>
      <c r="F10" s="115">
        <v>24</v>
      </c>
      <c r="G10" s="115">
        <v>6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 t="s">
        <v>181</v>
      </c>
      <c r="AM10" s="115">
        <v>0</v>
      </c>
      <c r="AN10" s="115">
        <v>0</v>
      </c>
    </row>
    <row r="11" spans="2:40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</row>
    <row r="14" spans="2:40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</row>
    <row r="16" spans="2:40">
      <c r="B16" s="68" t="s">
        <v>15</v>
      </c>
      <c r="C16" s="69" t="s">
        <v>8</v>
      </c>
      <c r="D16" s="70">
        <f t="shared" si="0"/>
        <v>146</v>
      </c>
      <c r="E16" s="117">
        <f t="shared" ref="E16:AN16" si="1">SUM(E9:E15)</f>
        <v>2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0</v>
      </c>
      <c r="AM16" s="117">
        <f t="shared" si="1"/>
        <v>0</v>
      </c>
      <c r="AN16" s="117">
        <f t="shared" si="1"/>
        <v>0</v>
      </c>
    </row>
    <row r="18" spans="1:40">
      <c r="B18" s="50" t="s">
        <v>16</v>
      </c>
      <c r="C18" s="50" t="s">
        <v>0</v>
      </c>
      <c r="D18" s="58">
        <f>SUM(E18:K18)</f>
        <v>0</v>
      </c>
      <c r="E18" s="127">
        <v>0</v>
      </c>
      <c r="F18" s="127">
        <v>0</v>
      </c>
      <c r="G18" s="127" t="s">
        <v>359</v>
      </c>
      <c r="H18" s="127" t="s">
        <v>359</v>
      </c>
      <c r="I18" s="127" t="s">
        <v>359</v>
      </c>
      <c r="J18" s="127" t="s">
        <v>359</v>
      </c>
      <c r="K18" s="127" t="s">
        <v>359</v>
      </c>
      <c r="L18" s="127" t="s">
        <v>359</v>
      </c>
      <c r="M18" s="127" t="s">
        <v>359</v>
      </c>
      <c r="N18" s="127" t="s">
        <v>359</v>
      </c>
      <c r="O18" s="127" t="s">
        <v>359</v>
      </c>
      <c r="P18" s="127" t="s">
        <v>359</v>
      </c>
      <c r="Q18" s="127" t="s">
        <v>359</v>
      </c>
      <c r="R18" s="127" t="s">
        <v>359</v>
      </c>
      <c r="S18" s="127" t="s">
        <v>161</v>
      </c>
      <c r="T18" s="127" t="s">
        <v>359</v>
      </c>
      <c r="U18" s="127" t="s">
        <v>359</v>
      </c>
      <c r="V18" s="127" t="s">
        <v>359</v>
      </c>
      <c r="W18" s="127" t="s">
        <v>359</v>
      </c>
      <c r="X18" s="127" t="s">
        <v>359</v>
      </c>
      <c r="Y18" s="127" t="s">
        <v>359</v>
      </c>
      <c r="Z18" s="127" t="s">
        <v>161</v>
      </c>
      <c r="AA18" s="127" t="s">
        <v>359</v>
      </c>
      <c r="AB18" s="127" t="s">
        <v>161</v>
      </c>
      <c r="AC18" s="127" t="s">
        <v>359</v>
      </c>
      <c r="AD18" s="127" t="s">
        <v>161</v>
      </c>
      <c r="AE18" s="127" t="s">
        <v>359</v>
      </c>
      <c r="AF18" s="127" t="s">
        <v>360</v>
      </c>
      <c r="AG18" s="127" t="s">
        <v>360</v>
      </c>
      <c r="AH18" s="127" t="s">
        <v>360</v>
      </c>
      <c r="AI18" s="127" t="s">
        <v>360</v>
      </c>
      <c r="AJ18" s="127" t="s">
        <v>360</v>
      </c>
      <c r="AK18" s="127" t="s">
        <v>360</v>
      </c>
      <c r="AL18" s="127" t="s">
        <v>360</v>
      </c>
      <c r="AM18" s="127">
        <v>0</v>
      </c>
      <c r="AN18" s="127">
        <v>0</v>
      </c>
    </row>
    <row r="19" spans="1:40">
      <c r="B19" s="37" t="s">
        <v>31</v>
      </c>
      <c r="C19" s="37" t="s">
        <v>32</v>
      </c>
      <c r="D19" s="131">
        <f>SUM(E19:AN19)</f>
        <v>522</v>
      </c>
      <c r="E19" s="162">
        <v>0</v>
      </c>
      <c r="F19" s="162">
        <v>0</v>
      </c>
      <c r="G19" s="162">
        <v>11</v>
      </c>
      <c r="H19" s="162">
        <v>20</v>
      </c>
      <c r="I19" s="162">
        <v>15</v>
      </c>
      <c r="J19" s="162">
        <v>21</v>
      </c>
      <c r="K19" s="162">
        <v>21</v>
      </c>
      <c r="L19" s="162">
        <v>20</v>
      </c>
      <c r="M19" s="162">
        <v>21</v>
      </c>
      <c r="N19" s="162" t="s">
        <v>186</v>
      </c>
      <c r="O19" s="162">
        <v>24</v>
      </c>
      <c r="P19" s="162">
        <v>20</v>
      </c>
      <c r="Q19" s="162">
        <v>21</v>
      </c>
      <c r="R19" s="162">
        <v>21</v>
      </c>
      <c r="S19" s="162">
        <v>21</v>
      </c>
      <c r="T19" s="162">
        <v>21</v>
      </c>
      <c r="U19" s="162">
        <v>21</v>
      </c>
      <c r="V19" s="162">
        <v>21</v>
      </c>
      <c r="W19" s="162">
        <v>21</v>
      </c>
      <c r="X19" s="162">
        <v>21</v>
      </c>
      <c r="Y19" s="162">
        <v>21</v>
      </c>
      <c r="Z19" s="162">
        <v>21</v>
      </c>
      <c r="AA19" s="162" t="s">
        <v>254</v>
      </c>
      <c r="AB19" s="162">
        <v>21</v>
      </c>
      <c r="AC19" s="162">
        <v>21</v>
      </c>
      <c r="AD19" s="162">
        <v>21</v>
      </c>
      <c r="AE19" s="162" t="s">
        <v>254</v>
      </c>
      <c r="AF19" s="162">
        <v>13</v>
      </c>
      <c r="AG19" s="162" t="s">
        <v>34</v>
      </c>
      <c r="AH19" s="162">
        <v>20</v>
      </c>
      <c r="AI19" s="162">
        <v>21</v>
      </c>
      <c r="AJ19" s="162" t="s">
        <v>248</v>
      </c>
      <c r="AK19" s="162">
        <v>22</v>
      </c>
      <c r="AL19" s="162" t="s">
        <v>181</v>
      </c>
      <c r="AM19" s="162">
        <v>0</v>
      </c>
      <c r="AN19" s="162">
        <v>0</v>
      </c>
    </row>
    <row r="20" spans="1:40">
      <c r="B20" s="37" t="s">
        <v>35</v>
      </c>
      <c r="C20" s="37" t="s">
        <v>36</v>
      </c>
      <c r="D20" s="131">
        <f>SUM(E20:AN20)</f>
        <v>99</v>
      </c>
      <c r="E20" s="162">
        <v>0</v>
      </c>
      <c r="F20" s="162">
        <v>0</v>
      </c>
      <c r="G20" s="162">
        <v>3</v>
      </c>
      <c r="H20" s="162">
        <v>4</v>
      </c>
      <c r="I20" s="162">
        <v>3</v>
      </c>
      <c r="J20" s="162">
        <v>4</v>
      </c>
      <c r="K20" s="162">
        <v>4</v>
      </c>
      <c r="L20" s="162">
        <v>4</v>
      </c>
      <c r="M20" s="162">
        <v>3</v>
      </c>
      <c r="N20" s="162">
        <v>3</v>
      </c>
      <c r="O20" s="162">
        <v>4</v>
      </c>
      <c r="P20" s="162">
        <v>3</v>
      </c>
      <c r="Q20" s="162">
        <v>3</v>
      </c>
      <c r="R20" s="162">
        <v>3</v>
      </c>
      <c r="S20" s="162">
        <v>3</v>
      </c>
      <c r="T20" s="162">
        <v>3</v>
      </c>
      <c r="U20" s="162">
        <v>3</v>
      </c>
      <c r="V20" s="162">
        <v>3</v>
      </c>
      <c r="W20" s="162">
        <v>3</v>
      </c>
      <c r="X20" s="162">
        <v>3</v>
      </c>
      <c r="Y20" s="162">
        <v>3</v>
      </c>
      <c r="Z20" s="162">
        <v>3</v>
      </c>
      <c r="AA20" s="162">
        <v>3</v>
      </c>
      <c r="AB20" s="162">
        <v>3</v>
      </c>
      <c r="AC20" s="162">
        <v>3</v>
      </c>
      <c r="AD20" s="162">
        <v>3</v>
      </c>
      <c r="AE20" s="162">
        <v>3</v>
      </c>
      <c r="AF20" s="162">
        <v>2</v>
      </c>
      <c r="AG20" s="162">
        <v>3</v>
      </c>
      <c r="AH20" s="162">
        <v>3</v>
      </c>
      <c r="AI20" s="162">
        <v>3</v>
      </c>
      <c r="AJ20" s="162">
        <v>3</v>
      </c>
      <c r="AK20" s="162">
        <v>3</v>
      </c>
      <c r="AL20" s="162">
        <v>2</v>
      </c>
      <c r="AM20" s="162">
        <v>0</v>
      </c>
      <c r="AN20" s="162">
        <v>0</v>
      </c>
    </row>
    <row r="21" spans="1:40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 t="s">
        <v>361</v>
      </c>
      <c r="H21" s="129" t="s">
        <v>362</v>
      </c>
      <c r="I21" s="129" t="s">
        <v>361</v>
      </c>
      <c r="J21" s="129" t="s">
        <v>361</v>
      </c>
      <c r="K21" s="129" t="s">
        <v>361</v>
      </c>
      <c r="L21" s="129" t="s">
        <v>361</v>
      </c>
      <c r="M21" s="129" t="s">
        <v>363</v>
      </c>
      <c r="N21" s="129" t="s">
        <v>361</v>
      </c>
      <c r="O21" s="129" t="s">
        <v>361</v>
      </c>
      <c r="P21" s="129" t="s">
        <v>361</v>
      </c>
      <c r="Q21" s="129" t="s">
        <v>361</v>
      </c>
      <c r="R21" s="129" t="s">
        <v>361</v>
      </c>
      <c r="S21" s="129" t="s">
        <v>361</v>
      </c>
      <c r="T21" s="129" t="s">
        <v>362</v>
      </c>
      <c r="U21" s="129" t="s">
        <v>361</v>
      </c>
      <c r="V21" s="129" t="s">
        <v>361</v>
      </c>
      <c r="W21" s="129" t="s">
        <v>361</v>
      </c>
      <c r="X21" s="129" t="s">
        <v>361</v>
      </c>
      <c r="Y21" s="129" t="s">
        <v>361</v>
      </c>
      <c r="Z21" s="129" t="s">
        <v>361</v>
      </c>
      <c r="AA21" s="129" t="s">
        <v>361</v>
      </c>
      <c r="AB21" s="129" t="s">
        <v>361</v>
      </c>
      <c r="AC21" s="129" t="s">
        <v>364</v>
      </c>
      <c r="AD21" s="129" t="s">
        <v>361</v>
      </c>
      <c r="AE21" s="129" t="s">
        <v>361</v>
      </c>
      <c r="AF21" s="129" t="s">
        <v>361</v>
      </c>
      <c r="AG21" s="129" t="s">
        <v>361</v>
      </c>
      <c r="AH21" s="129" t="s">
        <v>361</v>
      </c>
      <c r="AI21" s="129" t="s">
        <v>361</v>
      </c>
      <c r="AJ21" s="129" t="s">
        <v>361</v>
      </c>
      <c r="AK21" s="129" t="s">
        <v>361</v>
      </c>
      <c r="AL21" s="129" t="s">
        <v>361</v>
      </c>
      <c r="AM21" s="129">
        <v>0</v>
      </c>
      <c r="AN21" s="129">
        <v>0</v>
      </c>
    </row>
    <row r="22" spans="1:40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4" spans="1:40">
      <c r="B24" s="257" t="s">
        <v>43</v>
      </c>
      <c r="C24" s="168">
        <f>D27/D19</f>
        <v>1016.9885057471264</v>
      </c>
    </row>
    <row r="25" spans="1:40">
      <c r="B25" s="36" t="s">
        <v>365</v>
      </c>
      <c r="C25" s="132">
        <f>+D27/D20</f>
        <v>5362.30303030303</v>
      </c>
    </row>
    <row r="26" spans="1:40">
      <c r="D26" s="10"/>
    </row>
    <row r="27" spans="1:40">
      <c r="A27" s="312" t="s">
        <v>44</v>
      </c>
      <c r="B27" s="35" t="s">
        <v>45</v>
      </c>
      <c r="C27" s="35"/>
      <c r="D27" s="175">
        <f t="shared" ref="D27:D39" si="2">SUM(E27:AN27)</f>
        <v>530868</v>
      </c>
      <c r="E27" s="75">
        <f t="shared" ref="E27:AN27" si="3">SUM(E28:E39)</f>
        <v>0</v>
      </c>
      <c r="F27" s="175">
        <f t="shared" si="3"/>
        <v>0</v>
      </c>
      <c r="G27" s="75">
        <f t="shared" si="3"/>
        <v>8151</v>
      </c>
      <c r="H27" s="175">
        <f t="shared" si="3"/>
        <v>14472</v>
      </c>
      <c r="I27" s="75">
        <f t="shared" si="3"/>
        <v>18216</v>
      </c>
      <c r="J27" s="175">
        <f t="shared" si="3"/>
        <v>24384</v>
      </c>
      <c r="K27" s="75">
        <f t="shared" si="3"/>
        <v>21750</v>
      </c>
      <c r="L27" s="175">
        <f t="shared" si="3"/>
        <v>19374</v>
      </c>
      <c r="M27" s="75">
        <f t="shared" si="3"/>
        <v>16185</v>
      </c>
      <c r="N27" s="175">
        <f t="shared" si="3"/>
        <v>15129</v>
      </c>
      <c r="O27" s="75">
        <f t="shared" si="3"/>
        <v>22356</v>
      </c>
      <c r="P27" s="175">
        <f t="shared" si="3"/>
        <v>20556</v>
      </c>
      <c r="Q27" s="75">
        <f t="shared" si="3"/>
        <v>22887</v>
      </c>
      <c r="R27" s="175">
        <f t="shared" si="3"/>
        <v>14685</v>
      </c>
      <c r="S27" s="75">
        <f t="shared" si="3"/>
        <v>14397</v>
      </c>
      <c r="T27" s="175">
        <f t="shared" si="3"/>
        <v>17322</v>
      </c>
      <c r="U27" s="75">
        <f t="shared" si="3"/>
        <v>16494</v>
      </c>
      <c r="V27" s="175">
        <f t="shared" si="3"/>
        <v>16671</v>
      </c>
      <c r="W27" s="75">
        <f t="shared" si="3"/>
        <v>14178</v>
      </c>
      <c r="X27" s="175">
        <f t="shared" si="3"/>
        <v>17313</v>
      </c>
      <c r="Y27" s="75">
        <f t="shared" si="3"/>
        <v>18150</v>
      </c>
      <c r="Z27" s="175">
        <f t="shared" si="3"/>
        <v>15153</v>
      </c>
      <c r="AA27" s="75">
        <f t="shared" si="3"/>
        <v>17340</v>
      </c>
      <c r="AB27" s="175">
        <f t="shared" si="3"/>
        <v>20181</v>
      </c>
      <c r="AC27" s="75">
        <f t="shared" si="3"/>
        <v>14188</v>
      </c>
      <c r="AD27" s="175">
        <f t="shared" si="3"/>
        <v>18764</v>
      </c>
      <c r="AE27" s="75">
        <f t="shared" si="3"/>
        <v>13418</v>
      </c>
      <c r="AF27" s="175">
        <f t="shared" si="3"/>
        <v>9216</v>
      </c>
      <c r="AG27" s="75">
        <f t="shared" si="3"/>
        <v>17997</v>
      </c>
      <c r="AH27" s="175">
        <f t="shared" si="3"/>
        <v>16496</v>
      </c>
      <c r="AI27" s="75">
        <f t="shared" si="3"/>
        <v>14783</v>
      </c>
      <c r="AJ27" s="175">
        <f t="shared" si="3"/>
        <v>18336</v>
      </c>
      <c r="AK27" s="75">
        <f t="shared" si="3"/>
        <v>14241</v>
      </c>
      <c r="AL27" s="175">
        <f t="shared" si="3"/>
        <v>8085</v>
      </c>
      <c r="AM27" s="75">
        <f t="shared" si="3"/>
        <v>0</v>
      </c>
      <c r="AN27" s="175">
        <f t="shared" si="3"/>
        <v>0</v>
      </c>
    </row>
    <row r="28" spans="1:40">
      <c r="A28" s="313"/>
      <c r="B28" s="37" t="s">
        <v>47</v>
      </c>
      <c r="C28" s="38" t="s">
        <v>48</v>
      </c>
      <c r="D28" s="73">
        <f t="shared" si="2"/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</row>
    <row r="29" spans="1:40">
      <c r="A29" s="313"/>
      <c r="B29" s="37" t="s">
        <v>49</v>
      </c>
      <c r="C29" s="38" t="s">
        <v>48</v>
      </c>
      <c r="D29" s="73">
        <f t="shared" si="2"/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</row>
    <row r="30" spans="1:40">
      <c r="A30" s="313"/>
      <c r="B30" s="37" t="s">
        <v>50</v>
      </c>
      <c r="C30" s="38" t="s">
        <v>48</v>
      </c>
      <c r="D30" s="73">
        <f t="shared" si="2"/>
        <v>0</v>
      </c>
      <c r="E30" s="55">
        <v>0</v>
      </c>
      <c r="F30" s="55">
        <v>0</v>
      </c>
      <c r="G30" s="55"/>
      <c r="H30" s="55">
        <v>0</v>
      </c>
      <c r="I30" s="55"/>
      <c r="J30" s="55"/>
      <c r="K30" s="55"/>
      <c r="L30" s="55"/>
      <c r="M30" s="55"/>
      <c r="N30" s="55"/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51</v>
      </c>
      <c r="C31" s="38" t="s">
        <v>48</v>
      </c>
      <c r="D31" s="73">
        <f t="shared" si="2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</row>
    <row r="32" spans="1:40">
      <c r="A32" s="313"/>
      <c r="B32" s="37" t="s">
        <v>52</v>
      </c>
      <c r="C32" s="38" t="s">
        <v>48</v>
      </c>
      <c r="D32" s="73">
        <f t="shared" si="2"/>
        <v>0</v>
      </c>
      <c r="E32" s="55">
        <v>0</v>
      </c>
      <c r="F32" s="55">
        <v>0</v>
      </c>
      <c r="G32" s="55"/>
      <c r="H32" s="55"/>
      <c r="I32" s="55"/>
      <c r="J32" s="55"/>
      <c r="K32" s="55"/>
      <c r="L32" s="55"/>
      <c r="M32" s="55"/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3"/>
      <c r="B33" s="37" t="s">
        <v>53</v>
      </c>
      <c r="C33" s="38" t="s">
        <v>48</v>
      </c>
      <c r="D33" s="73">
        <f t="shared" si="2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54</v>
      </c>
      <c r="C34" s="38" t="s">
        <v>48</v>
      </c>
      <c r="D34" s="73">
        <f t="shared" si="2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55</v>
      </c>
      <c r="C35" s="38" t="s">
        <v>48</v>
      </c>
      <c r="D35" s="73">
        <f t="shared" si="2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3"/>
      <c r="B36" s="37" t="s">
        <v>56</v>
      </c>
      <c r="C36" s="38" t="s">
        <v>48</v>
      </c>
      <c r="D36" s="73">
        <f t="shared" si="2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</row>
    <row r="37" spans="1:40">
      <c r="A37" s="313"/>
      <c r="B37" s="37" t="s">
        <v>57</v>
      </c>
      <c r="C37" s="38" t="s">
        <v>48</v>
      </c>
      <c r="D37" s="73">
        <f t="shared" si="2"/>
        <v>311373</v>
      </c>
      <c r="E37" s="55">
        <v>0</v>
      </c>
      <c r="F37" s="55">
        <v>0</v>
      </c>
      <c r="G37" s="55">
        <v>4353</v>
      </c>
      <c r="H37" s="55">
        <v>6678</v>
      </c>
      <c r="I37" s="55">
        <v>9702</v>
      </c>
      <c r="J37" s="55">
        <v>15708</v>
      </c>
      <c r="K37" s="55">
        <v>13398</v>
      </c>
      <c r="L37" s="55">
        <v>10878</v>
      </c>
      <c r="M37" s="55">
        <v>7077</v>
      </c>
      <c r="N37" s="55">
        <v>7245</v>
      </c>
      <c r="O37" s="55">
        <v>10458</v>
      </c>
      <c r="P37" s="55">
        <v>10962</v>
      </c>
      <c r="Q37" s="55">
        <v>13797</v>
      </c>
      <c r="R37" s="55">
        <v>10185</v>
      </c>
      <c r="S37" s="55">
        <v>8421</v>
      </c>
      <c r="T37" s="55">
        <v>11130</v>
      </c>
      <c r="U37" s="55">
        <v>9996</v>
      </c>
      <c r="V37" s="55">
        <v>10857</v>
      </c>
      <c r="W37" s="55">
        <v>8652</v>
      </c>
      <c r="X37" s="55">
        <v>10689</v>
      </c>
      <c r="Y37" s="55">
        <v>10626</v>
      </c>
      <c r="Z37" s="55">
        <v>8547</v>
      </c>
      <c r="AA37" s="55">
        <v>10122</v>
      </c>
      <c r="AB37" s="55">
        <v>13755</v>
      </c>
      <c r="AC37" s="55">
        <v>7812</v>
      </c>
      <c r="AD37" s="55">
        <v>11235</v>
      </c>
      <c r="AE37" s="55">
        <v>8400</v>
      </c>
      <c r="AF37" s="55">
        <v>5502</v>
      </c>
      <c r="AG37" s="55">
        <v>11046</v>
      </c>
      <c r="AH37" s="55">
        <v>9492</v>
      </c>
      <c r="AI37" s="55">
        <v>8190</v>
      </c>
      <c r="AJ37" s="55">
        <v>11550</v>
      </c>
      <c r="AK37" s="55">
        <v>8967</v>
      </c>
      <c r="AL37" s="55">
        <v>5943</v>
      </c>
      <c r="AM37" s="55">
        <v>0</v>
      </c>
      <c r="AN37" s="55">
        <v>0</v>
      </c>
    </row>
    <row r="38" spans="1:40">
      <c r="A38" s="313"/>
      <c r="B38" s="37" t="s">
        <v>58</v>
      </c>
      <c r="C38" s="38" t="s">
        <v>48</v>
      </c>
      <c r="D38" s="73">
        <f t="shared" si="2"/>
        <v>219495</v>
      </c>
      <c r="E38" s="55">
        <v>0</v>
      </c>
      <c r="F38" s="55">
        <v>0</v>
      </c>
      <c r="G38" s="55">
        <v>3798</v>
      </c>
      <c r="H38" s="55">
        <v>7794</v>
      </c>
      <c r="I38" s="55">
        <v>8514</v>
      </c>
      <c r="J38" s="55">
        <v>8676</v>
      </c>
      <c r="K38" s="55">
        <v>8352</v>
      </c>
      <c r="L38" s="55">
        <f>4374+4122</f>
        <v>8496</v>
      </c>
      <c r="M38" s="55">
        <v>9108</v>
      </c>
      <c r="N38" s="55">
        <v>7884</v>
      </c>
      <c r="O38" s="55">
        <v>11898</v>
      </c>
      <c r="P38" s="55">
        <v>9594</v>
      </c>
      <c r="Q38" s="55">
        <f>4860+4230</f>
        <v>9090</v>
      </c>
      <c r="R38" s="55">
        <v>4500</v>
      </c>
      <c r="S38" s="55">
        <v>5976</v>
      </c>
      <c r="T38" s="55">
        <v>6192</v>
      </c>
      <c r="U38" s="55">
        <v>6498</v>
      </c>
      <c r="V38" s="55">
        <v>5814</v>
      </c>
      <c r="W38" s="55">
        <v>5526</v>
      </c>
      <c r="X38" s="55">
        <v>6624</v>
      </c>
      <c r="Y38" s="55">
        <v>7524</v>
      </c>
      <c r="Z38" s="55">
        <v>6606</v>
      </c>
      <c r="AA38" s="55">
        <v>7218</v>
      </c>
      <c r="AB38" s="55">
        <v>6426</v>
      </c>
      <c r="AC38" s="55">
        <v>6376</v>
      </c>
      <c r="AD38" s="55">
        <v>7529</v>
      </c>
      <c r="AE38" s="55">
        <v>5018</v>
      </c>
      <c r="AF38" s="55">
        <v>3714</v>
      </c>
      <c r="AG38" s="55">
        <v>6951</v>
      </c>
      <c r="AH38" s="55">
        <v>7004</v>
      </c>
      <c r="AI38" s="55">
        <v>6593</v>
      </c>
      <c r="AJ38" s="55">
        <v>6786</v>
      </c>
      <c r="AK38" s="55">
        <v>5274</v>
      </c>
      <c r="AL38" s="55">
        <v>2142</v>
      </c>
      <c r="AM38" s="55">
        <v>0</v>
      </c>
      <c r="AN38" s="55">
        <v>0</v>
      </c>
    </row>
    <row r="39" spans="1:40">
      <c r="A39" s="314"/>
      <c r="B39" s="39" t="s">
        <v>59</v>
      </c>
      <c r="C39" s="40" t="s">
        <v>48</v>
      </c>
      <c r="D39" s="74">
        <f t="shared" si="2"/>
        <v>0</v>
      </c>
      <c r="E39" s="55">
        <v>0</v>
      </c>
      <c r="F39" s="55">
        <v>0</v>
      </c>
      <c r="G39" s="55">
        <v>0</v>
      </c>
      <c r="H39" s="55">
        <v>0</v>
      </c>
      <c r="I39" s="55"/>
      <c r="J39" s="55"/>
      <c r="K39" s="55"/>
      <c r="L39" s="55"/>
      <c r="M39" s="55"/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55">
        <v>0</v>
      </c>
      <c r="AN39" s="55">
        <v>0</v>
      </c>
    </row>
    <row r="40" spans="1:40">
      <c r="A40" s="164"/>
      <c r="B40" s="94" t="s">
        <v>149</v>
      </c>
      <c r="C40" s="166"/>
      <c r="D40" s="180">
        <f t="shared" ref="D40:AN40" si="4">D38/D27</f>
        <v>0.41346436402269493</v>
      </c>
      <c r="E40" s="170" t="e">
        <f t="shared" si="4"/>
        <v>#DIV/0!</v>
      </c>
      <c r="F40" s="170" t="e">
        <f t="shared" si="4"/>
        <v>#DIV/0!</v>
      </c>
      <c r="G40" s="170">
        <f t="shared" si="4"/>
        <v>0.4659550975340449</v>
      </c>
      <c r="H40" s="170">
        <f t="shared" si="4"/>
        <v>0.53855721393034828</v>
      </c>
      <c r="I40" s="170">
        <f t="shared" si="4"/>
        <v>0.46739130434782611</v>
      </c>
      <c r="J40" s="170">
        <f t="shared" si="4"/>
        <v>0.35580708661417321</v>
      </c>
      <c r="K40" s="170">
        <f t="shared" si="4"/>
        <v>0.38400000000000001</v>
      </c>
      <c r="L40" s="170">
        <f t="shared" si="4"/>
        <v>0.43852585939919481</v>
      </c>
      <c r="M40" s="170">
        <f t="shared" si="4"/>
        <v>0.56274328081557001</v>
      </c>
      <c r="N40" s="170">
        <f t="shared" si="4"/>
        <v>0.52111838191552651</v>
      </c>
      <c r="O40" s="170">
        <f t="shared" si="4"/>
        <v>0.53220611916264093</v>
      </c>
      <c r="P40" s="170">
        <f t="shared" si="4"/>
        <v>0.46672504378283713</v>
      </c>
      <c r="Q40" s="170">
        <f t="shared" si="4"/>
        <v>0.397168698387731</v>
      </c>
      <c r="R40" s="170">
        <f t="shared" si="4"/>
        <v>0.30643513789581206</v>
      </c>
      <c r="S40" s="170">
        <f t="shared" si="4"/>
        <v>0.4150864763492394</v>
      </c>
      <c r="T40" s="170">
        <f t="shared" si="4"/>
        <v>0.35746449601662628</v>
      </c>
      <c r="U40" s="170">
        <f t="shared" si="4"/>
        <v>0.39396144052382687</v>
      </c>
      <c r="V40" s="170">
        <f t="shared" si="4"/>
        <v>0.34874932517545437</v>
      </c>
      <c r="W40" s="170">
        <f t="shared" si="4"/>
        <v>0.38975878121032587</v>
      </c>
      <c r="X40" s="170">
        <f t="shared" si="4"/>
        <v>0.38260266851498875</v>
      </c>
      <c r="Y40" s="170">
        <f t="shared" si="4"/>
        <v>0.41454545454545455</v>
      </c>
      <c r="Z40" s="170">
        <f t="shared" si="4"/>
        <v>0.43595327657889527</v>
      </c>
      <c r="AA40" s="170">
        <f t="shared" si="4"/>
        <v>0.41626297577854671</v>
      </c>
      <c r="AB40" s="170">
        <f t="shared" si="4"/>
        <v>0.31841831425598333</v>
      </c>
      <c r="AC40" s="170">
        <f t="shared" si="4"/>
        <v>0.44939385396109388</v>
      </c>
      <c r="AD40" s="170">
        <f t="shared" si="4"/>
        <v>0.40124706885525474</v>
      </c>
      <c r="AE40" s="170">
        <f t="shared" si="4"/>
        <v>0.37397525711730512</v>
      </c>
      <c r="AF40" s="170">
        <f t="shared" si="4"/>
        <v>0.40299479166666669</v>
      </c>
      <c r="AG40" s="170">
        <f t="shared" si="4"/>
        <v>0.38623103850641771</v>
      </c>
      <c r="AH40" s="170">
        <f t="shared" si="4"/>
        <v>0.4245877788554801</v>
      </c>
      <c r="AI40" s="170">
        <f t="shared" si="4"/>
        <v>0.44598525333152944</v>
      </c>
      <c r="AJ40" s="170">
        <f t="shared" si="4"/>
        <v>0.37009162303664922</v>
      </c>
      <c r="AK40" s="170">
        <f t="shared" si="4"/>
        <v>0.37033916157573205</v>
      </c>
      <c r="AL40" s="170">
        <f t="shared" si="4"/>
        <v>0.26493506493506491</v>
      </c>
      <c r="AM40" s="170" t="e">
        <f t="shared" si="4"/>
        <v>#DIV/0!</v>
      </c>
      <c r="AN40" s="170" t="e">
        <f t="shared" si="4"/>
        <v>#DIV/0!</v>
      </c>
    </row>
    <row r="41" spans="1:40" ht="18.75" customHeight="1">
      <c r="A41" s="245"/>
      <c r="B41" s="246" t="s">
        <v>338</v>
      </c>
      <c r="C41" s="247" t="s">
        <v>84</v>
      </c>
      <c r="D41" s="248"/>
      <c r="E41" s="249" t="e">
        <f t="shared" ref="E41:AN41" si="5">+E61/E27</f>
        <v>#DIV/0!</v>
      </c>
      <c r="F41" s="249" t="e">
        <f t="shared" si="5"/>
        <v>#DIV/0!</v>
      </c>
      <c r="G41" s="249">
        <f t="shared" si="5"/>
        <v>28.046742730953259</v>
      </c>
      <c r="H41" s="249">
        <f t="shared" si="5"/>
        <v>30.079601990049753</v>
      </c>
      <c r="I41" s="249">
        <f t="shared" si="5"/>
        <v>28.086956521739129</v>
      </c>
      <c r="J41" s="249">
        <f t="shared" si="5"/>
        <v>24.962598425196852</v>
      </c>
      <c r="K41" s="249">
        <f t="shared" si="5"/>
        <v>25.751999999999999</v>
      </c>
      <c r="L41" s="249">
        <f t="shared" si="5"/>
        <v>27.278724063177453</v>
      </c>
      <c r="M41" s="249">
        <f t="shared" si="5"/>
        <v>30.75681186283596</v>
      </c>
      <c r="N41" s="249">
        <f t="shared" si="5"/>
        <v>29.59131469363474</v>
      </c>
      <c r="O41" s="249">
        <f t="shared" si="5"/>
        <v>29.901771336553946</v>
      </c>
      <c r="P41" s="249">
        <f t="shared" si="5"/>
        <v>28.068301225919441</v>
      </c>
      <c r="Q41" s="249">
        <f t="shared" si="5"/>
        <v>26.120723554856468</v>
      </c>
      <c r="R41" s="249">
        <f t="shared" si="5"/>
        <v>23.580183861082737</v>
      </c>
      <c r="S41" s="249">
        <f t="shared" si="5"/>
        <v>26.622421337778704</v>
      </c>
      <c r="T41" s="249">
        <f t="shared" si="5"/>
        <v>25.009005888465534</v>
      </c>
      <c r="U41" s="249">
        <f t="shared" si="5"/>
        <v>26.030920334667151</v>
      </c>
      <c r="V41" s="249">
        <f t="shared" si="5"/>
        <v>24.764981104912724</v>
      </c>
      <c r="W41" s="249">
        <f t="shared" si="5"/>
        <v>25.913245873889124</v>
      </c>
      <c r="X41" s="249">
        <f t="shared" si="5"/>
        <v>25.712874718419684</v>
      </c>
      <c r="Y41" s="249">
        <f t="shared" si="5"/>
        <v>26.607272727272726</v>
      </c>
      <c r="Z41" s="249">
        <f t="shared" si="5"/>
        <v>27.206691744209067</v>
      </c>
      <c r="AA41" s="249">
        <f t="shared" si="5"/>
        <v>26.655363321799307</v>
      </c>
      <c r="AB41" s="249">
        <f t="shared" si="5"/>
        <v>23.915712799167533</v>
      </c>
      <c r="AC41" s="249">
        <f t="shared" si="5"/>
        <v>27.58302791091063</v>
      </c>
      <c r="AD41" s="249">
        <f t="shared" si="5"/>
        <v>26.234917927947134</v>
      </c>
      <c r="AE41" s="249">
        <f t="shared" si="5"/>
        <v>25.471307199284542</v>
      </c>
      <c r="AF41" s="249">
        <f t="shared" si="5"/>
        <v>26.283854166666668</v>
      </c>
      <c r="AG41" s="249">
        <f t="shared" si="5"/>
        <v>25.814469078179698</v>
      </c>
      <c r="AH41" s="249">
        <f t="shared" si="5"/>
        <v>26.888457807953444</v>
      </c>
      <c r="AI41" s="249">
        <f t="shared" si="5"/>
        <v>27.487587093282826</v>
      </c>
      <c r="AJ41" s="249">
        <f t="shared" si="5"/>
        <v>25.362565445026178</v>
      </c>
      <c r="AK41" s="249">
        <f t="shared" si="5"/>
        <v>25.369496524120496</v>
      </c>
      <c r="AL41" s="249">
        <f t="shared" si="5"/>
        <v>22.418181818181818</v>
      </c>
      <c r="AM41" s="249" t="e">
        <f t="shared" si="5"/>
        <v>#DIV/0!</v>
      </c>
      <c r="AN41" s="249" t="e">
        <f t="shared" si="5"/>
        <v>#DIV/0!</v>
      </c>
    </row>
    <row r="42" spans="1:40">
      <c r="A42" s="33"/>
      <c r="C42" s="5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</row>
    <row r="43" spans="1:40">
      <c r="A43" s="324" t="s">
        <v>60</v>
      </c>
      <c r="B43" s="50" t="s">
        <v>61</v>
      </c>
      <c r="C43" s="91" t="s">
        <v>62</v>
      </c>
      <c r="D43" s="81">
        <f>SUM(E43:AN43)</f>
        <v>578000</v>
      </c>
      <c r="E43" s="86">
        <v>5000</v>
      </c>
      <c r="F43" s="86">
        <v>21000</v>
      </c>
      <c r="G43" s="86">
        <v>15000</v>
      </c>
      <c r="H43" s="86">
        <v>16000</v>
      </c>
      <c r="I43" s="86">
        <v>15000</v>
      </c>
      <c r="J43" s="86">
        <v>15000</v>
      </c>
      <c r="K43" s="86">
        <v>15000</v>
      </c>
      <c r="L43" s="86">
        <v>16000</v>
      </c>
      <c r="M43" s="86">
        <v>15000</v>
      </c>
      <c r="N43" s="86">
        <v>16000</v>
      </c>
      <c r="O43" s="86">
        <v>15000</v>
      </c>
      <c r="P43" s="86">
        <v>17000</v>
      </c>
      <c r="Q43" s="86">
        <v>17000</v>
      </c>
      <c r="R43" s="86">
        <v>16000</v>
      </c>
      <c r="S43" s="86">
        <v>17000</v>
      </c>
      <c r="T43" s="86">
        <v>17000</v>
      </c>
      <c r="U43" s="86">
        <v>17000</v>
      </c>
      <c r="V43" s="86">
        <v>16000</v>
      </c>
      <c r="W43" s="86">
        <v>16000</v>
      </c>
      <c r="X43" s="86">
        <v>16000</v>
      </c>
      <c r="Y43" s="86">
        <v>16000</v>
      </c>
      <c r="Z43" s="86">
        <v>16000</v>
      </c>
      <c r="AA43" s="86">
        <v>17000</v>
      </c>
      <c r="AB43" s="86">
        <v>17000</v>
      </c>
      <c r="AC43" s="86">
        <v>17000</v>
      </c>
      <c r="AD43" s="86">
        <v>16000</v>
      </c>
      <c r="AE43" s="86">
        <v>17000</v>
      </c>
      <c r="AF43" s="86">
        <v>18000</v>
      </c>
      <c r="AG43" s="86">
        <v>18000</v>
      </c>
      <c r="AH43" s="86">
        <v>17000</v>
      </c>
      <c r="AI43" s="86">
        <v>18000</v>
      </c>
      <c r="AJ43" s="86">
        <v>19000</v>
      </c>
      <c r="AK43" s="86">
        <v>18000</v>
      </c>
      <c r="AL43" s="86">
        <v>20000</v>
      </c>
      <c r="AM43" s="86">
        <v>21000</v>
      </c>
      <c r="AN43" s="86">
        <v>0</v>
      </c>
    </row>
    <row r="44" spans="1:40">
      <c r="A44" s="325"/>
      <c r="B44" s="39" t="s">
        <v>63</v>
      </c>
      <c r="C44" s="92" t="s">
        <v>62</v>
      </c>
      <c r="D44" s="82">
        <f>SUM(E44:AN44)</f>
        <v>800</v>
      </c>
      <c r="E44" s="87">
        <v>0</v>
      </c>
      <c r="F44" s="87">
        <v>0</v>
      </c>
      <c r="G44" s="87">
        <v>0</v>
      </c>
      <c r="H44" s="87">
        <v>0</v>
      </c>
      <c r="I44" s="87"/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7">
        <v>0</v>
      </c>
      <c r="P44" s="87">
        <v>0</v>
      </c>
      <c r="Q44" s="87">
        <v>0</v>
      </c>
      <c r="R44" s="87">
        <v>0</v>
      </c>
      <c r="S44" s="87">
        <v>400</v>
      </c>
      <c r="T44" s="87">
        <v>0</v>
      </c>
      <c r="U44" s="87">
        <v>0</v>
      </c>
      <c r="V44" s="87"/>
      <c r="W44" s="87">
        <v>0</v>
      </c>
      <c r="X44" s="87">
        <v>0</v>
      </c>
      <c r="Y44" s="87">
        <v>0</v>
      </c>
      <c r="Z44" s="87">
        <v>0</v>
      </c>
      <c r="AA44" s="87">
        <v>0</v>
      </c>
      <c r="AB44" s="87">
        <v>0</v>
      </c>
      <c r="AC44" s="87"/>
      <c r="AD44" s="87">
        <v>200</v>
      </c>
      <c r="AE44" s="87">
        <v>0</v>
      </c>
      <c r="AF44" s="87">
        <v>0</v>
      </c>
      <c r="AG44" s="87">
        <v>0</v>
      </c>
      <c r="AH44" s="87">
        <v>0</v>
      </c>
      <c r="AI44" s="87">
        <v>0</v>
      </c>
      <c r="AJ44" s="87">
        <v>0</v>
      </c>
      <c r="AK44" s="87">
        <v>0</v>
      </c>
      <c r="AL44" s="87"/>
      <c r="AM44" s="87">
        <v>200</v>
      </c>
      <c r="AN44" s="87">
        <v>0</v>
      </c>
    </row>
    <row r="46" spans="1:40">
      <c r="B46" s="167" t="s">
        <v>240</v>
      </c>
      <c r="C46" s="184" t="s">
        <v>241</v>
      </c>
      <c r="D46" s="187">
        <f t="shared" ref="D46:AN46" si="6">D43/D27</f>
        <v>1.0887828989503983</v>
      </c>
      <c r="E46" s="185" t="e">
        <f t="shared" si="6"/>
        <v>#DIV/0!</v>
      </c>
      <c r="F46" s="188" t="e">
        <f t="shared" si="6"/>
        <v>#DIV/0!</v>
      </c>
      <c r="G46" s="186">
        <f t="shared" si="6"/>
        <v>1.840264998159735</v>
      </c>
      <c r="H46" s="188">
        <f t="shared" si="6"/>
        <v>1.105583195135434</v>
      </c>
      <c r="I46" s="186">
        <f t="shared" si="6"/>
        <v>0.82345191040843213</v>
      </c>
      <c r="J46" s="188">
        <f t="shared" si="6"/>
        <v>0.61515748031496065</v>
      </c>
      <c r="K46" s="186">
        <f t="shared" si="6"/>
        <v>0.68965517241379315</v>
      </c>
      <c r="L46" s="188">
        <f t="shared" si="6"/>
        <v>0.82584907608134617</v>
      </c>
      <c r="M46" s="186">
        <f t="shared" si="6"/>
        <v>0.92678405931417984</v>
      </c>
      <c r="N46" s="188">
        <f t="shared" si="6"/>
        <v>1.0575715513252693</v>
      </c>
      <c r="O46" s="186">
        <f t="shared" si="6"/>
        <v>0.6709608158883521</v>
      </c>
      <c r="P46" s="188">
        <f t="shared" si="6"/>
        <v>0.82700914574820006</v>
      </c>
      <c r="Q46" s="186">
        <f t="shared" si="6"/>
        <v>0.74277974395945301</v>
      </c>
      <c r="R46" s="188">
        <f t="shared" si="6"/>
        <v>1.0895471569628874</v>
      </c>
      <c r="S46" s="186">
        <f t="shared" si="6"/>
        <v>1.1808015558796972</v>
      </c>
      <c r="T46" s="188">
        <f t="shared" si="6"/>
        <v>0.98141092252626716</v>
      </c>
      <c r="U46" s="186">
        <f t="shared" si="6"/>
        <v>1.0306778222383897</v>
      </c>
      <c r="V46" s="188">
        <f t="shared" si="6"/>
        <v>0.9597504648791314</v>
      </c>
      <c r="W46" s="186">
        <f t="shared" si="6"/>
        <v>1.1285089575398504</v>
      </c>
      <c r="X46" s="188">
        <f t="shared" si="6"/>
        <v>0.92416103506035929</v>
      </c>
      <c r="Y46" s="186">
        <f t="shared" si="6"/>
        <v>0.88154269972451793</v>
      </c>
      <c r="Z46" s="188">
        <f t="shared" si="6"/>
        <v>1.0558965221408303</v>
      </c>
      <c r="AA46" s="186">
        <f t="shared" si="6"/>
        <v>0.98039215686274506</v>
      </c>
      <c r="AB46" s="188">
        <f t="shared" si="6"/>
        <v>0.8423764927406967</v>
      </c>
      <c r="AC46" s="186">
        <f t="shared" si="6"/>
        <v>1.1981956583027911</v>
      </c>
      <c r="AD46" s="188">
        <f t="shared" si="6"/>
        <v>0.85269665316563636</v>
      </c>
      <c r="AE46" s="186">
        <f t="shared" si="6"/>
        <v>1.2669548367864063</v>
      </c>
      <c r="AF46" s="188">
        <f t="shared" si="6"/>
        <v>1.953125</v>
      </c>
      <c r="AG46" s="186">
        <f t="shared" si="6"/>
        <v>1.0001666944490748</v>
      </c>
      <c r="AH46" s="188">
        <f t="shared" si="6"/>
        <v>1.030552861299709</v>
      </c>
      <c r="AI46" s="186">
        <f t="shared" si="6"/>
        <v>1.2176148278427923</v>
      </c>
      <c r="AJ46" s="188">
        <f t="shared" si="6"/>
        <v>1.0362129144851657</v>
      </c>
      <c r="AK46" s="186">
        <f t="shared" si="6"/>
        <v>1.2639561828523278</v>
      </c>
      <c r="AL46" s="188">
        <f t="shared" si="6"/>
        <v>2.4737167594310452</v>
      </c>
      <c r="AM46" s="186" t="e">
        <f t="shared" si="6"/>
        <v>#DIV/0!</v>
      </c>
      <c r="AN46" s="188" t="e">
        <f t="shared" si="6"/>
        <v>#DIV/0!</v>
      </c>
    </row>
    <row r="48" spans="1:40">
      <c r="A48" s="312" t="s">
        <v>64</v>
      </c>
      <c r="B48" s="93" t="s">
        <v>65</v>
      </c>
      <c r="C48" s="47" t="s">
        <v>8</v>
      </c>
      <c r="D48" s="181">
        <f t="shared" ref="D48:D53" si="7">SUM(E48:AN48)</f>
        <v>0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  <c r="X48" s="88">
        <v>0</v>
      </c>
      <c r="Y48" s="88">
        <v>0</v>
      </c>
      <c r="Z48" s="88">
        <v>0</v>
      </c>
      <c r="AA48" s="88">
        <v>0</v>
      </c>
      <c r="AB48" s="88">
        <v>0</v>
      </c>
      <c r="AC48" s="88">
        <v>0</v>
      </c>
      <c r="AD48" s="88">
        <v>0</v>
      </c>
      <c r="AE48" s="88">
        <v>0</v>
      </c>
      <c r="AF48" s="88">
        <v>0</v>
      </c>
      <c r="AG48" s="88">
        <v>0</v>
      </c>
      <c r="AH48" s="88">
        <v>0</v>
      </c>
      <c r="AI48" s="88">
        <v>0</v>
      </c>
      <c r="AJ48" s="88">
        <v>0</v>
      </c>
      <c r="AK48" s="88">
        <v>0</v>
      </c>
      <c r="AL48" s="88">
        <v>0</v>
      </c>
      <c r="AM48" s="88">
        <v>0</v>
      </c>
      <c r="AN48" s="88">
        <v>0</v>
      </c>
    </row>
    <row r="49" spans="1:40">
      <c r="A49" s="313"/>
      <c r="B49" s="94" t="s">
        <v>66</v>
      </c>
      <c r="C49" s="38" t="s">
        <v>8</v>
      </c>
      <c r="D49" s="182">
        <f t="shared" si="7"/>
        <v>0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</row>
    <row r="50" spans="1:40">
      <c r="A50" s="313"/>
      <c r="B50" s="94" t="s">
        <v>67</v>
      </c>
      <c r="C50" s="38" t="s">
        <v>8</v>
      </c>
      <c r="D50" s="182">
        <f t="shared" si="7"/>
        <v>0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</row>
    <row r="51" spans="1:40">
      <c r="A51" s="313"/>
      <c r="B51" s="95" t="s">
        <v>68</v>
      </c>
      <c r="C51" s="40" t="s">
        <v>8</v>
      </c>
      <c r="D51" s="182">
        <f t="shared" si="7"/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</row>
    <row r="52" spans="1:40">
      <c r="A52" s="313"/>
      <c r="B52" s="93" t="s">
        <v>69</v>
      </c>
      <c r="C52" s="91" t="s">
        <v>48</v>
      </c>
      <c r="D52" s="181">
        <f t="shared" si="7"/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  <c r="P52" s="86">
        <v>0</v>
      </c>
      <c r="Q52" s="86">
        <v>0</v>
      </c>
      <c r="R52" s="86">
        <v>0</v>
      </c>
      <c r="S52" s="86">
        <v>0</v>
      </c>
      <c r="T52" s="86">
        <v>0</v>
      </c>
      <c r="U52" s="86">
        <v>0</v>
      </c>
      <c r="V52" s="86">
        <v>0</v>
      </c>
      <c r="W52" s="86">
        <v>0</v>
      </c>
      <c r="X52" s="86">
        <v>0</v>
      </c>
      <c r="Y52" s="86">
        <v>0</v>
      </c>
      <c r="Z52" s="86">
        <v>0</v>
      </c>
      <c r="AA52" s="86">
        <v>0</v>
      </c>
      <c r="AB52" s="86">
        <v>0</v>
      </c>
      <c r="AC52" s="86"/>
      <c r="AD52" s="86">
        <v>0</v>
      </c>
      <c r="AE52" s="86">
        <v>0</v>
      </c>
      <c r="AF52" s="86">
        <v>0</v>
      </c>
      <c r="AG52" s="86">
        <v>0</v>
      </c>
      <c r="AH52" s="86"/>
      <c r="AI52" s="86">
        <v>0</v>
      </c>
      <c r="AJ52" s="86">
        <v>0</v>
      </c>
      <c r="AK52" s="86">
        <v>0</v>
      </c>
      <c r="AL52" s="86">
        <v>0</v>
      </c>
      <c r="AM52" s="86">
        <v>0</v>
      </c>
      <c r="AN52" s="86">
        <v>0</v>
      </c>
    </row>
    <row r="53" spans="1:40">
      <c r="A53" s="314"/>
      <c r="B53" s="95" t="s">
        <v>70</v>
      </c>
      <c r="C53" s="92" t="s">
        <v>48</v>
      </c>
      <c r="D53" s="183">
        <f t="shared" si="7"/>
        <v>0</v>
      </c>
      <c r="E53" s="87">
        <v>0</v>
      </c>
      <c r="F53" s="87">
        <v>0</v>
      </c>
      <c r="G53" s="87">
        <v>0</v>
      </c>
      <c r="H53" s="87">
        <v>0</v>
      </c>
      <c r="I53" s="87">
        <v>0</v>
      </c>
      <c r="J53" s="87">
        <v>0</v>
      </c>
      <c r="K53" s="87">
        <v>0</v>
      </c>
      <c r="L53" s="87">
        <v>0</v>
      </c>
      <c r="M53" s="87">
        <v>0</v>
      </c>
      <c r="N53" s="87">
        <v>0</v>
      </c>
      <c r="O53" s="87">
        <v>0</v>
      </c>
      <c r="P53" s="87">
        <v>0</v>
      </c>
      <c r="Q53" s="87">
        <v>0</v>
      </c>
      <c r="R53" s="87">
        <v>0</v>
      </c>
      <c r="S53" s="87">
        <v>0</v>
      </c>
      <c r="T53" s="87">
        <v>0</v>
      </c>
      <c r="U53" s="87">
        <v>0</v>
      </c>
      <c r="V53" s="87">
        <v>0</v>
      </c>
      <c r="W53" s="87">
        <v>0</v>
      </c>
      <c r="X53" s="87">
        <v>0</v>
      </c>
      <c r="Y53" s="87">
        <v>0</v>
      </c>
      <c r="Z53" s="87">
        <v>0</v>
      </c>
      <c r="AA53" s="87">
        <v>0</v>
      </c>
      <c r="AB53" s="87">
        <v>0</v>
      </c>
      <c r="AC53" s="87"/>
      <c r="AD53" s="87">
        <v>0</v>
      </c>
      <c r="AE53" s="87">
        <v>0</v>
      </c>
      <c r="AF53" s="87">
        <v>0</v>
      </c>
      <c r="AG53" s="87">
        <v>0</v>
      </c>
      <c r="AH53" s="87"/>
      <c r="AI53" s="87">
        <v>0</v>
      </c>
      <c r="AJ53" s="87">
        <v>0</v>
      </c>
      <c r="AK53" s="87">
        <v>0</v>
      </c>
      <c r="AL53" s="87">
        <v>0</v>
      </c>
      <c r="AM53" s="87">
        <v>0</v>
      </c>
      <c r="AN53" s="87">
        <v>0</v>
      </c>
    </row>
    <row r="54" spans="1:40"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>
      <c r="A55" s="315" t="s">
        <v>71</v>
      </c>
      <c r="B55" s="50" t="s">
        <v>72</v>
      </c>
      <c r="C55" s="45" t="s">
        <v>73</v>
      </c>
      <c r="D55" s="7" t="s">
        <v>73</v>
      </c>
      <c r="E55" s="7" t="s">
        <v>73</v>
      </c>
      <c r="F55" s="7" t="s">
        <v>73</v>
      </c>
      <c r="G55" s="7" t="s">
        <v>73</v>
      </c>
      <c r="H55" s="7" t="s">
        <v>73</v>
      </c>
      <c r="I55" s="7" t="s">
        <v>73</v>
      </c>
      <c r="J55" s="7" t="s">
        <v>73</v>
      </c>
      <c r="K55" s="7" t="s">
        <v>73</v>
      </c>
      <c r="L55" s="7" t="s">
        <v>73</v>
      </c>
      <c r="M55" s="7" t="s">
        <v>73</v>
      </c>
      <c r="N55" s="7" t="s">
        <v>366</v>
      </c>
      <c r="O55" s="7" t="s">
        <v>367</v>
      </c>
      <c r="P55" s="7" t="s">
        <v>73</v>
      </c>
      <c r="Q55" s="7" t="s">
        <v>73</v>
      </c>
      <c r="R55" s="7" t="s">
        <v>73</v>
      </c>
      <c r="S55" s="7" t="s">
        <v>73</v>
      </c>
      <c r="T55" s="7" t="s">
        <v>73</v>
      </c>
      <c r="U55" s="7" t="s">
        <v>73</v>
      </c>
      <c r="V55" s="7" t="s">
        <v>73</v>
      </c>
      <c r="W55" s="7" t="s">
        <v>73</v>
      </c>
      <c r="X55" s="7" t="s">
        <v>73</v>
      </c>
      <c r="Y55" s="7" t="s">
        <v>73</v>
      </c>
      <c r="Z55" s="7" t="s">
        <v>73</v>
      </c>
      <c r="AA55" s="7" t="s">
        <v>73</v>
      </c>
      <c r="AB55" s="7" t="s">
        <v>73</v>
      </c>
      <c r="AC55" s="7" t="s">
        <v>73</v>
      </c>
      <c r="AD55" s="7" t="s">
        <v>73</v>
      </c>
      <c r="AE55" s="7" t="s">
        <v>73</v>
      </c>
      <c r="AF55" s="7" t="s">
        <v>73</v>
      </c>
      <c r="AG55" s="7" t="s">
        <v>73</v>
      </c>
      <c r="AH55" s="7" t="s">
        <v>73</v>
      </c>
      <c r="AI55" s="7" t="s">
        <v>73</v>
      </c>
      <c r="AJ55" s="7" t="s">
        <v>73</v>
      </c>
      <c r="AK55" s="7" t="s">
        <v>73</v>
      </c>
      <c r="AL55" s="7" t="s">
        <v>73</v>
      </c>
      <c r="AM55" s="7" t="s">
        <v>73</v>
      </c>
      <c r="AN55" s="7" t="s">
        <v>73</v>
      </c>
    </row>
    <row r="56" spans="1:40">
      <c r="A56" s="316"/>
      <c r="B56" s="37" t="s">
        <v>74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75</v>
      </c>
      <c r="AM56" s="8" t="s">
        <v>75</v>
      </c>
      <c r="AN56" s="8" t="s">
        <v>75</v>
      </c>
    </row>
    <row r="57" spans="1:40">
      <c r="A57" s="316"/>
      <c r="B57" s="37" t="s">
        <v>7</v>
      </c>
      <c r="C57" s="51" t="s">
        <v>75</v>
      </c>
      <c r="D57" s="8" t="s">
        <v>75</v>
      </c>
      <c r="E57" s="8" t="s">
        <v>75</v>
      </c>
      <c r="F57" s="8" t="s">
        <v>75</v>
      </c>
      <c r="G57" s="8" t="s">
        <v>75</v>
      </c>
      <c r="H57" s="8" t="s">
        <v>75</v>
      </c>
      <c r="I57" s="8" t="s">
        <v>75</v>
      </c>
      <c r="J57" s="8" t="s">
        <v>75</v>
      </c>
      <c r="K57" s="8" t="s">
        <v>75</v>
      </c>
      <c r="L57" s="8" t="s">
        <v>75</v>
      </c>
      <c r="M57" s="8" t="s">
        <v>75</v>
      </c>
      <c r="N57" s="8" t="s">
        <v>75</v>
      </c>
      <c r="O57" s="8" t="s">
        <v>75</v>
      </c>
      <c r="P57" s="8" t="s">
        <v>75</v>
      </c>
      <c r="Q57" s="8" t="s">
        <v>75</v>
      </c>
      <c r="R57" s="8" t="s">
        <v>75</v>
      </c>
      <c r="S57" s="8" t="s">
        <v>75</v>
      </c>
      <c r="T57" s="8" t="s">
        <v>75</v>
      </c>
      <c r="U57" s="8" t="s">
        <v>75</v>
      </c>
      <c r="V57" s="8" t="s">
        <v>75</v>
      </c>
      <c r="W57" s="8" t="s">
        <v>75</v>
      </c>
      <c r="X57" s="8" t="s">
        <v>75</v>
      </c>
      <c r="Y57" s="8" t="s">
        <v>75</v>
      </c>
      <c r="Z57" s="8" t="s">
        <v>75</v>
      </c>
      <c r="AA57" s="8" t="s">
        <v>75</v>
      </c>
      <c r="AB57" s="8" t="s">
        <v>75</v>
      </c>
      <c r="AC57" s="8" t="s">
        <v>242</v>
      </c>
      <c r="AD57" s="8" t="s">
        <v>75</v>
      </c>
      <c r="AE57" s="8" t="s">
        <v>75</v>
      </c>
      <c r="AF57" s="8" t="s">
        <v>75</v>
      </c>
      <c r="AG57" s="8" t="s">
        <v>75</v>
      </c>
      <c r="AH57" s="8" t="s">
        <v>75</v>
      </c>
      <c r="AI57" s="8" t="s">
        <v>75</v>
      </c>
      <c r="AJ57" s="8" t="s">
        <v>75</v>
      </c>
      <c r="AK57" s="8" t="s">
        <v>75</v>
      </c>
      <c r="AL57" s="8" t="s">
        <v>75</v>
      </c>
      <c r="AM57" s="8" t="s">
        <v>75</v>
      </c>
      <c r="AN57" s="8" t="s">
        <v>75</v>
      </c>
    </row>
    <row r="58" spans="1:40">
      <c r="A58" s="316"/>
      <c r="B58" s="37" t="s">
        <v>76</v>
      </c>
      <c r="C58" s="51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</row>
    <row r="59" spans="1:40">
      <c r="A59" s="317"/>
      <c r="B59" s="39" t="s">
        <v>82</v>
      </c>
      <c r="C59" s="52" t="s">
        <v>75</v>
      </c>
      <c r="D59" s="9" t="s">
        <v>75</v>
      </c>
      <c r="E59" s="9" t="s">
        <v>75</v>
      </c>
      <c r="F59" s="9" t="s">
        <v>75</v>
      </c>
      <c r="G59" s="9" t="s">
        <v>75</v>
      </c>
      <c r="H59" s="9" t="s">
        <v>75</v>
      </c>
      <c r="I59" s="9" t="s">
        <v>75</v>
      </c>
      <c r="J59" s="9" t="s">
        <v>75</v>
      </c>
      <c r="K59" s="9" t="s">
        <v>75</v>
      </c>
      <c r="L59" s="9" t="s">
        <v>75</v>
      </c>
      <c r="M59" s="9" t="s">
        <v>75</v>
      </c>
      <c r="N59" s="9" t="s">
        <v>75</v>
      </c>
      <c r="O59" s="9" t="s">
        <v>75</v>
      </c>
      <c r="P59" s="9" t="s">
        <v>75</v>
      </c>
      <c r="Q59" s="9" t="s">
        <v>75</v>
      </c>
      <c r="R59" s="9" t="s">
        <v>75</v>
      </c>
      <c r="S59" s="9" t="s">
        <v>75</v>
      </c>
      <c r="T59" s="9" t="s">
        <v>75</v>
      </c>
      <c r="U59" s="9" t="s">
        <v>75</v>
      </c>
      <c r="V59" s="9" t="s">
        <v>75</v>
      </c>
      <c r="W59" s="9" t="s">
        <v>75</v>
      </c>
      <c r="X59" s="9" t="s">
        <v>75</v>
      </c>
      <c r="Y59" s="9" t="s">
        <v>75</v>
      </c>
      <c r="Z59" s="9" t="s">
        <v>75</v>
      </c>
      <c r="AA59" s="9" t="s">
        <v>75</v>
      </c>
      <c r="AB59" s="9" t="s">
        <v>75</v>
      </c>
      <c r="AC59" s="9" t="s">
        <v>75</v>
      </c>
      <c r="AD59" s="9" t="s">
        <v>75</v>
      </c>
      <c r="AE59" s="9" t="s">
        <v>75</v>
      </c>
      <c r="AF59" s="9" t="s">
        <v>75</v>
      </c>
      <c r="AG59" s="9" t="s">
        <v>75</v>
      </c>
      <c r="AH59" s="9" t="s">
        <v>75</v>
      </c>
      <c r="AI59" s="9" t="s">
        <v>75</v>
      </c>
      <c r="AJ59" s="9" t="s">
        <v>75</v>
      </c>
      <c r="AK59" s="8" t="s">
        <v>75</v>
      </c>
      <c r="AL59" s="8" t="s">
        <v>75</v>
      </c>
      <c r="AM59" s="8" t="s">
        <v>75</v>
      </c>
      <c r="AN59" s="9" t="s">
        <v>75</v>
      </c>
    </row>
    <row r="61" spans="1:40" ht="15.75">
      <c r="B61" s="53" t="s">
        <v>83</v>
      </c>
      <c r="C61" s="99" t="s">
        <v>84</v>
      </c>
      <c r="D61" s="100">
        <f t="shared" ref="D61:AN61" si="8">SUM(D62:D74)</f>
        <v>14108880</v>
      </c>
      <c r="E61" s="101">
        <f t="shared" si="8"/>
        <v>0</v>
      </c>
      <c r="F61" s="101">
        <f t="shared" si="8"/>
        <v>0</v>
      </c>
      <c r="G61" s="101">
        <f t="shared" si="8"/>
        <v>228609</v>
      </c>
      <c r="H61" s="101">
        <f t="shared" si="8"/>
        <v>435312</v>
      </c>
      <c r="I61" s="101">
        <f t="shared" si="8"/>
        <v>511632</v>
      </c>
      <c r="J61" s="101">
        <f t="shared" si="8"/>
        <v>608688</v>
      </c>
      <c r="K61" s="101">
        <f t="shared" si="8"/>
        <v>560106</v>
      </c>
      <c r="L61" s="101">
        <f t="shared" si="8"/>
        <v>528498</v>
      </c>
      <c r="M61" s="101">
        <f t="shared" si="8"/>
        <v>497799</v>
      </c>
      <c r="N61" s="101">
        <f t="shared" si="8"/>
        <v>447687</v>
      </c>
      <c r="O61" s="101">
        <f t="shared" si="8"/>
        <v>668484</v>
      </c>
      <c r="P61" s="101">
        <f t="shared" si="8"/>
        <v>576972</v>
      </c>
      <c r="Q61" s="101">
        <f t="shared" si="8"/>
        <v>597825</v>
      </c>
      <c r="R61" s="101">
        <f t="shared" si="8"/>
        <v>346275</v>
      </c>
      <c r="S61" s="101">
        <f t="shared" si="8"/>
        <v>383283</v>
      </c>
      <c r="T61" s="101">
        <f t="shared" si="8"/>
        <v>433206</v>
      </c>
      <c r="U61" s="101">
        <f t="shared" si="8"/>
        <v>429354</v>
      </c>
      <c r="V61" s="101">
        <f t="shared" si="8"/>
        <v>412857</v>
      </c>
      <c r="W61" s="101">
        <f t="shared" si="8"/>
        <v>367398</v>
      </c>
      <c r="X61" s="101">
        <f t="shared" si="8"/>
        <v>445167</v>
      </c>
      <c r="Y61" s="101">
        <f t="shared" si="8"/>
        <v>482922</v>
      </c>
      <c r="Z61" s="101">
        <f t="shared" si="8"/>
        <v>412263</v>
      </c>
      <c r="AA61" s="101">
        <f t="shared" si="8"/>
        <v>462204</v>
      </c>
      <c r="AB61" s="101">
        <f t="shared" si="8"/>
        <v>482643</v>
      </c>
      <c r="AC61" s="101">
        <f t="shared" si="8"/>
        <v>391348</v>
      </c>
      <c r="AD61" s="101">
        <f t="shared" si="8"/>
        <v>492272</v>
      </c>
      <c r="AE61" s="101">
        <f t="shared" si="8"/>
        <v>341774</v>
      </c>
      <c r="AF61" s="101">
        <f t="shared" si="8"/>
        <v>242232</v>
      </c>
      <c r="AG61" s="101">
        <f t="shared" si="8"/>
        <v>464583</v>
      </c>
      <c r="AH61" s="101">
        <f t="shared" si="8"/>
        <v>443552</v>
      </c>
      <c r="AI61" s="101">
        <f t="shared" si="8"/>
        <v>406349</v>
      </c>
      <c r="AJ61" s="101">
        <f t="shared" si="8"/>
        <v>465048</v>
      </c>
      <c r="AK61" s="101">
        <f t="shared" si="8"/>
        <v>361287</v>
      </c>
      <c r="AL61" s="101">
        <f t="shared" si="8"/>
        <v>181251</v>
      </c>
      <c r="AM61" s="101">
        <f t="shared" si="8"/>
        <v>0</v>
      </c>
      <c r="AN61" s="101">
        <f t="shared" si="8"/>
        <v>0</v>
      </c>
    </row>
    <row r="62" spans="1:40" ht="0.2" customHeight="1">
      <c r="B62" s="96" t="s">
        <v>47</v>
      </c>
      <c r="C62" s="111">
        <v>53</v>
      </c>
      <c r="D62" s="97">
        <f t="shared" ref="D62:AN62" si="9">D28*$C62</f>
        <v>0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0</v>
      </c>
      <c r="K62" s="104">
        <f t="shared" si="9"/>
        <v>0</v>
      </c>
      <c r="L62" s="104">
        <f t="shared" si="9"/>
        <v>0</v>
      </c>
      <c r="M62" s="104">
        <f t="shared" si="9"/>
        <v>0</v>
      </c>
      <c r="N62" s="104">
        <f t="shared" si="9"/>
        <v>0</v>
      </c>
      <c r="O62" s="104">
        <f t="shared" si="9"/>
        <v>0</v>
      </c>
      <c r="P62" s="104">
        <f t="shared" si="9"/>
        <v>0</v>
      </c>
      <c r="Q62" s="104">
        <f t="shared" si="9"/>
        <v>0</v>
      </c>
      <c r="R62" s="104">
        <f t="shared" si="9"/>
        <v>0</v>
      </c>
      <c r="S62" s="104">
        <f t="shared" si="9"/>
        <v>0</v>
      </c>
      <c r="T62" s="104">
        <f t="shared" si="9"/>
        <v>0</v>
      </c>
      <c r="U62" s="104">
        <f t="shared" si="9"/>
        <v>0</v>
      </c>
      <c r="V62" s="104">
        <f t="shared" si="9"/>
        <v>0</v>
      </c>
      <c r="W62" s="104">
        <f t="shared" si="9"/>
        <v>0</v>
      </c>
      <c r="X62" s="104">
        <f t="shared" si="9"/>
        <v>0</v>
      </c>
      <c r="Y62" s="104">
        <f t="shared" si="9"/>
        <v>0</v>
      </c>
      <c r="Z62" s="104">
        <f t="shared" si="9"/>
        <v>0</v>
      </c>
      <c r="AA62" s="104">
        <f t="shared" si="9"/>
        <v>0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0</v>
      </c>
      <c r="AF62" s="104">
        <f t="shared" si="9"/>
        <v>0</v>
      </c>
      <c r="AG62" s="104">
        <f t="shared" si="9"/>
        <v>0</v>
      </c>
      <c r="AH62" s="104">
        <f t="shared" si="9"/>
        <v>0</v>
      </c>
      <c r="AI62" s="104">
        <f t="shared" si="9"/>
        <v>0</v>
      </c>
      <c r="AJ62" s="104">
        <f t="shared" si="9"/>
        <v>0</v>
      </c>
      <c r="AK62" s="104">
        <f t="shared" si="9"/>
        <v>0</v>
      </c>
      <c r="AL62" s="104">
        <f t="shared" si="9"/>
        <v>0</v>
      </c>
      <c r="AM62" s="104">
        <f t="shared" si="9"/>
        <v>0</v>
      </c>
      <c r="AN62" s="104">
        <f t="shared" si="9"/>
        <v>0</v>
      </c>
    </row>
    <row r="63" spans="1:40" ht="0.2" customHeight="1">
      <c r="B63" s="96" t="s">
        <v>49</v>
      </c>
      <c r="C63" s="111">
        <v>32</v>
      </c>
      <c r="D63" s="97">
        <f t="shared" ref="D63:AN63" si="10">D29*$C63</f>
        <v>0</v>
      </c>
      <c r="E63" s="104">
        <f t="shared" si="10"/>
        <v>0</v>
      </c>
      <c r="F63" s="104">
        <f t="shared" si="10"/>
        <v>0</v>
      </c>
      <c r="G63" s="104">
        <f t="shared" si="10"/>
        <v>0</v>
      </c>
      <c r="H63" s="104">
        <f t="shared" si="10"/>
        <v>0</v>
      </c>
      <c r="I63" s="104">
        <f t="shared" si="10"/>
        <v>0</v>
      </c>
      <c r="J63" s="104">
        <f t="shared" si="10"/>
        <v>0</v>
      </c>
      <c r="K63" s="104">
        <f t="shared" si="10"/>
        <v>0</v>
      </c>
      <c r="L63" s="104">
        <f t="shared" si="10"/>
        <v>0</v>
      </c>
      <c r="M63" s="104">
        <f t="shared" si="10"/>
        <v>0</v>
      </c>
      <c r="N63" s="104">
        <f t="shared" si="10"/>
        <v>0</v>
      </c>
      <c r="O63" s="104">
        <f t="shared" si="10"/>
        <v>0</v>
      </c>
      <c r="P63" s="104">
        <f t="shared" si="10"/>
        <v>0</v>
      </c>
      <c r="Q63" s="104">
        <f t="shared" si="10"/>
        <v>0</v>
      </c>
      <c r="R63" s="104">
        <f t="shared" si="10"/>
        <v>0</v>
      </c>
      <c r="S63" s="104">
        <f t="shared" si="10"/>
        <v>0</v>
      </c>
      <c r="T63" s="104">
        <f t="shared" si="10"/>
        <v>0</v>
      </c>
      <c r="U63" s="104">
        <f t="shared" si="10"/>
        <v>0</v>
      </c>
      <c r="V63" s="104">
        <f t="shared" si="10"/>
        <v>0</v>
      </c>
      <c r="W63" s="104">
        <f t="shared" si="10"/>
        <v>0</v>
      </c>
      <c r="X63" s="104">
        <f t="shared" si="10"/>
        <v>0</v>
      </c>
      <c r="Y63" s="104">
        <f t="shared" si="10"/>
        <v>0</v>
      </c>
      <c r="Z63" s="104">
        <f t="shared" si="10"/>
        <v>0</v>
      </c>
      <c r="AA63" s="104">
        <f t="shared" si="10"/>
        <v>0</v>
      </c>
      <c r="AB63" s="104">
        <f t="shared" si="10"/>
        <v>0</v>
      </c>
      <c r="AC63" s="104">
        <f t="shared" si="10"/>
        <v>0</v>
      </c>
      <c r="AD63" s="104">
        <f t="shared" si="10"/>
        <v>0</v>
      </c>
      <c r="AE63" s="104">
        <f t="shared" si="10"/>
        <v>0</v>
      </c>
      <c r="AF63" s="104">
        <f t="shared" si="10"/>
        <v>0</v>
      </c>
      <c r="AG63" s="104">
        <f t="shared" si="10"/>
        <v>0</v>
      </c>
      <c r="AH63" s="104">
        <f t="shared" si="10"/>
        <v>0</v>
      </c>
      <c r="AI63" s="104">
        <f t="shared" si="10"/>
        <v>0</v>
      </c>
      <c r="AJ63" s="104">
        <f t="shared" si="10"/>
        <v>0</v>
      </c>
      <c r="AK63" s="104">
        <f t="shared" si="10"/>
        <v>0</v>
      </c>
      <c r="AL63" s="104">
        <f t="shared" si="10"/>
        <v>0</v>
      </c>
      <c r="AM63" s="104">
        <f t="shared" si="10"/>
        <v>0</v>
      </c>
      <c r="AN63" s="104">
        <f t="shared" si="10"/>
        <v>0</v>
      </c>
    </row>
    <row r="64" spans="1:40" ht="0.2" customHeight="1">
      <c r="B64" s="96" t="s">
        <v>50</v>
      </c>
      <c r="C64" s="111">
        <v>23</v>
      </c>
      <c r="D64" s="97">
        <f t="shared" ref="D64:AN64" si="11">D30*$C64</f>
        <v>0</v>
      </c>
      <c r="E64" s="104">
        <f t="shared" si="11"/>
        <v>0</v>
      </c>
      <c r="F64" s="104">
        <f t="shared" si="11"/>
        <v>0</v>
      </c>
      <c r="G64" s="104">
        <f t="shared" si="11"/>
        <v>0</v>
      </c>
      <c r="H64" s="104">
        <f t="shared" si="11"/>
        <v>0</v>
      </c>
      <c r="I64" s="104">
        <f t="shared" si="11"/>
        <v>0</v>
      </c>
      <c r="J64" s="104">
        <f t="shared" si="11"/>
        <v>0</v>
      </c>
      <c r="K64" s="104">
        <f t="shared" si="11"/>
        <v>0</v>
      </c>
      <c r="L64" s="104">
        <f t="shared" si="11"/>
        <v>0</v>
      </c>
      <c r="M64" s="104">
        <f t="shared" si="11"/>
        <v>0</v>
      </c>
      <c r="N64" s="104">
        <f t="shared" si="11"/>
        <v>0</v>
      </c>
      <c r="O64" s="104">
        <f t="shared" si="11"/>
        <v>0</v>
      </c>
      <c r="P64" s="104">
        <f t="shared" si="11"/>
        <v>0</v>
      </c>
      <c r="Q64" s="104">
        <f t="shared" si="11"/>
        <v>0</v>
      </c>
      <c r="R64" s="104">
        <f t="shared" si="11"/>
        <v>0</v>
      </c>
      <c r="S64" s="104">
        <f t="shared" si="11"/>
        <v>0</v>
      </c>
      <c r="T64" s="104">
        <f t="shared" si="11"/>
        <v>0</v>
      </c>
      <c r="U64" s="104">
        <f t="shared" si="11"/>
        <v>0</v>
      </c>
      <c r="V64" s="104">
        <f t="shared" si="11"/>
        <v>0</v>
      </c>
      <c r="W64" s="104">
        <f t="shared" si="11"/>
        <v>0</v>
      </c>
      <c r="X64" s="104">
        <f t="shared" si="11"/>
        <v>0</v>
      </c>
      <c r="Y64" s="104">
        <f t="shared" si="11"/>
        <v>0</v>
      </c>
      <c r="Z64" s="104">
        <f t="shared" si="11"/>
        <v>0</v>
      </c>
      <c r="AA64" s="104">
        <f t="shared" si="11"/>
        <v>0</v>
      </c>
      <c r="AB64" s="104">
        <f t="shared" si="11"/>
        <v>0</v>
      </c>
      <c r="AC64" s="104">
        <f t="shared" si="11"/>
        <v>0</v>
      </c>
      <c r="AD64" s="104">
        <f t="shared" si="11"/>
        <v>0</v>
      </c>
      <c r="AE64" s="104">
        <f t="shared" si="11"/>
        <v>0</v>
      </c>
      <c r="AF64" s="104">
        <f t="shared" si="11"/>
        <v>0</v>
      </c>
      <c r="AG64" s="104">
        <f t="shared" si="11"/>
        <v>0</v>
      </c>
      <c r="AH64" s="104">
        <f t="shared" si="11"/>
        <v>0</v>
      </c>
      <c r="AI64" s="104">
        <f t="shared" si="11"/>
        <v>0</v>
      </c>
      <c r="AJ64" s="104">
        <f t="shared" si="11"/>
        <v>0</v>
      </c>
      <c r="AK64" s="104">
        <f t="shared" si="11"/>
        <v>0</v>
      </c>
      <c r="AL64" s="104">
        <f t="shared" si="11"/>
        <v>0</v>
      </c>
      <c r="AM64" s="104">
        <f t="shared" si="11"/>
        <v>0</v>
      </c>
      <c r="AN64" s="104">
        <f t="shared" si="11"/>
        <v>0</v>
      </c>
    </row>
    <row r="65" spans="2:40" ht="0.2" customHeight="1">
      <c r="B65" s="96" t="s">
        <v>51</v>
      </c>
      <c r="C65" s="111">
        <v>15</v>
      </c>
      <c r="D65" s="97">
        <f t="shared" ref="D65:AN65" si="12">D31*$C65</f>
        <v>0</v>
      </c>
      <c r="E65" s="104">
        <f t="shared" si="12"/>
        <v>0</v>
      </c>
      <c r="F65" s="104">
        <f t="shared" si="12"/>
        <v>0</v>
      </c>
      <c r="G65" s="104">
        <f t="shared" si="12"/>
        <v>0</v>
      </c>
      <c r="H65" s="104">
        <f t="shared" si="12"/>
        <v>0</v>
      </c>
      <c r="I65" s="104">
        <f t="shared" si="12"/>
        <v>0</v>
      </c>
      <c r="J65" s="104">
        <f t="shared" si="12"/>
        <v>0</v>
      </c>
      <c r="K65" s="104">
        <f t="shared" si="12"/>
        <v>0</v>
      </c>
      <c r="L65" s="104">
        <f t="shared" si="12"/>
        <v>0</v>
      </c>
      <c r="M65" s="104">
        <f t="shared" si="12"/>
        <v>0</v>
      </c>
      <c r="N65" s="104">
        <f t="shared" si="12"/>
        <v>0</v>
      </c>
      <c r="O65" s="104">
        <f t="shared" si="12"/>
        <v>0</v>
      </c>
      <c r="P65" s="104">
        <f t="shared" si="12"/>
        <v>0</v>
      </c>
      <c r="Q65" s="104">
        <f t="shared" si="12"/>
        <v>0</v>
      </c>
      <c r="R65" s="104">
        <f t="shared" si="12"/>
        <v>0</v>
      </c>
      <c r="S65" s="104">
        <f t="shared" si="12"/>
        <v>0</v>
      </c>
      <c r="T65" s="104">
        <f t="shared" si="12"/>
        <v>0</v>
      </c>
      <c r="U65" s="104">
        <f t="shared" si="12"/>
        <v>0</v>
      </c>
      <c r="V65" s="104">
        <f t="shared" si="12"/>
        <v>0</v>
      </c>
      <c r="W65" s="104">
        <f t="shared" si="12"/>
        <v>0</v>
      </c>
      <c r="X65" s="104">
        <f t="shared" si="12"/>
        <v>0</v>
      </c>
      <c r="Y65" s="104">
        <f t="shared" si="12"/>
        <v>0</v>
      </c>
      <c r="Z65" s="104">
        <f t="shared" si="12"/>
        <v>0</v>
      </c>
      <c r="AA65" s="104">
        <f t="shared" si="12"/>
        <v>0</v>
      </c>
      <c r="AB65" s="104">
        <f t="shared" si="12"/>
        <v>0</v>
      </c>
      <c r="AC65" s="104">
        <f t="shared" si="12"/>
        <v>0</v>
      </c>
      <c r="AD65" s="104">
        <f t="shared" si="12"/>
        <v>0</v>
      </c>
      <c r="AE65" s="104">
        <f t="shared" si="12"/>
        <v>0</v>
      </c>
      <c r="AF65" s="104">
        <f t="shared" si="12"/>
        <v>0</v>
      </c>
      <c r="AG65" s="104">
        <f t="shared" si="12"/>
        <v>0</v>
      </c>
      <c r="AH65" s="104">
        <f t="shared" si="12"/>
        <v>0</v>
      </c>
      <c r="AI65" s="104">
        <f t="shared" si="12"/>
        <v>0</v>
      </c>
      <c r="AJ65" s="104">
        <f t="shared" si="12"/>
        <v>0</v>
      </c>
      <c r="AK65" s="104">
        <f t="shared" si="12"/>
        <v>0</v>
      </c>
      <c r="AL65" s="104">
        <f t="shared" si="12"/>
        <v>0</v>
      </c>
      <c r="AM65" s="104">
        <f t="shared" si="12"/>
        <v>0</v>
      </c>
      <c r="AN65" s="104">
        <f t="shared" si="12"/>
        <v>0</v>
      </c>
    </row>
    <row r="66" spans="2:40" ht="0.2" customHeight="1">
      <c r="B66" s="96" t="s">
        <v>52</v>
      </c>
      <c r="C66" s="111">
        <v>10</v>
      </c>
      <c r="D66" s="97">
        <f t="shared" ref="D66:AN66" si="13">D32*$C66</f>
        <v>0</v>
      </c>
      <c r="E66" s="104">
        <f t="shared" si="13"/>
        <v>0</v>
      </c>
      <c r="F66" s="104">
        <f t="shared" si="13"/>
        <v>0</v>
      </c>
      <c r="G66" s="104">
        <f t="shared" si="13"/>
        <v>0</v>
      </c>
      <c r="H66" s="104">
        <f t="shared" si="13"/>
        <v>0</v>
      </c>
      <c r="I66" s="104">
        <f t="shared" si="13"/>
        <v>0</v>
      </c>
      <c r="J66" s="104">
        <f t="shared" si="13"/>
        <v>0</v>
      </c>
      <c r="K66" s="104">
        <f t="shared" si="13"/>
        <v>0</v>
      </c>
      <c r="L66" s="104">
        <f t="shared" si="13"/>
        <v>0</v>
      </c>
      <c r="M66" s="104">
        <f t="shared" si="13"/>
        <v>0</v>
      </c>
      <c r="N66" s="104">
        <f t="shared" si="13"/>
        <v>0</v>
      </c>
      <c r="O66" s="104">
        <f t="shared" si="13"/>
        <v>0</v>
      </c>
      <c r="P66" s="104">
        <f t="shared" si="13"/>
        <v>0</v>
      </c>
      <c r="Q66" s="104">
        <f t="shared" si="13"/>
        <v>0</v>
      </c>
      <c r="R66" s="104">
        <f t="shared" si="13"/>
        <v>0</v>
      </c>
      <c r="S66" s="104">
        <f t="shared" si="13"/>
        <v>0</v>
      </c>
      <c r="T66" s="104">
        <f t="shared" si="13"/>
        <v>0</v>
      </c>
      <c r="U66" s="104">
        <f t="shared" si="13"/>
        <v>0</v>
      </c>
      <c r="V66" s="104">
        <f t="shared" si="13"/>
        <v>0</v>
      </c>
      <c r="W66" s="104">
        <f t="shared" si="13"/>
        <v>0</v>
      </c>
      <c r="X66" s="104">
        <f t="shared" si="13"/>
        <v>0</v>
      </c>
      <c r="Y66" s="104">
        <f t="shared" si="13"/>
        <v>0</v>
      </c>
      <c r="Z66" s="104">
        <f t="shared" si="13"/>
        <v>0</v>
      </c>
      <c r="AA66" s="104">
        <f t="shared" si="13"/>
        <v>0</v>
      </c>
      <c r="AB66" s="104">
        <f t="shared" si="13"/>
        <v>0</v>
      </c>
      <c r="AC66" s="104">
        <f t="shared" si="13"/>
        <v>0</v>
      </c>
      <c r="AD66" s="104">
        <f t="shared" si="13"/>
        <v>0</v>
      </c>
      <c r="AE66" s="104">
        <f t="shared" si="13"/>
        <v>0</v>
      </c>
      <c r="AF66" s="104">
        <f t="shared" si="13"/>
        <v>0</v>
      </c>
      <c r="AG66" s="104">
        <f t="shared" si="13"/>
        <v>0</v>
      </c>
      <c r="AH66" s="104">
        <f t="shared" si="13"/>
        <v>0</v>
      </c>
      <c r="AI66" s="104">
        <f t="shared" si="13"/>
        <v>0</v>
      </c>
      <c r="AJ66" s="104">
        <f t="shared" si="13"/>
        <v>0</v>
      </c>
      <c r="AK66" s="104">
        <f t="shared" si="13"/>
        <v>0</v>
      </c>
      <c r="AL66" s="104">
        <f t="shared" si="13"/>
        <v>0</v>
      </c>
      <c r="AM66" s="104">
        <f t="shared" si="13"/>
        <v>0</v>
      </c>
      <c r="AN66" s="104">
        <f t="shared" si="13"/>
        <v>0</v>
      </c>
    </row>
    <row r="67" spans="2:40" ht="0.2" customHeight="1">
      <c r="B67" s="96" t="s">
        <v>53</v>
      </c>
      <c r="C67" s="111">
        <v>19</v>
      </c>
      <c r="D67" s="97">
        <f t="shared" ref="D67:AN67" si="14">D33*$C67</f>
        <v>0</v>
      </c>
      <c r="E67" s="104">
        <f t="shared" si="14"/>
        <v>0</v>
      </c>
      <c r="F67" s="104">
        <f t="shared" si="14"/>
        <v>0</v>
      </c>
      <c r="G67" s="104">
        <f t="shared" si="14"/>
        <v>0</v>
      </c>
      <c r="H67" s="104">
        <f t="shared" si="14"/>
        <v>0</v>
      </c>
      <c r="I67" s="104">
        <f t="shared" si="14"/>
        <v>0</v>
      </c>
      <c r="J67" s="104">
        <f t="shared" si="14"/>
        <v>0</v>
      </c>
      <c r="K67" s="104">
        <f t="shared" si="14"/>
        <v>0</v>
      </c>
      <c r="L67" s="104">
        <f t="shared" si="14"/>
        <v>0</v>
      </c>
      <c r="M67" s="104">
        <f t="shared" si="14"/>
        <v>0</v>
      </c>
      <c r="N67" s="104">
        <f t="shared" si="14"/>
        <v>0</v>
      </c>
      <c r="O67" s="104">
        <f t="shared" si="14"/>
        <v>0</v>
      </c>
      <c r="P67" s="104">
        <f t="shared" si="14"/>
        <v>0</v>
      </c>
      <c r="Q67" s="104">
        <f t="shared" si="14"/>
        <v>0</v>
      </c>
      <c r="R67" s="104">
        <f t="shared" si="14"/>
        <v>0</v>
      </c>
      <c r="S67" s="104">
        <f t="shared" si="14"/>
        <v>0</v>
      </c>
      <c r="T67" s="104">
        <f t="shared" si="14"/>
        <v>0</v>
      </c>
      <c r="U67" s="104">
        <f t="shared" si="14"/>
        <v>0</v>
      </c>
      <c r="V67" s="104">
        <f t="shared" si="14"/>
        <v>0</v>
      </c>
      <c r="W67" s="104">
        <f t="shared" si="14"/>
        <v>0</v>
      </c>
      <c r="X67" s="104">
        <f t="shared" si="14"/>
        <v>0</v>
      </c>
      <c r="Y67" s="104">
        <f t="shared" si="14"/>
        <v>0</v>
      </c>
      <c r="Z67" s="104">
        <f t="shared" si="14"/>
        <v>0</v>
      </c>
      <c r="AA67" s="104">
        <f t="shared" si="14"/>
        <v>0</v>
      </c>
      <c r="AB67" s="104">
        <f t="shared" si="14"/>
        <v>0</v>
      </c>
      <c r="AC67" s="104">
        <f t="shared" si="14"/>
        <v>0</v>
      </c>
      <c r="AD67" s="104">
        <f t="shared" si="14"/>
        <v>0</v>
      </c>
      <c r="AE67" s="104">
        <f t="shared" si="14"/>
        <v>0</v>
      </c>
      <c r="AF67" s="104">
        <f t="shared" si="14"/>
        <v>0</v>
      </c>
      <c r="AG67" s="104">
        <f t="shared" si="14"/>
        <v>0</v>
      </c>
      <c r="AH67" s="104">
        <f t="shared" si="14"/>
        <v>0</v>
      </c>
      <c r="AI67" s="104">
        <f t="shared" si="14"/>
        <v>0</v>
      </c>
      <c r="AJ67" s="104">
        <f t="shared" si="14"/>
        <v>0</v>
      </c>
      <c r="AK67" s="104">
        <f t="shared" si="14"/>
        <v>0</v>
      </c>
      <c r="AL67" s="104">
        <f t="shared" si="14"/>
        <v>0</v>
      </c>
      <c r="AM67" s="104">
        <f t="shared" si="14"/>
        <v>0</v>
      </c>
      <c r="AN67" s="104">
        <f t="shared" si="14"/>
        <v>0</v>
      </c>
    </row>
    <row r="68" spans="2:40" ht="0.2" customHeight="1">
      <c r="B68" s="96" t="s">
        <v>54</v>
      </c>
      <c r="C68" s="111">
        <v>10</v>
      </c>
      <c r="D68" s="97">
        <f t="shared" ref="D68:AN68" si="15">D34*$C68</f>
        <v>0</v>
      </c>
      <c r="E68" s="104">
        <f t="shared" si="15"/>
        <v>0</v>
      </c>
      <c r="F68" s="104">
        <f t="shared" si="15"/>
        <v>0</v>
      </c>
      <c r="G68" s="104">
        <f t="shared" si="15"/>
        <v>0</v>
      </c>
      <c r="H68" s="104">
        <f t="shared" si="15"/>
        <v>0</v>
      </c>
      <c r="I68" s="104">
        <f t="shared" si="15"/>
        <v>0</v>
      </c>
      <c r="J68" s="104">
        <f t="shared" si="15"/>
        <v>0</v>
      </c>
      <c r="K68" s="104">
        <f t="shared" si="15"/>
        <v>0</v>
      </c>
      <c r="L68" s="104">
        <f t="shared" si="15"/>
        <v>0</v>
      </c>
      <c r="M68" s="104">
        <f t="shared" si="15"/>
        <v>0</v>
      </c>
      <c r="N68" s="104">
        <f t="shared" si="15"/>
        <v>0</v>
      </c>
      <c r="O68" s="104">
        <f t="shared" si="15"/>
        <v>0</v>
      </c>
      <c r="P68" s="104">
        <f t="shared" si="15"/>
        <v>0</v>
      </c>
      <c r="Q68" s="104">
        <f t="shared" si="15"/>
        <v>0</v>
      </c>
      <c r="R68" s="104">
        <f t="shared" si="15"/>
        <v>0</v>
      </c>
      <c r="S68" s="104">
        <f t="shared" si="15"/>
        <v>0</v>
      </c>
      <c r="T68" s="104">
        <f t="shared" si="15"/>
        <v>0</v>
      </c>
      <c r="U68" s="104">
        <f t="shared" si="15"/>
        <v>0</v>
      </c>
      <c r="V68" s="104">
        <f t="shared" si="15"/>
        <v>0</v>
      </c>
      <c r="W68" s="104">
        <f t="shared" si="15"/>
        <v>0</v>
      </c>
      <c r="X68" s="104">
        <f t="shared" si="15"/>
        <v>0</v>
      </c>
      <c r="Y68" s="104">
        <f t="shared" si="15"/>
        <v>0</v>
      </c>
      <c r="Z68" s="104">
        <f t="shared" si="15"/>
        <v>0</v>
      </c>
      <c r="AA68" s="104">
        <f t="shared" si="15"/>
        <v>0</v>
      </c>
      <c r="AB68" s="104">
        <f t="shared" si="15"/>
        <v>0</v>
      </c>
      <c r="AC68" s="104">
        <f t="shared" si="15"/>
        <v>0</v>
      </c>
      <c r="AD68" s="104">
        <f t="shared" si="15"/>
        <v>0</v>
      </c>
      <c r="AE68" s="104">
        <f t="shared" si="15"/>
        <v>0</v>
      </c>
      <c r="AF68" s="104">
        <f t="shared" si="15"/>
        <v>0</v>
      </c>
      <c r="AG68" s="104">
        <f t="shared" si="15"/>
        <v>0</v>
      </c>
      <c r="AH68" s="104">
        <f t="shared" si="15"/>
        <v>0</v>
      </c>
      <c r="AI68" s="104">
        <f t="shared" si="15"/>
        <v>0</v>
      </c>
      <c r="AJ68" s="104">
        <f t="shared" si="15"/>
        <v>0</v>
      </c>
      <c r="AK68" s="104">
        <f t="shared" si="15"/>
        <v>0</v>
      </c>
      <c r="AL68" s="104">
        <f t="shared" si="15"/>
        <v>0</v>
      </c>
      <c r="AM68" s="104">
        <f t="shared" si="15"/>
        <v>0</v>
      </c>
      <c r="AN68" s="104">
        <f t="shared" si="15"/>
        <v>0</v>
      </c>
    </row>
    <row r="69" spans="2:40" ht="0.2" customHeight="1">
      <c r="B69" s="96" t="s">
        <v>55</v>
      </c>
      <c r="C69" s="111">
        <v>50</v>
      </c>
      <c r="D69" s="97">
        <f t="shared" ref="D69:AN69" si="16">D35*$C69</f>
        <v>0</v>
      </c>
      <c r="E69" s="104">
        <f t="shared" si="16"/>
        <v>0</v>
      </c>
      <c r="F69" s="104">
        <f t="shared" si="16"/>
        <v>0</v>
      </c>
      <c r="G69" s="104">
        <f t="shared" si="16"/>
        <v>0</v>
      </c>
      <c r="H69" s="104">
        <f t="shared" si="16"/>
        <v>0</v>
      </c>
      <c r="I69" s="104">
        <f t="shared" si="16"/>
        <v>0</v>
      </c>
      <c r="J69" s="104">
        <f t="shared" si="16"/>
        <v>0</v>
      </c>
      <c r="K69" s="104">
        <f t="shared" si="16"/>
        <v>0</v>
      </c>
      <c r="L69" s="104">
        <f t="shared" si="16"/>
        <v>0</v>
      </c>
      <c r="M69" s="104">
        <f t="shared" si="16"/>
        <v>0</v>
      </c>
      <c r="N69" s="104">
        <f t="shared" si="16"/>
        <v>0</v>
      </c>
      <c r="O69" s="104">
        <f t="shared" si="16"/>
        <v>0</v>
      </c>
      <c r="P69" s="104">
        <f t="shared" si="16"/>
        <v>0</v>
      </c>
      <c r="Q69" s="104">
        <f t="shared" si="16"/>
        <v>0</v>
      </c>
      <c r="R69" s="104">
        <f t="shared" si="16"/>
        <v>0</v>
      </c>
      <c r="S69" s="104">
        <f t="shared" si="16"/>
        <v>0</v>
      </c>
      <c r="T69" s="104">
        <f t="shared" si="16"/>
        <v>0</v>
      </c>
      <c r="U69" s="104">
        <f t="shared" si="16"/>
        <v>0</v>
      </c>
      <c r="V69" s="104">
        <f t="shared" si="16"/>
        <v>0</v>
      </c>
      <c r="W69" s="104">
        <f t="shared" si="16"/>
        <v>0</v>
      </c>
      <c r="X69" s="104">
        <f t="shared" si="16"/>
        <v>0</v>
      </c>
      <c r="Y69" s="104">
        <f t="shared" si="16"/>
        <v>0</v>
      </c>
      <c r="Z69" s="104">
        <f t="shared" si="16"/>
        <v>0</v>
      </c>
      <c r="AA69" s="104">
        <f t="shared" si="16"/>
        <v>0</v>
      </c>
      <c r="AB69" s="104">
        <f t="shared" si="16"/>
        <v>0</v>
      </c>
      <c r="AC69" s="104">
        <f t="shared" si="16"/>
        <v>0</v>
      </c>
      <c r="AD69" s="104">
        <f t="shared" si="16"/>
        <v>0</v>
      </c>
      <c r="AE69" s="104">
        <f t="shared" si="16"/>
        <v>0</v>
      </c>
      <c r="AF69" s="104">
        <f t="shared" si="16"/>
        <v>0</v>
      </c>
      <c r="AG69" s="104">
        <f t="shared" si="16"/>
        <v>0</v>
      </c>
      <c r="AH69" s="104">
        <f t="shared" si="16"/>
        <v>0</v>
      </c>
      <c r="AI69" s="104">
        <f t="shared" si="16"/>
        <v>0</v>
      </c>
      <c r="AJ69" s="104">
        <f t="shared" si="16"/>
        <v>0</v>
      </c>
      <c r="AK69" s="104">
        <f t="shared" si="16"/>
        <v>0</v>
      </c>
      <c r="AL69" s="104">
        <f t="shared" si="16"/>
        <v>0</v>
      </c>
      <c r="AM69" s="104">
        <f t="shared" si="16"/>
        <v>0</v>
      </c>
      <c r="AN69" s="104">
        <f t="shared" si="16"/>
        <v>0</v>
      </c>
    </row>
    <row r="70" spans="2:40" ht="0.2" customHeight="1">
      <c r="B70" s="96" t="s">
        <v>56</v>
      </c>
      <c r="C70" s="111">
        <v>27.39</v>
      </c>
      <c r="D70" s="97">
        <f t="shared" ref="D70:AN70" si="17">D36*$C70</f>
        <v>0</v>
      </c>
      <c r="E70" s="104">
        <f t="shared" si="17"/>
        <v>0</v>
      </c>
      <c r="F70" s="104">
        <f t="shared" si="17"/>
        <v>0</v>
      </c>
      <c r="G70" s="104">
        <f t="shared" si="17"/>
        <v>0</v>
      </c>
      <c r="H70" s="104">
        <f t="shared" si="17"/>
        <v>0</v>
      </c>
      <c r="I70" s="104">
        <f t="shared" si="17"/>
        <v>0</v>
      </c>
      <c r="J70" s="104">
        <f t="shared" si="17"/>
        <v>0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>
        <f t="shared" si="17"/>
        <v>0</v>
      </c>
      <c r="Q70" s="104">
        <f t="shared" si="17"/>
        <v>0</v>
      </c>
      <c r="R70" s="104">
        <f t="shared" si="17"/>
        <v>0</v>
      </c>
      <c r="S70" s="104">
        <f t="shared" si="17"/>
        <v>0</v>
      </c>
      <c r="T70" s="104">
        <f t="shared" si="17"/>
        <v>0</v>
      </c>
      <c r="U70" s="104">
        <f t="shared" si="17"/>
        <v>0</v>
      </c>
      <c r="V70" s="104">
        <f t="shared" si="17"/>
        <v>0</v>
      </c>
      <c r="W70" s="104">
        <f t="shared" si="17"/>
        <v>0</v>
      </c>
      <c r="X70" s="104">
        <f t="shared" si="17"/>
        <v>0</v>
      </c>
      <c r="Y70" s="104">
        <f t="shared" si="17"/>
        <v>0</v>
      </c>
      <c r="Z70" s="104">
        <f t="shared" si="17"/>
        <v>0</v>
      </c>
      <c r="AA70" s="104">
        <f t="shared" si="17"/>
        <v>0</v>
      </c>
      <c r="AB70" s="104">
        <f t="shared" si="17"/>
        <v>0</v>
      </c>
      <c r="AC70" s="104">
        <f t="shared" si="17"/>
        <v>0</v>
      </c>
      <c r="AD70" s="104">
        <f t="shared" si="17"/>
        <v>0</v>
      </c>
      <c r="AE70" s="104">
        <f t="shared" si="17"/>
        <v>0</v>
      </c>
      <c r="AF70" s="104">
        <f t="shared" si="17"/>
        <v>0</v>
      </c>
      <c r="AG70" s="104">
        <f t="shared" si="17"/>
        <v>0</v>
      </c>
      <c r="AH70" s="104">
        <f t="shared" si="17"/>
        <v>0</v>
      </c>
      <c r="AI70" s="104">
        <f t="shared" si="17"/>
        <v>0</v>
      </c>
      <c r="AJ70" s="104">
        <f t="shared" si="17"/>
        <v>0</v>
      </c>
      <c r="AK70" s="104">
        <f t="shared" si="17"/>
        <v>0</v>
      </c>
      <c r="AL70" s="104">
        <f t="shared" si="17"/>
        <v>0</v>
      </c>
      <c r="AM70" s="104">
        <f t="shared" si="17"/>
        <v>0</v>
      </c>
      <c r="AN70" s="104">
        <f t="shared" si="17"/>
        <v>0</v>
      </c>
    </row>
    <row r="71" spans="2:40">
      <c r="B71" s="96" t="s">
        <v>57</v>
      </c>
      <c r="C71" s="111">
        <v>15</v>
      </c>
      <c r="D71" s="97">
        <f t="shared" ref="D71:AN71" si="18">D37*$C71</f>
        <v>4670595</v>
      </c>
      <c r="E71" s="104">
        <f t="shared" si="18"/>
        <v>0</v>
      </c>
      <c r="F71" s="104">
        <f t="shared" si="18"/>
        <v>0</v>
      </c>
      <c r="G71" s="104">
        <f t="shared" si="18"/>
        <v>65295</v>
      </c>
      <c r="H71" s="104">
        <f t="shared" si="18"/>
        <v>100170</v>
      </c>
      <c r="I71" s="104">
        <f t="shared" si="18"/>
        <v>145530</v>
      </c>
      <c r="J71" s="104">
        <f t="shared" si="18"/>
        <v>235620</v>
      </c>
      <c r="K71" s="104">
        <f t="shared" si="18"/>
        <v>200970</v>
      </c>
      <c r="L71" s="104">
        <f t="shared" si="18"/>
        <v>163170</v>
      </c>
      <c r="M71" s="104">
        <f t="shared" si="18"/>
        <v>106155</v>
      </c>
      <c r="N71" s="104">
        <f t="shared" si="18"/>
        <v>108675</v>
      </c>
      <c r="O71" s="104">
        <f t="shared" si="18"/>
        <v>156870</v>
      </c>
      <c r="P71" s="104">
        <f t="shared" si="18"/>
        <v>164430</v>
      </c>
      <c r="Q71" s="104">
        <f t="shared" si="18"/>
        <v>206955</v>
      </c>
      <c r="R71" s="104">
        <f t="shared" si="18"/>
        <v>152775</v>
      </c>
      <c r="S71" s="104">
        <f t="shared" si="18"/>
        <v>126315</v>
      </c>
      <c r="T71" s="104">
        <f t="shared" si="18"/>
        <v>166950</v>
      </c>
      <c r="U71" s="104">
        <f t="shared" si="18"/>
        <v>149940</v>
      </c>
      <c r="V71" s="104">
        <f t="shared" si="18"/>
        <v>162855</v>
      </c>
      <c r="W71" s="104">
        <f t="shared" si="18"/>
        <v>129780</v>
      </c>
      <c r="X71" s="104">
        <f t="shared" si="18"/>
        <v>160335</v>
      </c>
      <c r="Y71" s="104">
        <f t="shared" si="18"/>
        <v>159390</v>
      </c>
      <c r="Z71" s="104">
        <f t="shared" si="18"/>
        <v>128205</v>
      </c>
      <c r="AA71" s="104">
        <f t="shared" si="18"/>
        <v>151830</v>
      </c>
      <c r="AB71" s="104">
        <f t="shared" si="18"/>
        <v>206325</v>
      </c>
      <c r="AC71" s="104">
        <f t="shared" si="18"/>
        <v>117180</v>
      </c>
      <c r="AD71" s="104">
        <f t="shared" si="18"/>
        <v>168525</v>
      </c>
      <c r="AE71" s="104">
        <f t="shared" si="18"/>
        <v>126000</v>
      </c>
      <c r="AF71" s="104">
        <f t="shared" si="18"/>
        <v>82530</v>
      </c>
      <c r="AG71" s="104">
        <f t="shared" si="18"/>
        <v>165690</v>
      </c>
      <c r="AH71" s="104">
        <f t="shared" si="18"/>
        <v>142380</v>
      </c>
      <c r="AI71" s="104">
        <f t="shared" si="18"/>
        <v>122850</v>
      </c>
      <c r="AJ71" s="104">
        <f t="shared" si="18"/>
        <v>173250</v>
      </c>
      <c r="AK71" s="104">
        <f t="shared" si="18"/>
        <v>134505</v>
      </c>
      <c r="AL71" s="104">
        <f t="shared" si="18"/>
        <v>89145</v>
      </c>
      <c r="AM71" s="104">
        <f t="shared" si="18"/>
        <v>0</v>
      </c>
      <c r="AN71" s="104">
        <f t="shared" si="18"/>
        <v>0</v>
      </c>
    </row>
    <row r="72" spans="2:40">
      <c r="B72" s="96" t="s">
        <v>58</v>
      </c>
      <c r="C72" s="111">
        <v>43</v>
      </c>
      <c r="D72" s="97">
        <f t="shared" ref="D72:AN72" si="19">D38*$C72</f>
        <v>9438285</v>
      </c>
      <c r="E72" s="104">
        <f t="shared" si="19"/>
        <v>0</v>
      </c>
      <c r="F72" s="104">
        <f t="shared" si="19"/>
        <v>0</v>
      </c>
      <c r="G72" s="104">
        <f t="shared" si="19"/>
        <v>163314</v>
      </c>
      <c r="H72" s="104">
        <f t="shared" si="19"/>
        <v>335142</v>
      </c>
      <c r="I72" s="104">
        <f t="shared" si="19"/>
        <v>366102</v>
      </c>
      <c r="J72" s="104">
        <f t="shared" si="19"/>
        <v>373068</v>
      </c>
      <c r="K72" s="104">
        <f t="shared" si="19"/>
        <v>359136</v>
      </c>
      <c r="L72" s="104">
        <f t="shared" si="19"/>
        <v>365328</v>
      </c>
      <c r="M72" s="104">
        <f t="shared" si="19"/>
        <v>391644</v>
      </c>
      <c r="N72" s="104">
        <f t="shared" si="19"/>
        <v>339012</v>
      </c>
      <c r="O72" s="104">
        <f t="shared" si="19"/>
        <v>511614</v>
      </c>
      <c r="P72" s="104">
        <f t="shared" si="19"/>
        <v>412542</v>
      </c>
      <c r="Q72" s="104">
        <f t="shared" si="19"/>
        <v>390870</v>
      </c>
      <c r="R72" s="104">
        <f t="shared" si="19"/>
        <v>193500</v>
      </c>
      <c r="S72" s="104">
        <f t="shared" si="19"/>
        <v>256968</v>
      </c>
      <c r="T72" s="104">
        <f t="shared" si="19"/>
        <v>266256</v>
      </c>
      <c r="U72" s="104">
        <f t="shared" si="19"/>
        <v>279414</v>
      </c>
      <c r="V72" s="104">
        <f t="shared" si="19"/>
        <v>250002</v>
      </c>
      <c r="W72" s="104">
        <f t="shared" si="19"/>
        <v>237618</v>
      </c>
      <c r="X72" s="104">
        <f t="shared" si="19"/>
        <v>284832</v>
      </c>
      <c r="Y72" s="104">
        <f t="shared" si="19"/>
        <v>323532</v>
      </c>
      <c r="Z72" s="104">
        <f t="shared" si="19"/>
        <v>284058</v>
      </c>
      <c r="AA72" s="104">
        <f t="shared" si="19"/>
        <v>310374</v>
      </c>
      <c r="AB72" s="104">
        <f t="shared" si="19"/>
        <v>276318</v>
      </c>
      <c r="AC72" s="104">
        <f t="shared" si="19"/>
        <v>274168</v>
      </c>
      <c r="AD72" s="104">
        <f t="shared" si="19"/>
        <v>323747</v>
      </c>
      <c r="AE72" s="104">
        <f t="shared" si="19"/>
        <v>215774</v>
      </c>
      <c r="AF72" s="104">
        <f t="shared" si="19"/>
        <v>159702</v>
      </c>
      <c r="AG72" s="104">
        <f t="shared" si="19"/>
        <v>298893</v>
      </c>
      <c r="AH72" s="104">
        <f t="shared" si="19"/>
        <v>301172</v>
      </c>
      <c r="AI72" s="104">
        <f t="shared" si="19"/>
        <v>283499</v>
      </c>
      <c r="AJ72" s="104">
        <f t="shared" si="19"/>
        <v>291798</v>
      </c>
      <c r="AK72" s="104">
        <f t="shared" si="19"/>
        <v>226782</v>
      </c>
      <c r="AL72" s="104">
        <f t="shared" si="19"/>
        <v>92106</v>
      </c>
      <c r="AM72" s="104">
        <f t="shared" si="19"/>
        <v>0</v>
      </c>
      <c r="AN72" s="104">
        <f t="shared" si="19"/>
        <v>0</v>
      </c>
    </row>
    <row r="73" spans="2:40" ht="0.2" customHeight="1">
      <c r="B73" s="96" t="s">
        <v>59</v>
      </c>
      <c r="C73" s="112">
        <v>8</v>
      </c>
      <c r="D73" s="97">
        <f t="shared" ref="D73:AN73" si="20">D39*$C73</f>
        <v>0</v>
      </c>
      <c r="E73" s="104">
        <f t="shared" si="20"/>
        <v>0</v>
      </c>
      <c r="F73" s="104">
        <f t="shared" si="20"/>
        <v>0</v>
      </c>
      <c r="G73" s="104">
        <f t="shared" si="20"/>
        <v>0</v>
      </c>
      <c r="H73" s="104">
        <f t="shared" si="20"/>
        <v>0</v>
      </c>
      <c r="I73" s="104">
        <f t="shared" si="20"/>
        <v>0</v>
      </c>
      <c r="J73" s="104">
        <f t="shared" si="20"/>
        <v>0</v>
      </c>
      <c r="K73" s="104">
        <f t="shared" si="20"/>
        <v>0</v>
      </c>
      <c r="L73" s="104">
        <f t="shared" si="20"/>
        <v>0</v>
      </c>
      <c r="M73" s="104">
        <f t="shared" si="20"/>
        <v>0</v>
      </c>
      <c r="N73" s="104">
        <f t="shared" si="20"/>
        <v>0</v>
      </c>
      <c r="O73" s="104">
        <f t="shared" si="20"/>
        <v>0</v>
      </c>
      <c r="P73" s="104">
        <f t="shared" si="20"/>
        <v>0</v>
      </c>
      <c r="Q73" s="104">
        <f t="shared" si="20"/>
        <v>0</v>
      </c>
      <c r="R73" s="104">
        <f t="shared" si="20"/>
        <v>0</v>
      </c>
      <c r="S73" s="104">
        <f t="shared" si="20"/>
        <v>0</v>
      </c>
      <c r="T73" s="104">
        <f t="shared" si="20"/>
        <v>0</v>
      </c>
      <c r="U73" s="104">
        <f t="shared" si="20"/>
        <v>0</v>
      </c>
      <c r="V73" s="104">
        <f t="shared" si="20"/>
        <v>0</v>
      </c>
      <c r="W73" s="104">
        <f t="shared" si="20"/>
        <v>0</v>
      </c>
      <c r="X73" s="104">
        <f t="shared" si="20"/>
        <v>0</v>
      </c>
      <c r="Y73" s="104">
        <f t="shared" si="20"/>
        <v>0</v>
      </c>
      <c r="Z73" s="104">
        <f t="shared" si="20"/>
        <v>0</v>
      </c>
      <c r="AA73" s="104">
        <f t="shared" si="20"/>
        <v>0</v>
      </c>
      <c r="AB73" s="104">
        <f t="shared" si="20"/>
        <v>0</v>
      </c>
      <c r="AC73" s="104">
        <f t="shared" si="20"/>
        <v>0</v>
      </c>
      <c r="AD73" s="104">
        <f t="shared" si="20"/>
        <v>0</v>
      </c>
      <c r="AE73" s="104">
        <f t="shared" si="20"/>
        <v>0</v>
      </c>
      <c r="AF73" s="104">
        <f t="shared" si="20"/>
        <v>0</v>
      </c>
      <c r="AG73" s="104">
        <f t="shared" si="20"/>
        <v>0</v>
      </c>
      <c r="AH73" s="104">
        <f t="shared" si="20"/>
        <v>0</v>
      </c>
      <c r="AI73" s="104">
        <f t="shared" si="20"/>
        <v>0</v>
      </c>
      <c r="AJ73" s="104">
        <f t="shared" si="20"/>
        <v>0</v>
      </c>
      <c r="AK73" s="104">
        <f t="shared" si="20"/>
        <v>0</v>
      </c>
      <c r="AL73" s="104">
        <f t="shared" si="20"/>
        <v>0</v>
      </c>
      <c r="AM73" s="104">
        <f t="shared" si="20"/>
        <v>0</v>
      </c>
      <c r="AN73" s="104">
        <f t="shared" si="20"/>
        <v>0</v>
      </c>
    </row>
    <row r="74" spans="2:40">
      <c r="B74" s="35" t="s">
        <v>85</v>
      </c>
      <c r="C74" s="113">
        <v>3.5</v>
      </c>
      <c r="D74" s="98">
        <f>D52*C74</f>
        <v>0</v>
      </c>
      <c r="E74" s="107">
        <f>E52*$C$74</f>
        <v>0</v>
      </c>
      <c r="F74" s="107">
        <f t="shared" ref="F74:AN74" si="21">F52*E74</f>
        <v>0</v>
      </c>
      <c r="G74" s="107">
        <f t="shared" si="21"/>
        <v>0</v>
      </c>
      <c r="H74" s="107">
        <f t="shared" si="21"/>
        <v>0</v>
      </c>
      <c r="I74" s="107">
        <f t="shared" si="21"/>
        <v>0</v>
      </c>
      <c r="J74" s="107">
        <f t="shared" si="21"/>
        <v>0</v>
      </c>
      <c r="K74" s="107">
        <f t="shared" si="21"/>
        <v>0</v>
      </c>
      <c r="L74" s="107">
        <f t="shared" si="21"/>
        <v>0</v>
      </c>
      <c r="M74" s="107">
        <f t="shared" si="21"/>
        <v>0</v>
      </c>
      <c r="N74" s="107">
        <f t="shared" si="21"/>
        <v>0</v>
      </c>
      <c r="O74" s="107">
        <f t="shared" si="21"/>
        <v>0</v>
      </c>
      <c r="P74" s="107">
        <f t="shared" si="21"/>
        <v>0</v>
      </c>
      <c r="Q74" s="107">
        <f t="shared" si="21"/>
        <v>0</v>
      </c>
      <c r="R74" s="107">
        <f t="shared" si="21"/>
        <v>0</v>
      </c>
      <c r="S74" s="107">
        <f t="shared" si="21"/>
        <v>0</v>
      </c>
      <c r="T74" s="107">
        <f t="shared" si="21"/>
        <v>0</v>
      </c>
      <c r="U74" s="107">
        <f t="shared" si="21"/>
        <v>0</v>
      </c>
      <c r="V74" s="107">
        <f t="shared" si="21"/>
        <v>0</v>
      </c>
      <c r="W74" s="107">
        <f t="shared" si="21"/>
        <v>0</v>
      </c>
      <c r="X74" s="107">
        <f t="shared" si="21"/>
        <v>0</v>
      </c>
      <c r="Y74" s="107">
        <f t="shared" si="21"/>
        <v>0</v>
      </c>
      <c r="Z74" s="107">
        <f t="shared" si="21"/>
        <v>0</v>
      </c>
      <c r="AA74" s="107">
        <f t="shared" si="21"/>
        <v>0</v>
      </c>
      <c r="AB74" s="107">
        <f t="shared" si="21"/>
        <v>0</v>
      </c>
      <c r="AC74" s="107">
        <f t="shared" si="21"/>
        <v>0</v>
      </c>
      <c r="AD74" s="107">
        <f t="shared" si="21"/>
        <v>0</v>
      </c>
      <c r="AE74" s="107">
        <f t="shared" si="21"/>
        <v>0</v>
      </c>
      <c r="AF74" s="107">
        <f t="shared" si="21"/>
        <v>0</v>
      </c>
      <c r="AG74" s="107">
        <f t="shared" si="21"/>
        <v>0</v>
      </c>
      <c r="AH74" s="107">
        <f t="shared" si="21"/>
        <v>0</v>
      </c>
      <c r="AI74" s="107">
        <f t="shared" si="21"/>
        <v>0</v>
      </c>
      <c r="AJ74" s="107">
        <f t="shared" si="21"/>
        <v>0</v>
      </c>
      <c r="AK74" s="107">
        <f t="shared" si="21"/>
        <v>0</v>
      </c>
      <c r="AL74" s="107">
        <f t="shared" si="21"/>
        <v>0</v>
      </c>
      <c r="AM74" s="107">
        <f t="shared" si="21"/>
        <v>0</v>
      </c>
      <c r="AN74" s="107">
        <f t="shared" si="21"/>
        <v>0</v>
      </c>
    </row>
    <row r="75" spans="2:40" ht="15.75">
      <c r="B75" s="250" t="s">
        <v>339</v>
      </c>
      <c r="C75" s="251">
        <f>+D61/D27</f>
        <v>26.577002192635458</v>
      </c>
    </row>
    <row r="77" spans="2:40">
      <c r="B77" s="318" t="s">
        <v>86</v>
      </c>
      <c r="C77" s="319"/>
      <c r="D77" s="108">
        <f>AVERAGEIF(E61:N61, "&gt;0")</f>
        <v>477291.375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2:40">
      <c r="P78" s="11"/>
      <c r="Q78" s="11"/>
      <c r="R78" s="11"/>
      <c r="S78" s="11"/>
      <c r="T78" s="11"/>
      <c r="U78" s="11"/>
      <c r="V78" s="11"/>
      <c r="W78" s="11"/>
    </row>
    <row r="79" spans="2:40">
      <c r="B79" s="12" t="s">
        <v>87</v>
      </c>
      <c r="C79" s="13">
        <v>0.31</v>
      </c>
      <c r="D79" s="231">
        <f>SUM(E79:AN79)</f>
        <v>4373752.799999998</v>
      </c>
      <c r="E79" s="171">
        <f t="shared" ref="E79:AN79" si="22">E61*$C$79</f>
        <v>0</v>
      </c>
      <c r="F79" s="14">
        <f t="shared" si="22"/>
        <v>0</v>
      </c>
      <c r="G79" s="14">
        <f t="shared" si="22"/>
        <v>70868.789999999994</v>
      </c>
      <c r="H79" s="14">
        <f t="shared" si="22"/>
        <v>134946.72</v>
      </c>
      <c r="I79" s="14">
        <f t="shared" si="22"/>
        <v>158605.92000000001</v>
      </c>
      <c r="J79" s="14">
        <f t="shared" si="22"/>
        <v>188693.28</v>
      </c>
      <c r="K79" s="15">
        <f t="shared" si="22"/>
        <v>173632.86</v>
      </c>
      <c r="L79" s="14">
        <f t="shared" si="22"/>
        <v>163834.38</v>
      </c>
      <c r="M79" s="15">
        <f t="shared" si="22"/>
        <v>154317.69</v>
      </c>
      <c r="N79" s="14">
        <f t="shared" si="22"/>
        <v>138782.97</v>
      </c>
      <c r="O79" s="14">
        <f t="shared" si="22"/>
        <v>207230.04</v>
      </c>
      <c r="P79" s="14">
        <f t="shared" si="22"/>
        <v>178861.32</v>
      </c>
      <c r="Q79" s="14">
        <f t="shared" si="22"/>
        <v>185325.75</v>
      </c>
      <c r="R79" s="14">
        <f t="shared" si="22"/>
        <v>107345.25</v>
      </c>
      <c r="S79" s="14">
        <f t="shared" si="22"/>
        <v>118817.73</v>
      </c>
      <c r="T79" s="14">
        <f t="shared" si="22"/>
        <v>134293.85999999999</v>
      </c>
      <c r="U79" s="14">
        <f t="shared" si="22"/>
        <v>133099.74</v>
      </c>
      <c r="V79" s="14">
        <f t="shared" si="22"/>
        <v>127985.67</v>
      </c>
      <c r="W79" s="14">
        <f t="shared" si="22"/>
        <v>113893.38</v>
      </c>
      <c r="X79" s="14">
        <f t="shared" si="22"/>
        <v>138001.76999999999</v>
      </c>
      <c r="Y79" s="14">
        <f t="shared" si="22"/>
        <v>149705.82</v>
      </c>
      <c r="Z79" s="14">
        <f t="shared" si="22"/>
        <v>127801.53</v>
      </c>
      <c r="AA79" s="14">
        <f t="shared" si="22"/>
        <v>143283.24</v>
      </c>
      <c r="AB79" s="14">
        <f t="shared" si="22"/>
        <v>149619.32999999999</v>
      </c>
      <c r="AC79" s="14">
        <f t="shared" si="22"/>
        <v>121317.88</v>
      </c>
      <c r="AD79" s="14">
        <f t="shared" si="22"/>
        <v>152604.32</v>
      </c>
      <c r="AE79" s="14">
        <f t="shared" si="22"/>
        <v>105949.94</v>
      </c>
      <c r="AF79" s="14">
        <f t="shared" si="22"/>
        <v>75091.92</v>
      </c>
      <c r="AG79" s="14">
        <f t="shared" si="22"/>
        <v>144020.73000000001</v>
      </c>
      <c r="AH79" s="14">
        <f t="shared" si="22"/>
        <v>137501.12</v>
      </c>
      <c r="AI79" s="14">
        <f t="shared" si="22"/>
        <v>125968.19</v>
      </c>
      <c r="AJ79" s="14">
        <f t="shared" si="22"/>
        <v>144164.88</v>
      </c>
      <c r="AK79" s="14">
        <f t="shared" si="22"/>
        <v>111998.97</v>
      </c>
      <c r="AL79" s="14">
        <f t="shared" si="22"/>
        <v>56187.81</v>
      </c>
      <c r="AM79" s="14">
        <f t="shared" si="22"/>
        <v>0</v>
      </c>
      <c r="AN79" s="14">
        <f t="shared" si="22"/>
        <v>0</v>
      </c>
    </row>
    <row r="80" spans="2:40">
      <c r="B80" s="16" t="s">
        <v>88</v>
      </c>
      <c r="C80" s="17">
        <v>60000</v>
      </c>
      <c r="D80" s="232">
        <f>SUM(E80:AN80)</f>
        <v>2160000</v>
      </c>
      <c r="E80" s="172">
        <f t="shared" ref="E80:AN80" si="23">$C$80</f>
        <v>60000</v>
      </c>
      <c r="F80" s="18">
        <f t="shared" si="23"/>
        <v>60000</v>
      </c>
      <c r="G80" s="18">
        <f t="shared" si="23"/>
        <v>60000</v>
      </c>
      <c r="H80" s="18">
        <f t="shared" si="23"/>
        <v>60000</v>
      </c>
      <c r="I80" s="18">
        <f t="shared" si="23"/>
        <v>60000</v>
      </c>
      <c r="J80" s="18">
        <f t="shared" si="23"/>
        <v>60000</v>
      </c>
      <c r="K80" s="19">
        <f t="shared" si="23"/>
        <v>60000</v>
      </c>
      <c r="L80" s="18">
        <f t="shared" si="23"/>
        <v>60000</v>
      </c>
      <c r="M80" s="19">
        <f t="shared" si="23"/>
        <v>60000</v>
      </c>
      <c r="N80" s="18">
        <f t="shared" si="23"/>
        <v>60000</v>
      </c>
      <c r="O80" s="18">
        <f t="shared" si="23"/>
        <v>60000</v>
      </c>
      <c r="P80" s="18">
        <f t="shared" si="23"/>
        <v>60000</v>
      </c>
      <c r="Q80" s="18">
        <f t="shared" si="23"/>
        <v>60000</v>
      </c>
      <c r="R80" s="18">
        <f t="shared" si="23"/>
        <v>60000</v>
      </c>
      <c r="S80" s="18">
        <f t="shared" si="23"/>
        <v>60000</v>
      </c>
      <c r="T80" s="18">
        <f t="shared" si="23"/>
        <v>60000</v>
      </c>
      <c r="U80" s="18">
        <f t="shared" si="23"/>
        <v>60000</v>
      </c>
      <c r="V80" s="18">
        <f t="shared" si="23"/>
        <v>60000</v>
      </c>
      <c r="W80" s="18">
        <f t="shared" si="23"/>
        <v>60000</v>
      </c>
      <c r="X80" s="18">
        <f t="shared" si="23"/>
        <v>60000</v>
      </c>
      <c r="Y80" s="18">
        <f t="shared" si="23"/>
        <v>60000</v>
      </c>
      <c r="Z80" s="18">
        <f t="shared" si="23"/>
        <v>60000</v>
      </c>
      <c r="AA80" s="18">
        <f t="shared" si="23"/>
        <v>60000</v>
      </c>
      <c r="AB80" s="18">
        <f t="shared" si="23"/>
        <v>60000</v>
      </c>
      <c r="AC80" s="18">
        <f t="shared" si="23"/>
        <v>60000</v>
      </c>
      <c r="AD80" s="18">
        <f t="shared" si="23"/>
        <v>60000</v>
      </c>
      <c r="AE80" s="18">
        <f t="shared" si="23"/>
        <v>60000</v>
      </c>
      <c r="AF80" s="18">
        <f t="shared" si="23"/>
        <v>60000</v>
      </c>
      <c r="AG80" s="18">
        <f t="shared" si="23"/>
        <v>60000</v>
      </c>
      <c r="AH80" s="18">
        <f t="shared" si="23"/>
        <v>60000</v>
      </c>
      <c r="AI80" s="18">
        <f t="shared" si="23"/>
        <v>60000</v>
      </c>
      <c r="AJ80" s="18">
        <f t="shared" si="23"/>
        <v>60000</v>
      </c>
      <c r="AK80" s="18">
        <f t="shared" si="23"/>
        <v>60000</v>
      </c>
      <c r="AL80" s="18">
        <f t="shared" si="23"/>
        <v>60000</v>
      </c>
      <c r="AM80" s="18">
        <f t="shared" si="23"/>
        <v>60000</v>
      </c>
      <c r="AN80" s="18">
        <f t="shared" si="23"/>
        <v>60000</v>
      </c>
    </row>
    <row r="81" spans="2:40">
      <c r="B81" s="16" t="s">
        <v>89</v>
      </c>
      <c r="C81" s="17">
        <v>55000</v>
      </c>
      <c r="D81" s="232">
        <f>SUM(E81:AN81)</f>
        <v>1980000</v>
      </c>
      <c r="E81" s="172">
        <f t="shared" ref="E81:AN81" si="24">$C$81</f>
        <v>55000</v>
      </c>
      <c r="F81" s="18">
        <f t="shared" si="24"/>
        <v>55000</v>
      </c>
      <c r="G81" s="18">
        <f t="shared" si="24"/>
        <v>55000</v>
      </c>
      <c r="H81" s="18">
        <f t="shared" si="24"/>
        <v>55000</v>
      </c>
      <c r="I81" s="18">
        <f t="shared" si="24"/>
        <v>55000</v>
      </c>
      <c r="J81" s="18">
        <f t="shared" si="24"/>
        <v>55000</v>
      </c>
      <c r="K81" s="19">
        <f t="shared" si="24"/>
        <v>55000</v>
      </c>
      <c r="L81" s="18">
        <f t="shared" si="24"/>
        <v>55000</v>
      </c>
      <c r="M81" s="19">
        <f t="shared" si="24"/>
        <v>55000</v>
      </c>
      <c r="N81" s="18">
        <f t="shared" si="24"/>
        <v>55000</v>
      </c>
      <c r="O81" s="18">
        <f t="shared" si="24"/>
        <v>55000</v>
      </c>
      <c r="P81" s="18">
        <f t="shared" si="24"/>
        <v>55000</v>
      </c>
      <c r="Q81" s="18">
        <f t="shared" si="24"/>
        <v>55000</v>
      </c>
      <c r="R81" s="18">
        <f t="shared" si="24"/>
        <v>55000</v>
      </c>
      <c r="S81" s="18">
        <f t="shared" si="24"/>
        <v>55000</v>
      </c>
      <c r="T81" s="18">
        <f t="shared" si="24"/>
        <v>55000</v>
      </c>
      <c r="U81" s="18">
        <f t="shared" si="24"/>
        <v>55000</v>
      </c>
      <c r="V81" s="18">
        <f t="shared" si="24"/>
        <v>55000</v>
      </c>
      <c r="W81" s="18">
        <f t="shared" si="24"/>
        <v>55000</v>
      </c>
      <c r="X81" s="18">
        <f t="shared" si="24"/>
        <v>55000</v>
      </c>
      <c r="Y81" s="18">
        <f t="shared" si="24"/>
        <v>55000</v>
      </c>
      <c r="Z81" s="18">
        <f t="shared" si="24"/>
        <v>55000</v>
      </c>
      <c r="AA81" s="18">
        <f t="shared" si="24"/>
        <v>55000</v>
      </c>
      <c r="AB81" s="18">
        <f t="shared" si="24"/>
        <v>55000</v>
      </c>
      <c r="AC81" s="18">
        <f t="shared" si="24"/>
        <v>55000</v>
      </c>
      <c r="AD81" s="18">
        <f t="shared" si="24"/>
        <v>55000</v>
      </c>
      <c r="AE81" s="18">
        <f t="shared" si="24"/>
        <v>55000</v>
      </c>
      <c r="AF81" s="18">
        <f t="shared" si="24"/>
        <v>55000</v>
      </c>
      <c r="AG81" s="18">
        <f t="shared" si="24"/>
        <v>55000</v>
      </c>
      <c r="AH81" s="18">
        <f t="shared" si="24"/>
        <v>55000</v>
      </c>
      <c r="AI81" s="18">
        <f t="shared" si="24"/>
        <v>55000</v>
      </c>
      <c r="AJ81" s="18">
        <f t="shared" si="24"/>
        <v>55000</v>
      </c>
      <c r="AK81" s="18">
        <f t="shared" si="24"/>
        <v>55000</v>
      </c>
      <c r="AL81" s="18">
        <f t="shared" si="24"/>
        <v>55000</v>
      </c>
      <c r="AM81" s="18">
        <f t="shared" si="24"/>
        <v>55000</v>
      </c>
      <c r="AN81" s="18">
        <f t="shared" si="24"/>
        <v>55000</v>
      </c>
    </row>
    <row r="82" spans="2:40">
      <c r="B82" s="20" t="s">
        <v>90</v>
      </c>
      <c r="C82" s="21">
        <v>9</v>
      </c>
      <c r="D82" s="233">
        <f>SUM(E82:AN82)</f>
        <v>5202000</v>
      </c>
      <c r="E82" s="173">
        <f t="shared" ref="E82:AN82" si="25">$C$82*E43</f>
        <v>45000</v>
      </c>
      <c r="F82" s="23">
        <f t="shared" si="25"/>
        <v>189000</v>
      </c>
      <c r="G82" s="23">
        <f t="shared" si="25"/>
        <v>135000</v>
      </c>
      <c r="H82" s="23">
        <f t="shared" si="25"/>
        <v>144000</v>
      </c>
      <c r="I82" s="23">
        <f t="shared" si="25"/>
        <v>135000</v>
      </c>
      <c r="J82" s="23">
        <f t="shared" si="25"/>
        <v>135000</v>
      </c>
      <c r="K82" s="22">
        <f t="shared" si="25"/>
        <v>135000</v>
      </c>
      <c r="L82" s="23">
        <f t="shared" si="25"/>
        <v>144000</v>
      </c>
      <c r="M82" s="22">
        <f t="shared" si="25"/>
        <v>135000</v>
      </c>
      <c r="N82" s="23">
        <f t="shared" si="25"/>
        <v>144000</v>
      </c>
      <c r="O82" s="23">
        <f t="shared" si="25"/>
        <v>135000</v>
      </c>
      <c r="P82" s="23">
        <f t="shared" si="25"/>
        <v>153000</v>
      </c>
      <c r="Q82" s="23">
        <f t="shared" si="25"/>
        <v>153000</v>
      </c>
      <c r="R82" s="23">
        <f t="shared" si="25"/>
        <v>144000</v>
      </c>
      <c r="S82" s="23">
        <f t="shared" si="25"/>
        <v>153000</v>
      </c>
      <c r="T82" s="23">
        <f t="shared" si="25"/>
        <v>153000</v>
      </c>
      <c r="U82" s="23">
        <f t="shared" si="25"/>
        <v>153000</v>
      </c>
      <c r="V82" s="23">
        <f t="shared" si="25"/>
        <v>144000</v>
      </c>
      <c r="W82" s="23">
        <f t="shared" si="25"/>
        <v>144000</v>
      </c>
      <c r="X82" s="23">
        <f t="shared" si="25"/>
        <v>144000</v>
      </c>
      <c r="Y82" s="23">
        <f t="shared" si="25"/>
        <v>144000</v>
      </c>
      <c r="Z82" s="23">
        <f t="shared" si="25"/>
        <v>144000</v>
      </c>
      <c r="AA82" s="23">
        <f t="shared" si="25"/>
        <v>153000</v>
      </c>
      <c r="AB82" s="23">
        <f t="shared" si="25"/>
        <v>153000</v>
      </c>
      <c r="AC82" s="23">
        <f t="shared" si="25"/>
        <v>153000</v>
      </c>
      <c r="AD82" s="23">
        <f t="shared" si="25"/>
        <v>144000</v>
      </c>
      <c r="AE82" s="23">
        <f t="shared" si="25"/>
        <v>153000</v>
      </c>
      <c r="AF82" s="23">
        <f t="shared" si="25"/>
        <v>162000</v>
      </c>
      <c r="AG82" s="23">
        <f t="shared" si="25"/>
        <v>162000</v>
      </c>
      <c r="AH82" s="23">
        <f t="shared" si="25"/>
        <v>153000</v>
      </c>
      <c r="AI82" s="23">
        <f t="shared" si="25"/>
        <v>162000</v>
      </c>
      <c r="AJ82" s="23">
        <f t="shared" si="25"/>
        <v>171000</v>
      </c>
      <c r="AK82" s="23">
        <f t="shared" si="25"/>
        <v>162000</v>
      </c>
      <c r="AL82" s="23">
        <f t="shared" si="25"/>
        <v>180000</v>
      </c>
      <c r="AM82" s="23">
        <f t="shared" si="25"/>
        <v>189000</v>
      </c>
      <c r="AN82" s="23">
        <f t="shared" si="25"/>
        <v>0</v>
      </c>
    </row>
    <row r="83" spans="2:40">
      <c r="B83" s="24" t="s">
        <v>91</v>
      </c>
      <c r="C83" s="25">
        <f>SUM(E83:AN83)</f>
        <v>393127.20000000019</v>
      </c>
      <c r="D83" s="252">
        <f>D61-D79-D80-D81-D82</f>
        <v>393127.20000000298</v>
      </c>
      <c r="E83" s="177">
        <f>E60-E79-E80-E81-E82</f>
        <v>-160000</v>
      </c>
      <c r="F83" s="26">
        <f>F60-F79-F80-F81-F82</f>
        <v>-304000</v>
      </c>
      <c r="G83" s="26">
        <f>G61-G79-G80-G81-G82</f>
        <v>-92259.789999999979</v>
      </c>
      <c r="H83" s="26">
        <f t="shared" ref="H83:AN83" si="26">H61-H79-H80-H81-H82</f>
        <v>41365.280000000028</v>
      </c>
      <c r="I83" s="26">
        <f t="shared" si="26"/>
        <v>103026.07999999996</v>
      </c>
      <c r="J83" s="26">
        <f t="shared" si="26"/>
        <v>169994.71999999997</v>
      </c>
      <c r="K83" s="26">
        <f t="shared" si="26"/>
        <v>136473.14000000001</v>
      </c>
      <c r="L83" s="26">
        <f t="shared" si="26"/>
        <v>105663.62</v>
      </c>
      <c r="M83" s="26">
        <f t="shared" si="26"/>
        <v>93481.31</v>
      </c>
      <c r="N83" s="26">
        <f t="shared" si="26"/>
        <v>49904.030000000028</v>
      </c>
      <c r="O83" s="26">
        <f t="shared" si="26"/>
        <v>211253.95999999996</v>
      </c>
      <c r="P83" s="26">
        <f t="shared" si="26"/>
        <v>130110.68</v>
      </c>
      <c r="Q83" s="26">
        <f t="shared" si="26"/>
        <v>144499.25</v>
      </c>
      <c r="R83" s="26">
        <f t="shared" si="26"/>
        <v>-20070.25</v>
      </c>
      <c r="S83" s="26">
        <f t="shared" si="26"/>
        <v>-3534.7299999999814</v>
      </c>
      <c r="T83" s="26">
        <f t="shared" si="26"/>
        <v>30912.140000000014</v>
      </c>
      <c r="U83" s="26">
        <f t="shared" si="26"/>
        <v>28254.260000000009</v>
      </c>
      <c r="V83" s="26">
        <f t="shared" si="26"/>
        <v>25871.330000000016</v>
      </c>
      <c r="W83" s="26">
        <f t="shared" si="26"/>
        <v>-5495.3800000000047</v>
      </c>
      <c r="X83" s="26">
        <f t="shared" si="26"/>
        <v>48165.229999999981</v>
      </c>
      <c r="Y83" s="26">
        <f t="shared" si="26"/>
        <v>74216.179999999993</v>
      </c>
      <c r="Z83" s="26">
        <f t="shared" si="26"/>
        <v>25461.469999999972</v>
      </c>
      <c r="AA83" s="26">
        <f t="shared" si="26"/>
        <v>50920.760000000009</v>
      </c>
      <c r="AB83" s="26">
        <f t="shared" si="26"/>
        <v>65023.670000000042</v>
      </c>
      <c r="AC83" s="26">
        <f t="shared" si="26"/>
        <v>2030.1199999999953</v>
      </c>
      <c r="AD83" s="26">
        <f t="shared" si="26"/>
        <v>80667.679999999993</v>
      </c>
      <c r="AE83" s="26">
        <f t="shared" si="26"/>
        <v>-32175.940000000002</v>
      </c>
      <c r="AF83" s="26">
        <f t="shared" si="26"/>
        <v>-109859.91999999998</v>
      </c>
      <c r="AG83" s="26">
        <f t="shared" si="26"/>
        <v>43562.270000000019</v>
      </c>
      <c r="AH83" s="26">
        <f t="shared" si="26"/>
        <v>38050.880000000005</v>
      </c>
      <c r="AI83" s="26">
        <f t="shared" si="26"/>
        <v>3380.8099999999977</v>
      </c>
      <c r="AJ83" s="26">
        <f t="shared" si="26"/>
        <v>34883.119999999995</v>
      </c>
      <c r="AK83" s="26">
        <f t="shared" si="26"/>
        <v>-27711.97</v>
      </c>
      <c r="AL83" s="26">
        <f t="shared" si="26"/>
        <v>-169936.81</v>
      </c>
      <c r="AM83" s="26">
        <f t="shared" si="26"/>
        <v>-304000</v>
      </c>
      <c r="AN83" s="26">
        <f t="shared" si="26"/>
        <v>-115000</v>
      </c>
    </row>
    <row r="84" spans="2:40">
      <c r="B84" s="320" t="s">
        <v>92</v>
      </c>
      <c r="C84" s="321"/>
      <c r="D84" s="326"/>
      <c r="E84" s="29">
        <f t="shared" ref="E84:AN84" si="27">E83+D84</f>
        <v>-160000</v>
      </c>
      <c r="F84" s="29">
        <f t="shared" si="27"/>
        <v>-464000</v>
      </c>
      <c r="G84" s="29">
        <f t="shared" si="27"/>
        <v>-556259.79</v>
      </c>
      <c r="H84" s="29">
        <f t="shared" si="27"/>
        <v>-514894.51</v>
      </c>
      <c r="I84" s="29">
        <f t="shared" si="27"/>
        <v>-411868.43000000005</v>
      </c>
      <c r="J84" s="29">
        <f t="shared" si="27"/>
        <v>-241873.71000000008</v>
      </c>
      <c r="K84" s="28">
        <f t="shared" si="27"/>
        <v>-105400.57000000007</v>
      </c>
      <c r="L84" s="29">
        <f t="shared" si="27"/>
        <v>263.04999999993015</v>
      </c>
      <c r="M84" s="28">
        <f t="shared" si="27"/>
        <v>93744.359999999928</v>
      </c>
      <c r="N84" s="29">
        <f t="shared" si="27"/>
        <v>143648.38999999996</v>
      </c>
      <c r="O84" s="29">
        <f t="shared" si="27"/>
        <v>354902.34999999992</v>
      </c>
      <c r="P84" s="29">
        <f t="shared" si="27"/>
        <v>485013.02999999991</v>
      </c>
      <c r="Q84" s="29">
        <f t="shared" si="27"/>
        <v>629512.27999999991</v>
      </c>
      <c r="R84" s="29">
        <f t="shared" si="27"/>
        <v>609442.02999999991</v>
      </c>
      <c r="S84" s="29">
        <f t="shared" si="27"/>
        <v>605907.29999999993</v>
      </c>
      <c r="T84" s="29">
        <f t="shared" si="27"/>
        <v>636819.43999999994</v>
      </c>
      <c r="U84" s="29">
        <f t="shared" si="27"/>
        <v>665073.69999999995</v>
      </c>
      <c r="V84" s="29">
        <f t="shared" si="27"/>
        <v>690945.03</v>
      </c>
      <c r="W84" s="29">
        <f t="shared" si="27"/>
        <v>685449.65</v>
      </c>
      <c r="X84" s="29">
        <f t="shared" si="27"/>
        <v>733614.88</v>
      </c>
      <c r="Y84" s="29">
        <f t="shared" si="27"/>
        <v>807831.06</v>
      </c>
      <c r="Z84" s="29">
        <f t="shared" si="27"/>
        <v>833292.53</v>
      </c>
      <c r="AA84" s="29">
        <f t="shared" si="27"/>
        <v>884213.29</v>
      </c>
      <c r="AB84" s="29">
        <f t="shared" si="27"/>
        <v>949236.96000000008</v>
      </c>
      <c r="AC84" s="29">
        <f t="shared" si="27"/>
        <v>951267.08000000007</v>
      </c>
      <c r="AD84" s="29">
        <f t="shared" si="27"/>
        <v>1031934.76</v>
      </c>
      <c r="AE84" s="29">
        <f t="shared" si="27"/>
        <v>999758.82000000007</v>
      </c>
      <c r="AF84" s="29">
        <f t="shared" si="27"/>
        <v>889898.90000000014</v>
      </c>
      <c r="AG84" s="29">
        <f t="shared" si="27"/>
        <v>933461.17000000016</v>
      </c>
      <c r="AH84" s="29">
        <f t="shared" si="27"/>
        <v>971512.05000000016</v>
      </c>
      <c r="AI84" s="29">
        <f t="shared" si="27"/>
        <v>974892.8600000001</v>
      </c>
      <c r="AJ84" s="29">
        <f t="shared" si="27"/>
        <v>1009775.9800000001</v>
      </c>
      <c r="AK84" s="29">
        <f t="shared" si="27"/>
        <v>982064.01000000013</v>
      </c>
      <c r="AL84" s="29">
        <f t="shared" si="27"/>
        <v>812127.20000000019</v>
      </c>
      <c r="AM84" s="29">
        <f t="shared" si="27"/>
        <v>508127.20000000019</v>
      </c>
      <c r="AN84" s="29">
        <f t="shared" si="27"/>
        <v>393127.20000000019</v>
      </c>
    </row>
    <row r="85" spans="2:40">
      <c r="B85" s="350" t="s">
        <v>340</v>
      </c>
      <c r="C85" s="350"/>
      <c r="D85" s="350"/>
      <c r="E85" s="255" t="e">
        <f t="shared" ref="E85:V85" si="28">+E83/E61</f>
        <v>#DIV/0!</v>
      </c>
      <c r="F85" s="255" t="e">
        <f t="shared" si="28"/>
        <v>#DIV/0!</v>
      </c>
      <c r="G85" s="255">
        <f t="shared" si="28"/>
        <v>-0.40357024439107814</v>
      </c>
      <c r="H85" s="255">
        <f t="shared" si="28"/>
        <v>9.5024442239129703E-2</v>
      </c>
      <c r="I85" s="255">
        <f t="shared" si="28"/>
        <v>0.2013675454232729</v>
      </c>
      <c r="J85" s="255">
        <f t="shared" si="28"/>
        <v>0.2792805509554977</v>
      </c>
      <c r="K85" s="255">
        <f t="shared" si="28"/>
        <v>0.24365591513035034</v>
      </c>
      <c r="L85" s="255">
        <f t="shared" si="28"/>
        <v>0.19993192027216752</v>
      </c>
      <c r="M85" s="255">
        <f t="shared" si="28"/>
        <v>0.18778926835931772</v>
      </c>
      <c r="N85" s="255">
        <f t="shared" si="28"/>
        <v>0.11147080437895232</v>
      </c>
      <c r="O85" s="255">
        <f t="shared" si="28"/>
        <v>0.31601947092226584</v>
      </c>
      <c r="P85" s="255">
        <f t="shared" si="28"/>
        <v>0.22550605575313878</v>
      </c>
      <c r="Q85" s="255">
        <f t="shared" si="28"/>
        <v>0.24170827583322879</v>
      </c>
      <c r="R85" s="255">
        <f t="shared" si="28"/>
        <v>-5.7960436069597866E-2</v>
      </c>
      <c r="S85" s="255">
        <f t="shared" si="28"/>
        <v>-9.2222457035662456E-3</v>
      </c>
      <c r="T85" s="255">
        <f t="shared" si="28"/>
        <v>7.1356675576977266E-2</v>
      </c>
      <c r="U85" s="255">
        <f t="shared" si="28"/>
        <v>6.5806444099740569E-2</v>
      </c>
      <c r="V85" s="255">
        <f t="shared" si="28"/>
        <v>6.2664142790360866E-2</v>
      </c>
      <c r="W85" s="255">
        <f t="shared" ref="W85:AN85" si="29">+W83/W61</f>
        <v>-1.4957566453818488E-2</v>
      </c>
      <c r="X85" s="255">
        <f t="shared" si="29"/>
        <v>0.10819586806748924</v>
      </c>
      <c r="Y85" s="255">
        <f t="shared" si="29"/>
        <v>0.15368150550192369</v>
      </c>
      <c r="Z85" s="255">
        <f t="shared" si="29"/>
        <v>6.176025983413494E-2</v>
      </c>
      <c r="AA85" s="255">
        <f t="shared" si="29"/>
        <v>0.11016944898789281</v>
      </c>
      <c r="AB85" s="255">
        <f t="shared" si="29"/>
        <v>0.13472415429209589</v>
      </c>
      <c r="AC85" s="255">
        <f t="shared" si="29"/>
        <v>5.1875057493586153E-3</v>
      </c>
      <c r="AD85" s="255">
        <f t="shared" si="29"/>
        <v>0.16386810543764421</v>
      </c>
      <c r="AE85" s="255">
        <f t="shared" si="29"/>
        <v>-9.4143907962571771E-2</v>
      </c>
      <c r="AF85" s="255">
        <f t="shared" si="29"/>
        <v>-0.45353182073384185</v>
      </c>
      <c r="AG85" s="255">
        <f t="shared" si="29"/>
        <v>9.3766388352565677E-2</v>
      </c>
      <c r="AH85" s="255">
        <f t="shared" si="29"/>
        <v>8.5786739773465126E-2</v>
      </c>
      <c r="AI85" s="255">
        <f t="shared" si="29"/>
        <v>8.3199663343578988E-3</v>
      </c>
      <c r="AJ85" s="255">
        <f t="shared" si="29"/>
        <v>7.5009719426811852E-2</v>
      </c>
      <c r="AK85" s="255">
        <f t="shared" si="29"/>
        <v>-7.6703479505213307E-2</v>
      </c>
      <c r="AL85" s="255">
        <f t="shared" si="29"/>
        <v>-0.93757722716012604</v>
      </c>
      <c r="AM85" s="255" t="e">
        <f t="shared" si="29"/>
        <v>#DIV/0!</v>
      </c>
      <c r="AN85" s="255" t="e">
        <f t="shared" si="29"/>
        <v>#DIV/0!</v>
      </c>
    </row>
    <row r="86" spans="2:40">
      <c r="B86" s="351" t="s">
        <v>341</v>
      </c>
      <c r="C86" s="351"/>
      <c r="D86" s="351"/>
      <c r="E86" s="255">
        <f t="shared" ref="E86:V86" si="30">+E84/$D$61</f>
        <v>-1.1340375706647161E-2</v>
      </c>
      <c r="F86" s="255">
        <f t="shared" si="30"/>
        <v>-3.2887089549276764E-2</v>
      </c>
      <c r="G86" s="255">
        <f t="shared" si="30"/>
        <v>-3.9426218806879076E-2</v>
      </c>
      <c r="H86" s="255">
        <f t="shared" si="30"/>
        <v>-3.6494357454312461E-2</v>
      </c>
      <c r="I86" s="255">
        <f t="shared" si="30"/>
        <v>-2.919214211191817E-2</v>
      </c>
      <c r="J86" s="255">
        <f t="shared" si="30"/>
        <v>-1.7143367156003883E-2</v>
      </c>
      <c r="K86" s="255">
        <f t="shared" si="30"/>
        <v>-7.470512896842277E-3</v>
      </c>
      <c r="L86" s="255">
        <f t="shared" si="30"/>
        <v>1.8644286435204646E-5</v>
      </c>
      <c r="M86" s="255">
        <f t="shared" si="30"/>
        <v>6.644351642369907E-3</v>
      </c>
      <c r="N86" s="255">
        <f t="shared" si="30"/>
        <v>1.0181416951593603E-2</v>
      </c>
      <c r="O86" s="255">
        <f t="shared" si="30"/>
        <v>2.515453742607492E-2</v>
      </c>
      <c r="P86" s="255">
        <f t="shared" si="30"/>
        <v>3.4376437392620814E-2</v>
      </c>
      <c r="Q86" s="255">
        <f t="shared" si="30"/>
        <v>4.4618161044675406E-2</v>
      </c>
      <c r="R86" s="255">
        <f t="shared" si="30"/>
        <v>4.3195634947635807E-2</v>
      </c>
      <c r="S86" s="255">
        <f t="shared" si="30"/>
        <v>4.294510265875108E-2</v>
      </c>
      <c r="T86" s="255">
        <f t="shared" si="30"/>
        <v>4.5136073168104057E-2</v>
      </c>
      <c r="U86" s="255">
        <f t="shared" si="30"/>
        <v>4.7138660191312132E-2</v>
      </c>
      <c r="V86" s="255">
        <f t="shared" si="30"/>
        <v>4.8972351455253714E-2</v>
      </c>
      <c r="W86" s="255">
        <f t="shared" ref="W86:AN86" si="31">+W84/$D$61</f>
        <v>4.8582853493686247E-2</v>
      </c>
      <c r="X86" s="255">
        <f t="shared" si="31"/>
        <v>5.1996677269917954E-2</v>
      </c>
      <c r="Y86" s="255">
        <f t="shared" si="31"/>
        <v>5.7256923299368913E-2</v>
      </c>
      <c r="Z86" s="255">
        <f t="shared" si="31"/>
        <v>5.9061564773390945E-2</v>
      </c>
      <c r="AA86" s="255">
        <f t="shared" si="31"/>
        <v>6.2670693208816006E-2</v>
      </c>
      <c r="AB86" s="255">
        <f t="shared" si="31"/>
        <v>6.7279398506472521E-2</v>
      </c>
      <c r="AC86" s="255">
        <f t="shared" si="31"/>
        <v>6.7423288028532397E-2</v>
      </c>
      <c r="AD86" s="255">
        <f t="shared" si="31"/>
        <v>7.3140799269679799E-2</v>
      </c>
      <c r="AE86" s="255">
        <f t="shared" si="31"/>
        <v>7.0860253967713949E-2</v>
      </c>
      <c r="AF86" s="255">
        <f t="shared" si="31"/>
        <v>6.3073674168325211E-2</v>
      </c>
      <c r="AG86" s="255">
        <f t="shared" si="31"/>
        <v>6.6161252346040242E-2</v>
      </c>
      <c r="AH86" s="255">
        <f t="shared" si="31"/>
        <v>6.8858197815843653E-2</v>
      </c>
      <c r="AI86" s="255">
        <f t="shared" si="31"/>
        <v>6.9097820663298587E-2</v>
      </c>
      <c r="AJ86" s="255">
        <f t="shared" si="31"/>
        <v>7.1570243704673936E-2</v>
      </c>
      <c r="AK86" s="255">
        <f t="shared" si="31"/>
        <v>6.9606092758603105E-2</v>
      </c>
      <c r="AL86" s="255">
        <f t="shared" si="31"/>
        <v>5.7561422309921138E-2</v>
      </c>
      <c r="AM86" s="255">
        <f t="shared" si="31"/>
        <v>3.6014708467291531E-2</v>
      </c>
      <c r="AN86" s="255">
        <f t="shared" si="31"/>
        <v>2.7863813428138887E-2</v>
      </c>
    </row>
    <row r="87" spans="2:40">
      <c r="B87" s="256" t="s">
        <v>343</v>
      </c>
      <c r="C87" s="352">
        <f>D83/D61</f>
        <v>2.7863813428139084E-2</v>
      </c>
      <c r="D87" s="353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</row>
    <row r="88" spans="2:40"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</row>
    <row r="89" spans="2:40">
      <c r="B89" s="30" t="s">
        <v>93</v>
      </c>
      <c r="C89" s="31">
        <f>D43/D27</f>
        <v>1.0887828989503983</v>
      </c>
    </row>
    <row r="91" spans="2:40">
      <c r="Z91">
        <f>85878/4771</f>
        <v>18</v>
      </c>
    </row>
  </sheetData>
  <mergeCells count="9">
    <mergeCell ref="B84:D84"/>
    <mergeCell ref="B85:D85"/>
    <mergeCell ref="B86:D86"/>
    <mergeCell ref="C87:D87"/>
    <mergeCell ref="A27:A39"/>
    <mergeCell ref="A43:A44"/>
    <mergeCell ref="A48:A53"/>
    <mergeCell ref="A55:A59"/>
    <mergeCell ref="B77:C77"/>
  </mergeCells>
  <phoneticPr fontId="19" type="noConversion"/>
  <conditionalFormatting sqref="C87:D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AN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4:AN84 B8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5:AN8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6:AN8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677-8B3D-4AC6-A616-75E909702B7C}">
  <dimension ref="A2:AN91"/>
  <sheetViews>
    <sheetView topLeftCell="A6" workbookViewId="0">
      <pane xSplit="1" topLeftCell="D1" activePane="topRight" state="frozen"/>
      <selection pane="topRight" activeCell="D80" sqref="D80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6" width="9.85546875" bestFit="1" customWidth="1"/>
    <col min="7" max="7" width="12.28515625" customWidth="1"/>
    <col min="8" max="8" width="11.28515625" bestFit="1" customWidth="1"/>
    <col min="23" max="23" width="12.42578125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>
        <v>5</v>
      </c>
    </row>
    <row r="4" spans="2:40" ht="15.75">
      <c r="B4" s="54" t="s">
        <v>3</v>
      </c>
      <c r="C4" s="110">
        <v>45159</v>
      </c>
    </row>
    <row r="5" spans="2:40" ht="15.75">
      <c r="B5" s="54" t="s">
        <v>4</v>
      </c>
      <c r="C5" s="110"/>
    </row>
    <row r="6" spans="2:40" ht="15.75">
      <c r="B6" s="179" t="s">
        <v>230</v>
      </c>
      <c r="C6" s="110" t="s">
        <v>368</v>
      </c>
    </row>
    <row r="7" spans="2:40" ht="15.75">
      <c r="B7" s="2"/>
      <c r="C7" s="2"/>
    </row>
    <row r="8" spans="2:40" ht="15.75">
      <c r="B8" s="54" t="s">
        <v>5</v>
      </c>
      <c r="D8" s="41" t="s">
        <v>6</v>
      </c>
      <c r="E8" s="42">
        <v>45159</v>
      </c>
      <c r="F8" s="42">
        <v>45160</v>
      </c>
      <c r="G8" s="42">
        <v>45161</v>
      </c>
      <c r="H8" s="42">
        <v>45162</v>
      </c>
      <c r="I8" s="42">
        <v>45163</v>
      </c>
      <c r="J8" s="42">
        <v>45164</v>
      </c>
      <c r="K8" s="42">
        <v>45165</v>
      </c>
      <c r="L8" s="42">
        <v>45166</v>
      </c>
      <c r="M8" s="42">
        <v>45167</v>
      </c>
      <c r="N8" s="42">
        <v>45168</v>
      </c>
      <c r="O8" s="42">
        <v>45169</v>
      </c>
      <c r="P8" s="42">
        <v>45170</v>
      </c>
      <c r="Q8" s="42">
        <v>45171</v>
      </c>
      <c r="R8" s="42">
        <v>45172</v>
      </c>
      <c r="S8" s="42">
        <v>45173</v>
      </c>
      <c r="T8" s="42">
        <v>45174</v>
      </c>
      <c r="U8" s="42">
        <v>45175</v>
      </c>
      <c r="V8" s="42">
        <v>45176</v>
      </c>
      <c r="W8" s="42">
        <v>45177</v>
      </c>
      <c r="X8" s="42">
        <v>45178</v>
      </c>
      <c r="Y8" s="42">
        <v>45179</v>
      </c>
      <c r="Z8" s="42">
        <v>45180</v>
      </c>
      <c r="AA8" s="42">
        <v>45181</v>
      </c>
      <c r="AB8" s="42">
        <v>45182</v>
      </c>
      <c r="AC8" s="42">
        <v>45183</v>
      </c>
      <c r="AD8" s="42">
        <v>45184</v>
      </c>
      <c r="AE8" s="42">
        <v>45185</v>
      </c>
      <c r="AF8" s="42">
        <v>45186</v>
      </c>
      <c r="AG8" s="42">
        <v>45187</v>
      </c>
      <c r="AH8" s="42">
        <v>45188</v>
      </c>
      <c r="AI8" s="42">
        <v>45189</v>
      </c>
      <c r="AJ8" s="42">
        <v>45190</v>
      </c>
      <c r="AK8" s="42">
        <v>45191</v>
      </c>
      <c r="AL8" s="42">
        <v>45192</v>
      </c>
      <c r="AM8" s="42">
        <v>45193</v>
      </c>
      <c r="AN8" s="42">
        <v>45194</v>
      </c>
    </row>
    <row r="9" spans="2:40">
      <c r="B9" s="46" t="s">
        <v>7</v>
      </c>
      <c r="C9" s="47" t="s">
        <v>8</v>
      </c>
      <c r="D9" s="71">
        <f>SUM(E9:AN9)</f>
        <v>783</v>
      </c>
      <c r="E9" s="114">
        <v>0</v>
      </c>
      <c r="F9" s="114">
        <v>12</v>
      </c>
      <c r="G9" s="114">
        <v>24</v>
      </c>
      <c r="H9" s="114">
        <v>21</v>
      </c>
      <c r="I9" s="114">
        <v>22</v>
      </c>
      <c r="J9" s="114">
        <v>24</v>
      </c>
      <c r="K9" s="114">
        <v>24</v>
      </c>
      <c r="L9" s="114">
        <v>24</v>
      </c>
      <c r="M9" s="114">
        <v>23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24</v>
      </c>
      <c r="AI9" s="114">
        <v>24</v>
      </c>
      <c r="AJ9" s="114">
        <v>24</v>
      </c>
      <c r="AK9" s="114">
        <v>24</v>
      </c>
      <c r="AL9" s="114">
        <v>24</v>
      </c>
      <c r="AM9" s="114">
        <v>24</v>
      </c>
      <c r="AN9" s="114">
        <v>7</v>
      </c>
    </row>
    <row r="10" spans="2:40">
      <c r="B10" s="48" t="s">
        <v>9</v>
      </c>
      <c r="C10" s="38" t="s">
        <v>8</v>
      </c>
      <c r="D10" s="71">
        <f>SUM(E10:AN10)</f>
        <v>32</v>
      </c>
      <c r="E10" s="115">
        <v>0</v>
      </c>
      <c r="F10" s="115">
        <v>10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22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</row>
    <row r="11" spans="2:40">
      <c r="B11" s="48" t="s">
        <v>10</v>
      </c>
      <c r="C11" s="38" t="s">
        <v>8</v>
      </c>
      <c r="D11" s="71">
        <f t="shared" ref="D11:D15" si="0">SUM(E11:AN11)</f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</row>
    <row r="14" spans="2:40">
      <c r="B14" s="48" t="s">
        <v>13</v>
      </c>
      <c r="C14" s="38" t="s">
        <v>8</v>
      </c>
      <c r="D14" s="71">
        <f t="shared" si="0"/>
        <v>2</v>
      </c>
      <c r="E14" s="115">
        <v>0</v>
      </c>
      <c r="F14" s="115">
        <v>2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9" t="s">
        <v>14</v>
      </c>
      <c r="C15" s="40" t="s">
        <v>8</v>
      </c>
      <c r="D15" s="71">
        <f t="shared" si="0"/>
        <v>6</v>
      </c>
      <c r="E15" s="116">
        <v>0</v>
      </c>
      <c r="F15" s="116">
        <v>0</v>
      </c>
      <c r="G15" s="116">
        <v>0</v>
      </c>
      <c r="H15" s="116">
        <v>3</v>
      </c>
      <c r="I15" s="116">
        <v>2</v>
      </c>
      <c r="J15" s="116">
        <v>0</v>
      </c>
      <c r="K15" s="116">
        <v>0</v>
      </c>
      <c r="L15" s="116">
        <v>0</v>
      </c>
      <c r="M15" s="116">
        <v>1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</row>
    <row r="16" spans="2:40">
      <c r="B16" s="68" t="s">
        <v>15</v>
      </c>
      <c r="C16" s="69" t="s">
        <v>8</v>
      </c>
      <c r="D16" s="70">
        <f>SUM(E16:AN16)</f>
        <v>823</v>
      </c>
      <c r="E16" s="117">
        <f t="shared" ref="E16:AN16" si="1">SUM(E9:E15)</f>
        <v>0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24</v>
      </c>
      <c r="AM16" s="117">
        <f t="shared" si="1"/>
        <v>24</v>
      </c>
      <c r="AN16" s="117">
        <f t="shared" si="1"/>
        <v>7</v>
      </c>
    </row>
    <row r="18" spans="1:40">
      <c r="B18" s="50" t="s">
        <v>16</v>
      </c>
      <c r="C18" s="50" t="s">
        <v>0</v>
      </c>
      <c r="D18" s="58">
        <f>SUM(E18:K18)</f>
        <v>0</v>
      </c>
      <c r="E18" s="127">
        <v>0</v>
      </c>
      <c r="F18" s="127" t="s">
        <v>252</v>
      </c>
      <c r="G18" s="127" t="s">
        <v>219</v>
      </c>
      <c r="H18" s="127" t="s">
        <v>219</v>
      </c>
      <c r="I18" s="127" t="s">
        <v>124</v>
      </c>
      <c r="J18" s="127" t="s">
        <v>124</v>
      </c>
      <c r="K18" s="127" t="s">
        <v>369</v>
      </c>
      <c r="L18" s="127" t="s">
        <v>119</v>
      </c>
      <c r="M18" s="127" t="s">
        <v>370</v>
      </c>
      <c r="N18" s="127" t="s">
        <v>261</v>
      </c>
      <c r="O18" s="127" t="s">
        <v>261</v>
      </c>
      <c r="P18" s="127" t="s">
        <v>157</v>
      </c>
      <c r="Q18" s="127" t="s">
        <v>156</v>
      </c>
      <c r="R18" s="127" t="s">
        <v>371</v>
      </c>
      <c r="S18" s="127" t="s">
        <v>371</v>
      </c>
      <c r="T18" s="127" t="s">
        <v>371</v>
      </c>
      <c r="U18" s="127" t="s">
        <v>372</v>
      </c>
      <c r="V18" s="127" t="s">
        <v>197</v>
      </c>
      <c r="W18" s="127" t="s">
        <v>373</v>
      </c>
      <c r="X18" s="127" t="s">
        <v>373</v>
      </c>
      <c r="Y18" s="127" t="s">
        <v>197</v>
      </c>
      <c r="Z18" s="127" t="s">
        <v>173</v>
      </c>
      <c r="AA18" s="127" t="s">
        <v>173</v>
      </c>
      <c r="AB18" s="127" t="s">
        <v>178</v>
      </c>
      <c r="AC18" s="127" t="s">
        <v>173</v>
      </c>
      <c r="AD18" s="127" t="s">
        <v>173</v>
      </c>
      <c r="AE18" s="127" t="s">
        <v>173</v>
      </c>
      <c r="AF18" s="127" t="s">
        <v>202</v>
      </c>
      <c r="AG18" s="127" t="s">
        <v>178</v>
      </c>
      <c r="AH18" s="127" t="s">
        <v>178</v>
      </c>
      <c r="AI18" s="127" t="s">
        <v>202</v>
      </c>
      <c r="AJ18" s="127" t="s">
        <v>202</v>
      </c>
      <c r="AK18" s="127" t="s">
        <v>178</v>
      </c>
      <c r="AL18" s="127" t="s">
        <v>202</v>
      </c>
      <c r="AM18" s="127" t="s">
        <v>178</v>
      </c>
      <c r="AN18" s="196" t="s">
        <v>178</v>
      </c>
    </row>
    <row r="19" spans="1:40">
      <c r="B19" s="37" t="s">
        <v>31</v>
      </c>
      <c r="C19" s="37" t="s">
        <v>32</v>
      </c>
      <c r="D19" s="131">
        <f>SUM(E19:AN19)</f>
        <v>263.5</v>
      </c>
      <c r="E19" s="162">
        <v>0</v>
      </c>
      <c r="F19" s="162">
        <v>10</v>
      </c>
      <c r="G19" s="162">
        <v>12</v>
      </c>
      <c r="H19" s="162">
        <v>20.5</v>
      </c>
      <c r="I19" s="162">
        <v>17</v>
      </c>
      <c r="J19" s="162">
        <v>19</v>
      </c>
      <c r="K19" s="162">
        <v>17.5</v>
      </c>
      <c r="L19" s="162">
        <v>14.5</v>
      </c>
      <c r="M19" s="162">
        <v>13</v>
      </c>
      <c r="N19" s="162">
        <v>17.5</v>
      </c>
      <c r="O19" s="162">
        <v>4</v>
      </c>
      <c r="P19" s="162">
        <v>9.5</v>
      </c>
      <c r="Q19" s="162">
        <v>0</v>
      </c>
      <c r="R19" s="162">
        <v>13</v>
      </c>
      <c r="S19" s="162">
        <v>20</v>
      </c>
      <c r="T19" s="162">
        <v>14</v>
      </c>
      <c r="U19" s="162">
        <v>2</v>
      </c>
      <c r="V19" s="162">
        <v>3</v>
      </c>
      <c r="W19" s="162">
        <v>3</v>
      </c>
      <c r="X19" s="162">
        <v>4</v>
      </c>
      <c r="Y19" s="162">
        <v>3</v>
      </c>
      <c r="Z19" s="162">
        <v>3</v>
      </c>
      <c r="AA19" s="162">
        <v>3</v>
      </c>
      <c r="AB19" s="162">
        <v>3</v>
      </c>
      <c r="AC19" s="162">
        <v>3</v>
      </c>
      <c r="AD19" s="162">
        <v>4</v>
      </c>
      <c r="AE19" s="162">
        <v>3</v>
      </c>
      <c r="AF19" s="162">
        <v>3</v>
      </c>
      <c r="AG19" s="162">
        <v>4</v>
      </c>
      <c r="AH19" s="162">
        <v>3</v>
      </c>
      <c r="AI19" s="162">
        <v>3</v>
      </c>
      <c r="AJ19" s="162">
        <v>3</v>
      </c>
      <c r="AK19" s="162">
        <v>3</v>
      </c>
      <c r="AL19" s="162">
        <v>4</v>
      </c>
      <c r="AM19" s="162">
        <v>4</v>
      </c>
      <c r="AN19" s="197">
        <v>1</v>
      </c>
    </row>
    <row r="20" spans="1:40">
      <c r="B20" s="37" t="s">
        <v>35</v>
      </c>
      <c r="C20" s="37" t="s">
        <v>36</v>
      </c>
      <c r="D20" s="131">
        <f>SUM(E20:AN20)</f>
        <v>376</v>
      </c>
      <c r="E20" s="162">
        <v>0</v>
      </c>
      <c r="F20" s="162">
        <v>2</v>
      </c>
      <c r="G20" s="162">
        <v>3</v>
      </c>
      <c r="H20" s="162">
        <v>4</v>
      </c>
      <c r="I20" s="162">
        <v>3</v>
      </c>
      <c r="J20" s="162">
        <v>4</v>
      </c>
      <c r="K20" s="162">
        <v>4</v>
      </c>
      <c r="L20" s="162">
        <v>4</v>
      </c>
      <c r="M20" s="162">
        <v>3</v>
      </c>
      <c r="N20" s="162">
        <v>4</v>
      </c>
      <c r="O20" s="162">
        <v>2</v>
      </c>
      <c r="P20" s="162">
        <v>2</v>
      </c>
      <c r="Q20" s="162">
        <v>0</v>
      </c>
      <c r="R20" s="162">
        <v>4</v>
      </c>
      <c r="S20" s="162">
        <v>4</v>
      </c>
      <c r="T20" s="162">
        <v>3</v>
      </c>
      <c r="U20" s="162">
        <v>1</v>
      </c>
      <c r="V20" s="162">
        <v>18</v>
      </c>
      <c r="W20" s="162">
        <v>18.5</v>
      </c>
      <c r="X20" s="162">
        <v>21</v>
      </c>
      <c r="Y20" s="162">
        <v>19.5</v>
      </c>
      <c r="Z20" s="162">
        <v>14.5</v>
      </c>
      <c r="AA20" s="162">
        <v>13</v>
      </c>
      <c r="AB20" s="162">
        <v>18</v>
      </c>
      <c r="AC20" s="162">
        <v>16</v>
      </c>
      <c r="AD20" s="162">
        <v>21</v>
      </c>
      <c r="AE20" s="162">
        <v>16</v>
      </c>
      <c r="AF20" s="162">
        <v>17.5</v>
      </c>
      <c r="AG20" s="162">
        <v>19.5</v>
      </c>
      <c r="AH20" s="162">
        <v>18</v>
      </c>
      <c r="AI20" s="162">
        <v>18</v>
      </c>
      <c r="AJ20" s="162">
        <v>17</v>
      </c>
      <c r="AK20" s="162">
        <v>18</v>
      </c>
      <c r="AL20" s="162">
        <v>21</v>
      </c>
      <c r="AM20" s="162">
        <v>17.5</v>
      </c>
      <c r="AN20" s="197">
        <v>7</v>
      </c>
    </row>
    <row r="21" spans="1:40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 t="s">
        <v>40</v>
      </c>
      <c r="G21" s="129" t="s">
        <v>40</v>
      </c>
      <c r="H21" s="129" t="s">
        <v>40</v>
      </c>
      <c r="I21" s="129" t="s">
        <v>40</v>
      </c>
      <c r="J21" s="129" t="s">
        <v>40</v>
      </c>
      <c r="K21" s="129" t="s">
        <v>40</v>
      </c>
      <c r="L21" s="129" t="s">
        <v>40</v>
      </c>
      <c r="M21" s="129" t="s">
        <v>40</v>
      </c>
      <c r="N21" s="129" t="s">
        <v>40</v>
      </c>
      <c r="O21" s="129" t="s">
        <v>40</v>
      </c>
      <c r="P21" s="129" t="s">
        <v>40</v>
      </c>
      <c r="Q21" s="129">
        <v>0</v>
      </c>
      <c r="R21" s="129" t="s">
        <v>40</v>
      </c>
      <c r="S21" s="129" t="s">
        <v>40</v>
      </c>
      <c r="T21" s="129" t="s">
        <v>40</v>
      </c>
      <c r="U21" s="129" t="s">
        <v>40</v>
      </c>
      <c r="V21" s="129" t="s">
        <v>228</v>
      </c>
      <c r="W21" s="129" t="s">
        <v>227</v>
      </c>
      <c r="X21" s="129" t="s">
        <v>227</v>
      </c>
      <c r="Y21" s="129" t="s">
        <v>227</v>
      </c>
      <c r="Z21" s="129" t="s">
        <v>40</v>
      </c>
      <c r="AA21" s="129" t="s">
        <v>40</v>
      </c>
      <c r="AB21" s="129" t="s">
        <v>227</v>
      </c>
      <c r="AC21" s="129" t="s">
        <v>40</v>
      </c>
      <c r="AD21" s="129" t="s">
        <v>40</v>
      </c>
      <c r="AE21" s="129" t="s">
        <v>40</v>
      </c>
      <c r="AF21" s="129" t="s">
        <v>227</v>
      </c>
      <c r="AG21" s="129" t="s">
        <v>227</v>
      </c>
      <c r="AH21" s="129" t="s">
        <v>40</v>
      </c>
      <c r="AI21" s="129" t="s">
        <v>40</v>
      </c>
      <c r="AJ21" s="129" t="s">
        <v>227</v>
      </c>
      <c r="AK21" s="129" t="s">
        <v>227</v>
      </c>
      <c r="AL21" s="129" t="s">
        <v>40</v>
      </c>
      <c r="AM21" s="129" t="s">
        <v>228</v>
      </c>
      <c r="AN21" s="198" t="s">
        <v>227</v>
      </c>
    </row>
    <row r="22" spans="1:40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4" spans="1:40">
      <c r="B24" s="257" t="s">
        <v>43</v>
      </c>
      <c r="C24" s="168">
        <f>D27/D19</f>
        <v>3482.6869070208727</v>
      </c>
    </row>
    <row r="25" spans="1:40">
      <c r="B25" s="36" t="s">
        <v>365</v>
      </c>
      <c r="C25" s="132">
        <f>+D27/D20</f>
        <v>2440.6595744680849</v>
      </c>
    </row>
    <row r="26" spans="1:40">
      <c r="D26" s="10"/>
    </row>
    <row r="27" spans="1:40">
      <c r="A27" s="312" t="s">
        <v>44</v>
      </c>
      <c r="B27" s="35" t="s">
        <v>45</v>
      </c>
      <c r="C27" s="35"/>
      <c r="D27" s="175">
        <f>SUM(E27:AN27)</f>
        <v>917688</v>
      </c>
      <c r="E27" s="75">
        <f t="shared" ref="E27:AN27" si="2">SUM(E28:E39)</f>
        <v>0</v>
      </c>
      <c r="F27" s="175">
        <f t="shared" si="2"/>
        <v>5101</v>
      </c>
      <c r="G27" s="75">
        <f t="shared" si="2"/>
        <v>57786</v>
      </c>
      <c r="H27" s="175">
        <f t="shared" si="2"/>
        <v>37995</v>
      </c>
      <c r="I27" s="75">
        <f t="shared" si="2"/>
        <v>51678</v>
      </c>
      <c r="J27" s="175">
        <f t="shared" si="2"/>
        <v>44818</v>
      </c>
      <c r="K27" s="75">
        <f t="shared" si="2"/>
        <v>32310</v>
      </c>
      <c r="L27" s="175">
        <f t="shared" si="2"/>
        <v>31744</v>
      </c>
      <c r="M27" s="75">
        <f t="shared" si="2"/>
        <v>72936</v>
      </c>
      <c r="N27" s="175">
        <f t="shared" si="2"/>
        <v>80055</v>
      </c>
      <c r="O27" s="75">
        <f t="shared" si="2"/>
        <v>27895</v>
      </c>
      <c r="P27" s="175">
        <f t="shared" si="2"/>
        <v>18860</v>
      </c>
      <c r="Q27" s="75">
        <f t="shared" si="2"/>
        <v>0</v>
      </c>
      <c r="R27" s="175">
        <f t="shared" si="2"/>
        <v>30366</v>
      </c>
      <c r="S27" s="75">
        <f t="shared" si="2"/>
        <v>22870</v>
      </c>
      <c r="T27" s="175">
        <f t="shared" si="2"/>
        <v>11864</v>
      </c>
      <c r="U27" s="75">
        <f t="shared" si="2"/>
        <v>336</v>
      </c>
      <c r="V27" s="175">
        <f t="shared" si="2"/>
        <v>12166</v>
      </c>
      <c r="W27" s="75">
        <f t="shared" si="2"/>
        <v>26592</v>
      </c>
      <c r="X27" s="175">
        <f t="shared" si="2"/>
        <v>26732</v>
      </c>
      <c r="Y27" s="75">
        <f t="shared" si="2"/>
        <v>17624</v>
      </c>
      <c r="Z27" s="175">
        <f t="shared" si="2"/>
        <v>10314</v>
      </c>
      <c r="AA27" s="75">
        <f t="shared" si="2"/>
        <v>13627</v>
      </c>
      <c r="AB27" s="175">
        <f t="shared" si="2"/>
        <v>35884</v>
      </c>
      <c r="AC27" s="75">
        <f t="shared" si="2"/>
        <v>20022</v>
      </c>
      <c r="AD27" s="175">
        <f t="shared" si="2"/>
        <v>23317</v>
      </c>
      <c r="AE27" s="75">
        <f t="shared" si="2"/>
        <v>16372</v>
      </c>
      <c r="AF27" s="175">
        <f t="shared" si="2"/>
        <v>25633</v>
      </c>
      <c r="AG27" s="75">
        <f t="shared" si="2"/>
        <v>23552</v>
      </c>
      <c r="AH27" s="175">
        <f t="shared" si="2"/>
        <v>20881</v>
      </c>
      <c r="AI27" s="75">
        <f t="shared" si="2"/>
        <v>17030</v>
      </c>
      <c r="AJ27" s="175">
        <f t="shared" si="2"/>
        <v>22046</v>
      </c>
      <c r="AK27" s="75">
        <f t="shared" si="2"/>
        <v>25806</v>
      </c>
      <c r="AL27" s="175">
        <f t="shared" si="2"/>
        <v>23769</v>
      </c>
      <c r="AM27" s="75">
        <f t="shared" si="2"/>
        <v>22245</v>
      </c>
      <c r="AN27" s="175">
        <f t="shared" si="2"/>
        <v>7462</v>
      </c>
    </row>
    <row r="28" spans="1:40">
      <c r="A28" s="313"/>
      <c r="B28" s="37" t="s">
        <v>47</v>
      </c>
      <c r="C28" s="38" t="s">
        <v>48</v>
      </c>
      <c r="D28" s="73">
        <f t="shared" ref="D28:D39" si="3">SUM(E28:AN28)</f>
        <v>399425</v>
      </c>
      <c r="E28" s="55">
        <v>0</v>
      </c>
      <c r="F28" s="55">
        <v>119</v>
      </c>
      <c r="G28" s="55">
        <v>475</v>
      </c>
      <c r="H28" s="55">
        <v>473</v>
      </c>
      <c r="I28" s="55">
        <v>2679</v>
      </c>
      <c r="J28" s="55">
        <v>570</v>
      </c>
      <c r="K28" s="55">
        <v>1272</v>
      </c>
      <c r="L28" s="55">
        <v>2763</v>
      </c>
      <c r="M28" s="55">
        <v>4074</v>
      </c>
      <c r="N28" s="55">
        <v>5493</v>
      </c>
      <c r="O28" s="55">
        <v>619</v>
      </c>
      <c r="P28" s="55">
        <v>10829</v>
      </c>
      <c r="Q28" s="55">
        <v>0</v>
      </c>
      <c r="R28" s="55">
        <v>30316</v>
      </c>
      <c r="S28" s="55">
        <v>22870</v>
      </c>
      <c r="T28" s="55">
        <v>11814</v>
      </c>
      <c r="U28" s="55">
        <v>286</v>
      </c>
      <c r="V28" s="55">
        <v>9555</v>
      </c>
      <c r="W28" s="55">
        <v>23998</v>
      </c>
      <c r="X28" s="55">
        <v>21898</v>
      </c>
      <c r="Y28" s="55">
        <v>15302</v>
      </c>
      <c r="Z28" s="55">
        <v>5630</v>
      </c>
      <c r="AA28" s="55">
        <v>9107</v>
      </c>
      <c r="AB28" s="55">
        <v>33283</v>
      </c>
      <c r="AC28" s="55">
        <v>16179</v>
      </c>
      <c r="AD28" s="55">
        <v>12126</v>
      </c>
      <c r="AE28" s="55">
        <v>12566</v>
      </c>
      <c r="AF28" s="55">
        <v>21799</v>
      </c>
      <c r="AG28" s="55">
        <v>19369</v>
      </c>
      <c r="AH28" s="55">
        <v>16818</v>
      </c>
      <c r="AI28" s="55">
        <v>11100</v>
      </c>
      <c r="AJ28" s="55">
        <v>10828</v>
      </c>
      <c r="AK28" s="55">
        <v>19051</v>
      </c>
      <c r="AL28" s="55">
        <v>20106</v>
      </c>
      <c r="AM28" s="55">
        <v>18949</v>
      </c>
      <c r="AN28" s="55">
        <v>7109</v>
      </c>
    </row>
    <row r="29" spans="1:40">
      <c r="A29" s="313"/>
      <c r="B29" s="37" t="s">
        <v>49</v>
      </c>
      <c r="C29" s="38" t="s">
        <v>48</v>
      </c>
      <c r="D29" s="73">
        <f t="shared" si="3"/>
        <v>28739</v>
      </c>
      <c r="E29" s="55">
        <v>0</v>
      </c>
      <c r="F29" s="55">
        <v>141</v>
      </c>
      <c r="G29" s="55">
        <v>142</v>
      </c>
      <c r="H29" s="55">
        <v>237</v>
      </c>
      <c r="I29" s="55">
        <v>329</v>
      </c>
      <c r="J29" s="55">
        <v>214</v>
      </c>
      <c r="K29" s="55">
        <v>141</v>
      </c>
      <c r="L29" s="55">
        <v>94</v>
      </c>
      <c r="M29" s="55">
        <v>95</v>
      </c>
      <c r="N29" s="55">
        <v>94</v>
      </c>
      <c r="O29" s="55">
        <v>0</v>
      </c>
      <c r="P29" s="55">
        <v>191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564</v>
      </c>
      <c r="W29" s="55">
        <v>188</v>
      </c>
      <c r="X29" s="55">
        <v>446</v>
      </c>
      <c r="Y29" s="55">
        <v>376</v>
      </c>
      <c r="Z29" s="55">
        <v>2162</v>
      </c>
      <c r="AA29" s="55">
        <v>658</v>
      </c>
      <c r="AB29" s="55">
        <v>0</v>
      </c>
      <c r="AC29" s="55">
        <v>1739</v>
      </c>
      <c r="AD29" s="55">
        <v>9541</v>
      </c>
      <c r="AE29" s="55">
        <v>2256</v>
      </c>
      <c r="AF29" s="55">
        <v>2785</v>
      </c>
      <c r="AG29" s="55">
        <v>376</v>
      </c>
      <c r="AH29" s="55">
        <v>0</v>
      </c>
      <c r="AI29" s="55">
        <v>1128</v>
      </c>
      <c r="AJ29" s="55">
        <v>3008</v>
      </c>
      <c r="AK29" s="55">
        <v>706</v>
      </c>
      <c r="AL29" s="55">
        <v>752</v>
      </c>
      <c r="AM29" s="55">
        <v>376</v>
      </c>
      <c r="AN29" s="55">
        <v>0</v>
      </c>
    </row>
    <row r="30" spans="1:40">
      <c r="A30" s="313"/>
      <c r="B30" s="37" t="s">
        <v>50</v>
      </c>
      <c r="C30" s="38" t="s">
        <v>48</v>
      </c>
      <c r="D30" s="73">
        <f t="shared" si="3"/>
        <v>401487</v>
      </c>
      <c r="E30" s="55">
        <v>0</v>
      </c>
      <c r="F30" s="55">
        <v>4737</v>
      </c>
      <c r="G30" s="55">
        <v>56349</v>
      </c>
      <c r="H30" s="55">
        <v>32996</v>
      </c>
      <c r="I30" s="55">
        <v>47672</v>
      </c>
      <c r="J30" s="55">
        <v>39626</v>
      </c>
      <c r="K30" s="55">
        <v>24449</v>
      </c>
      <c r="L30" s="55">
        <v>27895</v>
      </c>
      <c r="M30" s="55">
        <v>68307</v>
      </c>
      <c r="N30" s="55">
        <v>72388</v>
      </c>
      <c r="O30" s="55">
        <v>26880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94</v>
      </c>
      <c r="AA30" s="55">
        <v>94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51</v>
      </c>
      <c r="C31" s="38" t="s">
        <v>48</v>
      </c>
      <c r="D31" s="73">
        <f t="shared" si="3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</row>
    <row r="32" spans="1:40">
      <c r="A32" s="313"/>
      <c r="B32" s="37" t="s">
        <v>52</v>
      </c>
      <c r="C32" s="38" t="s">
        <v>48</v>
      </c>
      <c r="D32" s="73">
        <f t="shared" si="3"/>
        <v>46452</v>
      </c>
      <c r="E32" s="55">
        <v>0</v>
      </c>
      <c r="F32" s="55">
        <v>0</v>
      </c>
      <c r="G32" s="55">
        <v>720</v>
      </c>
      <c r="H32" s="55">
        <v>3942</v>
      </c>
      <c r="I32" s="55">
        <v>774</v>
      </c>
      <c r="J32" s="55">
        <v>4122</v>
      </c>
      <c r="K32" s="55">
        <v>6192</v>
      </c>
      <c r="L32" s="55">
        <v>828</v>
      </c>
      <c r="M32" s="55">
        <v>266</v>
      </c>
      <c r="N32" s="55">
        <v>1890</v>
      </c>
      <c r="O32" s="55">
        <v>270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1064</v>
      </c>
      <c r="W32" s="55">
        <v>1824</v>
      </c>
      <c r="X32" s="55">
        <v>2760</v>
      </c>
      <c r="Y32" s="55">
        <v>520</v>
      </c>
      <c r="Z32" s="55">
        <v>900</v>
      </c>
      <c r="AA32" s="55">
        <v>0</v>
      </c>
      <c r="AB32" s="55">
        <v>0</v>
      </c>
      <c r="AC32" s="55">
        <v>460</v>
      </c>
      <c r="AD32" s="55">
        <v>0</v>
      </c>
      <c r="AE32" s="55">
        <v>0</v>
      </c>
      <c r="AF32" s="55">
        <v>180</v>
      </c>
      <c r="AG32" s="55">
        <v>1580</v>
      </c>
      <c r="AH32" s="55">
        <v>1560</v>
      </c>
      <c r="AI32" s="55">
        <v>3140</v>
      </c>
      <c r="AJ32" s="55">
        <v>7000</v>
      </c>
      <c r="AK32" s="55">
        <v>3140</v>
      </c>
      <c r="AL32" s="55">
        <v>1520</v>
      </c>
      <c r="AM32" s="55">
        <v>1720</v>
      </c>
      <c r="AN32" s="55">
        <v>80</v>
      </c>
    </row>
    <row r="33" spans="1:40">
      <c r="A33" s="313"/>
      <c r="B33" s="37" t="s">
        <v>53</v>
      </c>
      <c r="C33" s="38" t="s">
        <v>48</v>
      </c>
      <c r="D33" s="73">
        <f t="shared" si="3"/>
        <v>7590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7590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54</v>
      </c>
      <c r="C34" s="38" t="s">
        <v>48</v>
      </c>
      <c r="D34" s="73">
        <f t="shared" si="3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55</v>
      </c>
      <c r="C35" s="38" t="s">
        <v>48</v>
      </c>
      <c r="D35" s="73">
        <f t="shared" si="3"/>
        <v>10720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126</v>
      </c>
      <c r="P35" s="55">
        <v>250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300</v>
      </c>
      <c r="W35" s="55">
        <v>104</v>
      </c>
      <c r="X35" s="55">
        <v>1006</v>
      </c>
      <c r="Y35" s="55">
        <v>105</v>
      </c>
      <c r="Z35" s="55">
        <v>168</v>
      </c>
      <c r="AA35" s="55">
        <v>42</v>
      </c>
      <c r="AB35" s="55">
        <v>63</v>
      </c>
      <c r="AC35" s="55">
        <v>104</v>
      </c>
      <c r="AD35" s="55">
        <v>0</v>
      </c>
      <c r="AE35" s="55">
        <v>0</v>
      </c>
      <c r="AF35" s="55">
        <v>380</v>
      </c>
      <c r="AG35" s="55">
        <v>1312</v>
      </c>
      <c r="AH35" s="55">
        <v>1722</v>
      </c>
      <c r="AI35" s="55">
        <v>1134</v>
      </c>
      <c r="AJ35" s="55">
        <v>713</v>
      </c>
      <c r="AK35" s="55">
        <v>1827</v>
      </c>
      <c r="AL35" s="55">
        <v>903</v>
      </c>
      <c r="AM35" s="55">
        <v>398</v>
      </c>
      <c r="AN35" s="55">
        <v>63</v>
      </c>
    </row>
    <row r="36" spans="1:40">
      <c r="A36" s="313"/>
      <c r="B36" s="37" t="s">
        <v>56</v>
      </c>
      <c r="C36" s="38" t="s">
        <v>48</v>
      </c>
      <c r="D36" s="73">
        <f t="shared" si="3"/>
        <v>2336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200</v>
      </c>
      <c r="Y36" s="55">
        <v>20</v>
      </c>
      <c r="Z36" s="55">
        <v>60</v>
      </c>
      <c r="AA36" s="55">
        <v>0</v>
      </c>
      <c r="AB36" s="55">
        <v>0</v>
      </c>
      <c r="AC36" s="55">
        <v>20</v>
      </c>
      <c r="AD36" s="55">
        <v>0</v>
      </c>
      <c r="AE36" s="55">
        <v>0</v>
      </c>
      <c r="AF36" s="55">
        <v>56</v>
      </c>
      <c r="AG36" s="55">
        <v>200</v>
      </c>
      <c r="AH36" s="55">
        <v>420</v>
      </c>
      <c r="AI36" s="55">
        <v>300</v>
      </c>
      <c r="AJ36" s="55">
        <v>200</v>
      </c>
      <c r="AK36" s="55">
        <v>500</v>
      </c>
      <c r="AL36" s="55">
        <v>260</v>
      </c>
      <c r="AM36" s="55">
        <v>80</v>
      </c>
      <c r="AN36" s="55">
        <v>20</v>
      </c>
    </row>
    <row r="37" spans="1:40">
      <c r="A37" s="313"/>
      <c r="B37" s="37" t="s">
        <v>57</v>
      </c>
      <c r="C37" s="38" t="s">
        <v>48</v>
      </c>
      <c r="D37" s="73">
        <f t="shared" si="3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</row>
    <row r="38" spans="1:40">
      <c r="A38" s="313"/>
      <c r="B38" s="37" t="s">
        <v>58</v>
      </c>
      <c r="C38" s="38" t="s">
        <v>48</v>
      </c>
      <c r="D38" s="73">
        <f t="shared" si="3"/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0</v>
      </c>
      <c r="AM38" s="55">
        <v>0</v>
      </c>
      <c r="AN38" s="55">
        <v>0</v>
      </c>
    </row>
    <row r="39" spans="1:40">
      <c r="A39" s="314"/>
      <c r="B39" s="39" t="s">
        <v>59</v>
      </c>
      <c r="C39" s="40" t="s">
        <v>48</v>
      </c>
      <c r="D39" s="74">
        <f t="shared" si="3"/>
        <v>20939</v>
      </c>
      <c r="E39" s="55">
        <v>0</v>
      </c>
      <c r="F39" s="55">
        <v>104</v>
      </c>
      <c r="G39" s="55">
        <v>100</v>
      </c>
      <c r="H39" s="55">
        <v>347</v>
      </c>
      <c r="I39" s="55">
        <v>224</v>
      </c>
      <c r="J39" s="55">
        <v>286</v>
      </c>
      <c r="K39" s="55">
        <v>256</v>
      </c>
      <c r="L39" s="55">
        <v>164</v>
      </c>
      <c r="M39" s="55">
        <v>194</v>
      </c>
      <c r="N39" s="55">
        <v>190</v>
      </c>
      <c r="O39" s="55">
        <v>0</v>
      </c>
      <c r="P39" s="55">
        <v>0</v>
      </c>
      <c r="Q39" s="55">
        <v>0</v>
      </c>
      <c r="R39" s="55">
        <v>50</v>
      </c>
      <c r="S39" s="55">
        <v>0</v>
      </c>
      <c r="T39" s="55">
        <v>50</v>
      </c>
      <c r="U39" s="55">
        <v>50</v>
      </c>
      <c r="V39" s="55">
        <v>683</v>
      </c>
      <c r="W39" s="55">
        <v>478</v>
      </c>
      <c r="X39" s="55">
        <v>422</v>
      </c>
      <c r="Y39" s="55">
        <v>1301</v>
      </c>
      <c r="Z39" s="55">
        <v>1300</v>
      </c>
      <c r="AA39" s="55">
        <v>3726</v>
      </c>
      <c r="AB39" s="55">
        <v>2538</v>
      </c>
      <c r="AC39" s="55">
        <v>1520</v>
      </c>
      <c r="AD39" s="55">
        <v>1650</v>
      </c>
      <c r="AE39" s="55">
        <v>1550</v>
      </c>
      <c r="AF39" s="55">
        <v>433</v>
      </c>
      <c r="AG39" s="55">
        <v>715</v>
      </c>
      <c r="AH39" s="55">
        <v>361</v>
      </c>
      <c r="AI39" s="55">
        <v>228</v>
      </c>
      <c r="AJ39" s="55">
        <v>297</v>
      </c>
      <c r="AK39" s="55">
        <v>582</v>
      </c>
      <c r="AL39" s="55">
        <v>228</v>
      </c>
      <c r="AM39" s="55">
        <v>722</v>
      </c>
      <c r="AN39" s="55">
        <v>190</v>
      </c>
    </row>
    <row r="40" spans="1:40">
      <c r="A40" s="164"/>
      <c r="B40" s="94" t="s">
        <v>149</v>
      </c>
      <c r="C40" s="166"/>
      <c r="D40" s="180">
        <f t="shared" ref="D40:AN40" si="4">D38/D27</f>
        <v>0</v>
      </c>
      <c r="E40" s="170" t="e">
        <f t="shared" si="4"/>
        <v>#DIV/0!</v>
      </c>
      <c r="F40" s="170">
        <f t="shared" si="4"/>
        <v>0</v>
      </c>
      <c r="G40" s="170">
        <f t="shared" si="4"/>
        <v>0</v>
      </c>
      <c r="H40" s="170">
        <f t="shared" si="4"/>
        <v>0</v>
      </c>
      <c r="I40" s="170">
        <f t="shared" si="4"/>
        <v>0</v>
      </c>
      <c r="J40" s="170">
        <f t="shared" si="4"/>
        <v>0</v>
      </c>
      <c r="K40" s="170">
        <f t="shared" si="4"/>
        <v>0</v>
      </c>
      <c r="L40" s="170">
        <f t="shared" si="4"/>
        <v>0</v>
      </c>
      <c r="M40" s="170">
        <f t="shared" si="4"/>
        <v>0</v>
      </c>
      <c r="N40" s="170">
        <f t="shared" si="4"/>
        <v>0</v>
      </c>
      <c r="O40" s="170">
        <f t="shared" si="4"/>
        <v>0</v>
      </c>
      <c r="P40" s="170">
        <f t="shared" si="4"/>
        <v>0</v>
      </c>
      <c r="Q40" s="170" t="e">
        <f t="shared" si="4"/>
        <v>#DIV/0!</v>
      </c>
      <c r="R40" s="170">
        <f t="shared" si="4"/>
        <v>0</v>
      </c>
      <c r="S40" s="170">
        <f t="shared" si="4"/>
        <v>0</v>
      </c>
      <c r="T40" s="170">
        <f t="shared" si="4"/>
        <v>0</v>
      </c>
      <c r="U40" s="170">
        <f t="shared" si="4"/>
        <v>0</v>
      </c>
      <c r="V40" s="170">
        <f t="shared" si="4"/>
        <v>0</v>
      </c>
      <c r="W40" s="170">
        <f t="shared" si="4"/>
        <v>0</v>
      </c>
      <c r="X40" s="170">
        <f t="shared" si="4"/>
        <v>0</v>
      </c>
      <c r="Y40" s="170">
        <f t="shared" si="4"/>
        <v>0</v>
      </c>
      <c r="Z40" s="170">
        <f t="shared" si="4"/>
        <v>0</v>
      </c>
      <c r="AA40" s="170">
        <f t="shared" si="4"/>
        <v>0</v>
      </c>
      <c r="AB40" s="170">
        <f t="shared" si="4"/>
        <v>0</v>
      </c>
      <c r="AC40" s="170">
        <f t="shared" si="4"/>
        <v>0</v>
      </c>
      <c r="AD40" s="170">
        <f t="shared" si="4"/>
        <v>0</v>
      </c>
      <c r="AE40" s="170">
        <f t="shared" si="4"/>
        <v>0</v>
      </c>
      <c r="AF40" s="170">
        <f t="shared" si="4"/>
        <v>0</v>
      </c>
      <c r="AG40" s="170">
        <f t="shared" si="4"/>
        <v>0</v>
      </c>
      <c r="AH40" s="170">
        <f t="shared" si="4"/>
        <v>0</v>
      </c>
      <c r="AI40" s="170">
        <f t="shared" si="4"/>
        <v>0</v>
      </c>
      <c r="AJ40" s="170">
        <f t="shared" si="4"/>
        <v>0</v>
      </c>
      <c r="AK40" s="170">
        <f t="shared" si="4"/>
        <v>0</v>
      </c>
      <c r="AL40" s="170">
        <f t="shared" si="4"/>
        <v>0</v>
      </c>
      <c r="AM40" s="170">
        <f t="shared" si="4"/>
        <v>0</v>
      </c>
      <c r="AN40" s="170">
        <f t="shared" si="4"/>
        <v>0</v>
      </c>
    </row>
    <row r="41" spans="1:40" ht="18.75" customHeight="1">
      <c r="A41" s="245"/>
      <c r="B41" s="246" t="s">
        <v>338</v>
      </c>
      <c r="C41" s="247" t="s">
        <v>84</v>
      </c>
      <c r="D41" s="248"/>
      <c r="E41" s="249" t="e">
        <f t="shared" ref="E41:AN41" si="5">+E61/E27</f>
        <v>#DIV/0!</v>
      </c>
      <c r="F41" s="249">
        <f t="shared" si="5"/>
        <v>21.568712017251521</v>
      </c>
      <c r="G41" s="249">
        <f t="shared" si="5"/>
        <v>21.130014190288303</v>
      </c>
      <c r="H41" s="249">
        <f t="shared" si="5"/>
        <v>20.358389261744968</v>
      </c>
      <c r="I41" s="249">
        <f t="shared" si="5"/>
        <v>22.44136769998839</v>
      </c>
      <c r="J41" s="249">
        <f t="shared" si="5"/>
        <v>20.502655183185329</v>
      </c>
      <c r="K41" s="249">
        <f t="shared" si="5"/>
        <v>20.410089755493654</v>
      </c>
      <c r="L41" s="249">
        <f t="shared" si="5"/>
        <v>23.408171622983872</v>
      </c>
      <c r="M41" s="249">
        <f t="shared" si="5"/>
        <v>22.669381375452453</v>
      </c>
      <c r="N41" s="249">
        <f t="shared" si="5"/>
        <v>22.888439198051341</v>
      </c>
      <c r="O41" s="249">
        <f t="shared" si="5"/>
        <v>21.731779888868974</v>
      </c>
      <c r="P41" s="249">
        <f t="shared" si="5"/>
        <v>38.419565217391302</v>
      </c>
      <c r="Q41" s="249" t="e">
        <f t="shared" si="5"/>
        <v>#DIV/0!</v>
      </c>
      <c r="R41" s="249">
        <f t="shared" si="5"/>
        <v>51.927550549957189</v>
      </c>
      <c r="S41" s="249">
        <f t="shared" si="5"/>
        <v>52</v>
      </c>
      <c r="T41" s="249">
        <f t="shared" si="5"/>
        <v>51.814565070802431</v>
      </c>
      <c r="U41" s="249">
        <f t="shared" si="5"/>
        <v>45.452380952380949</v>
      </c>
      <c r="V41" s="249">
        <f t="shared" si="5"/>
        <v>44.730560578661844</v>
      </c>
      <c r="W41" s="249">
        <f t="shared" si="5"/>
        <v>48.266696750902526</v>
      </c>
      <c r="X41" s="249">
        <f t="shared" si="5"/>
        <v>46.465659135118962</v>
      </c>
      <c r="Y41" s="249">
        <f t="shared" si="5"/>
        <v>46.955844303222882</v>
      </c>
      <c r="Z41" s="249">
        <f t="shared" si="5"/>
        <v>36.845782431646306</v>
      </c>
      <c r="AA41" s="249">
        <f t="shared" si="5"/>
        <v>38.445439201585089</v>
      </c>
      <c r="AB41" s="249">
        <f t="shared" si="5"/>
        <v>48.884461041132539</v>
      </c>
      <c r="AC41" s="249">
        <f t="shared" si="5"/>
        <v>45.360643292378384</v>
      </c>
      <c r="AD41" s="249">
        <f t="shared" si="5"/>
        <v>37.838358279366986</v>
      </c>
      <c r="AE41" s="249">
        <f t="shared" si="5"/>
        <v>44.113852919618864</v>
      </c>
      <c r="AF41" s="249">
        <f t="shared" si="5"/>
        <v>47.958913900050717</v>
      </c>
      <c r="AG41" s="249">
        <f t="shared" si="5"/>
        <v>47.229364809782609</v>
      </c>
      <c r="AH41" s="249">
        <f t="shared" si="5"/>
        <v>47.591006177865047</v>
      </c>
      <c r="AI41" s="249">
        <f t="shared" si="5"/>
        <v>41.68062243100411</v>
      </c>
      <c r="AJ41" s="249">
        <f t="shared" si="5"/>
        <v>34.734645740723941</v>
      </c>
      <c r="AK41" s="249">
        <f t="shared" si="5"/>
        <v>44.783499961249319</v>
      </c>
      <c r="AL41" s="249">
        <f t="shared" si="5"/>
        <v>47.820581429593162</v>
      </c>
      <c r="AM41" s="249">
        <f t="shared" si="5"/>
        <v>46.898413126545286</v>
      </c>
      <c r="AN41" s="249">
        <f t="shared" si="5"/>
        <v>50.367971053336909</v>
      </c>
    </row>
    <row r="42" spans="1:40">
      <c r="A42" s="33"/>
      <c r="C42" s="5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</row>
    <row r="43" spans="1:40">
      <c r="A43" s="324" t="s">
        <v>60</v>
      </c>
      <c r="B43" s="50" t="s">
        <v>61</v>
      </c>
      <c r="C43" s="91" t="s">
        <v>62</v>
      </c>
      <c r="D43" s="81">
        <f>SUM(E43:AN43)</f>
        <v>587000</v>
      </c>
      <c r="E43" s="86">
        <v>7000</v>
      </c>
      <c r="F43" s="86">
        <v>15000</v>
      </c>
      <c r="G43" s="86">
        <v>16000</v>
      </c>
      <c r="H43" s="86">
        <v>17000</v>
      </c>
      <c r="I43" s="86">
        <v>17000</v>
      </c>
      <c r="J43" s="86">
        <v>16000</v>
      </c>
      <c r="K43" s="86">
        <v>16000</v>
      </c>
      <c r="L43" s="86">
        <v>17000</v>
      </c>
      <c r="M43" s="86">
        <v>14000</v>
      </c>
      <c r="N43" s="86">
        <v>16000</v>
      </c>
      <c r="O43" s="86">
        <v>17000</v>
      </c>
      <c r="P43" s="86">
        <v>16000</v>
      </c>
      <c r="Q43" s="86">
        <v>19000</v>
      </c>
      <c r="R43" s="86">
        <v>14000</v>
      </c>
      <c r="S43" s="86">
        <v>14000</v>
      </c>
      <c r="T43" s="86">
        <v>15000</v>
      </c>
      <c r="U43" s="86">
        <v>16000</v>
      </c>
      <c r="V43" s="86">
        <v>16000</v>
      </c>
      <c r="W43" s="86">
        <v>19000</v>
      </c>
      <c r="X43" s="86">
        <v>18000</v>
      </c>
      <c r="Y43" s="86">
        <v>19000</v>
      </c>
      <c r="Z43" s="86">
        <v>16000</v>
      </c>
      <c r="AA43" s="86">
        <v>15000</v>
      </c>
      <c r="AB43" s="86">
        <v>19000</v>
      </c>
      <c r="AC43" s="86">
        <v>16000</v>
      </c>
      <c r="AD43" s="86">
        <v>15000</v>
      </c>
      <c r="AE43" s="86">
        <v>17000</v>
      </c>
      <c r="AF43" s="86">
        <v>17000</v>
      </c>
      <c r="AG43" s="86">
        <v>17000</v>
      </c>
      <c r="AH43" s="86">
        <v>17000</v>
      </c>
      <c r="AI43" s="86">
        <v>17000</v>
      </c>
      <c r="AJ43" s="86">
        <v>18000</v>
      </c>
      <c r="AK43" s="86">
        <v>18000</v>
      </c>
      <c r="AL43" s="86">
        <v>17000</v>
      </c>
      <c r="AM43" s="86">
        <v>18000</v>
      </c>
      <c r="AN43" s="86">
        <v>16000</v>
      </c>
    </row>
    <row r="44" spans="1:40">
      <c r="A44" s="325"/>
      <c r="B44" s="39" t="s">
        <v>63</v>
      </c>
      <c r="C44" s="92" t="s">
        <v>62</v>
      </c>
      <c r="D44" s="82">
        <f>SUM(E44:AN44)</f>
        <v>1000</v>
      </c>
      <c r="E44" s="87">
        <v>0</v>
      </c>
      <c r="F44" s="87">
        <v>0</v>
      </c>
      <c r="G44" s="87">
        <v>200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200</v>
      </c>
      <c r="O44" s="87">
        <v>0</v>
      </c>
      <c r="P44" s="87">
        <v>0</v>
      </c>
      <c r="Q44" s="87">
        <v>0</v>
      </c>
      <c r="R44" s="87">
        <v>0</v>
      </c>
      <c r="S44" s="87">
        <v>200</v>
      </c>
      <c r="T44" s="87">
        <v>0</v>
      </c>
      <c r="U44" s="87">
        <v>0</v>
      </c>
      <c r="V44" s="87">
        <v>0</v>
      </c>
      <c r="W44" s="87">
        <v>0</v>
      </c>
      <c r="X44" s="87">
        <v>0</v>
      </c>
      <c r="Y44" s="87">
        <v>0</v>
      </c>
      <c r="Z44" s="87">
        <v>0</v>
      </c>
      <c r="AA44" s="87">
        <v>200</v>
      </c>
      <c r="AB44" s="87">
        <v>0</v>
      </c>
      <c r="AC44" s="87">
        <v>0</v>
      </c>
      <c r="AD44" s="87">
        <v>0</v>
      </c>
      <c r="AE44" s="87">
        <v>0</v>
      </c>
      <c r="AF44" s="87">
        <v>0</v>
      </c>
      <c r="AG44" s="87">
        <v>0</v>
      </c>
      <c r="AH44" s="87">
        <v>0</v>
      </c>
      <c r="AI44" s="87">
        <v>0</v>
      </c>
      <c r="AJ44" s="87">
        <v>0</v>
      </c>
      <c r="AK44" s="87">
        <v>0</v>
      </c>
      <c r="AL44" s="87">
        <v>200</v>
      </c>
      <c r="AM44" s="87">
        <v>0</v>
      </c>
      <c r="AN44" s="87">
        <v>0</v>
      </c>
    </row>
    <row r="46" spans="1:40">
      <c r="B46" s="167" t="s">
        <v>240</v>
      </c>
      <c r="C46" s="184" t="s">
        <v>241</v>
      </c>
      <c r="D46" s="187">
        <f t="shared" ref="D46:AN46" si="6">D43/D27</f>
        <v>0.63965094890638208</v>
      </c>
      <c r="E46" s="185" t="e">
        <f t="shared" si="6"/>
        <v>#DIV/0!</v>
      </c>
      <c r="F46" s="188">
        <f t="shared" si="6"/>
        <v>2.9405998823760049</v>
      </c>
      <c r="G46" s="186">
        <f t="shared" si="6"/>
        <v>0.27688367424635724</v>
      </c>
      <c r="H46" s="188">
        <f t="shared" si="6"/>
        <v>0.44742729306487694</v>
      </c>
      <c r="I46" s="186">
        <f t="shared" si="6"/>
        <v>0.32896009907504159</v>
      </c>
      <c r="J46" s="188">
        <f t="shared" si="6"/>
        <v>0.35699941987594269</v>
      </c>
      <c r="K46" s="186">
        <f t="shared" si="6"/>
        <v>0.49520272361497986</v>
      </c>
      <c r="L46" s="188">
        <f t="shared" si="6"/>
        <v>0.53553427419354838</v>
      </c>
      <c r="M46" s="186">
        <f t="shared" si="6"/>
        <v>0.19194910606559176</v>
      </c>
      <c r="N46" s="188">
        <f t="shared" si="6"/>
        <v>0.19986259446630442</v>
      </c>
      <c r="O46" s="186">
        <f t="shared" si="6"/>
        <v>0.60942821294138738</v>
      </c>
      <c r="P46" s="188">
        <f t="shared" si="6"/>
        <v>0.84835630965005304</v>
      </c>
      <c r="Q46" s="186" t="e">
        <f t="shared" si="6"/>
        <v>#DIV/0!</v>
      </c>
      <c r="R46" s="188">
        <f t="shared" si="6"/>
        <v>0.46104195481788846</v>
      </c>
      <c r="S46" s="186">
        <f t="shared" si="6"/>
        <v>0.61215566243987762</v>
      </c>
      <c r="T46" s="188">
        <f t="shared" si="6"/>
        <v>1.2643290627107215</v>
      </c>
      <c r="U46" s="186">
        <f t="shared" si="6"/>
        <v>47.61904761904762</v>
      </c>
      <c r="V46" s="188">
        <f t="shared" si="6"/>
        <v>1.3151405556468847</v>
      </c>
      <c r="W46" s="186">
        <f t="shared" si="6"/>
        <v>0.71450060168471718</v>
      </c>
      <c r="X46" s="188">
        <f t="shared" si="6"/>
        <v>0.6733502917851264</v>
      </c>
      <c r="Y46" s="186">
        <f t="shared" si="6"/>
        <v>1.0780753517930095</v>
      </c>
      <c r="Z46" s="188">
        <f t="shared" si="6"/>
        <v>1.5512895094046926</v>
      </c>
      <c r="AA46" s="186">
        <f t="shared" si="6"/>
        <v>1.1007558523519483</v>
      </c>
      <c r="AB46" s="188">
        <f t="shared" si="6"/>
        <v>0.52948389254263739</v>
      </c>
      <c r="AC46" s="186">
        <f t="shared" si="6"/>
        <v>0.79912096693637003</v>
      </c>
      <c r="AD46" s="188">
        <f t="shared" si="6"/>
        <v>0.64330745807779732</v>
      </c>
      <c r="AE46" s="186">
        <f t="shared" si="6"/>
        <v>1.0383581724896165</v>
      </c>
      <c r="AF46" s="188">
        <f t="shared" si="6"/>
        <v>0.66320758397378377</v>
      </c>
      <c r="AG46" s="186">
        <f t="shared" si="6"/>
        <v>0.72180706521739135</v>
      </c>
      <c r="AH46" s="188">
        <f t="shared" si="6"/>
        <v>0.81413725396293279</v>
      </c>
      <c r="AI46" s="186">
        <f t="shared" si="6"/>
        <v>0.99823840281855547</v>
      </c>
      <c r="AJ46" s="188">
        <f t="shared" si="6"/>
        <v>0.81647464392633584</v>
      </c>
      <c r="AK46" s="186">
        <f t="shared" si="6"/>
        <v>0.69751220646361312</v>
      </c>
      <c r="AL46" s="188">
        <f t="shared" si="6"/>
        <v>0.71521729984433502</v>
      </c>
      <c r="AM46" s="186">
        <f t="shared" si="6"/>
        <v>0.80917060013486175</v>
      </c>
      <c r="AN46" s="188">
        <f t="shared" si="6"/>
        <v>2.1441972661484856</v>
      </c>
    </row>
    <row r="48" spans="1:40">
      <c r="A48" s="312" t="s">
        <v>64</v>
      </c>
      <c r="B48" s="93" t="s">
        <v>65</v>
      </c>
      <c r="C48" s="47" t="s">
        <v>8</v>
      </c>
      <c r="D48" s="181">
        <f t="shared" ref="D48:D53" si="7">SUM(E48:AN48)</f>
        <v>311</v>
      </c>
      <c r="E48" s="88">
        <v>0</v>
      </c>
      <c r="F48" s="88">
        <v>12</v>
      </c>
      <c r="G48" s="88">
        <v>6</v>
      </c>
      <c r="H48" s="88">
        <v>8</v>
      </c>
      <c r="I48" s="88">
        <v>2</v>
      </c>
      <c r="J48" s="88">
        <v>0</v>
      </c>
      <c r="K48" s="88">
        <v>0</v>
      </c>
      <c r="L48" s="88">
        <v>10</v>
      </c>
      <c r="M48" s="88">
        <v>4</v>
      </c>
      <c r="N48" s="88">
        <v>0</v>
      </c>
      <c r="O48" s="88">
        <v>10</v>
      </c>
      <c r="P48" s="88">
        <v>4</v>
      </c>
      <c r="Q48" s="88">
        <v>24</v>
      </c>
      <c r="R48" s="88">
        <v>8</v>
      </c>
      <c r="S48" s="88">
        <v>10</v>
      </c>
      <c r="T48" s="88">
        <v>12</v>
      </c>
      <c r="U48" s="88">
        <v>23</v>
      </c>
      <c r="V48" s="88">
        <v>12</v>
      </c>
      <c r="W48" s="88">
        <v>5</v>
      </c>
      <c r="X48" s="88">
        <v>5</v>
      </c>
      <c r="Y48" s="88">
        <v>12</v>
      </c>
      <c r="Z48" s="88">
        <v>12</v>
      </c>
      <c r="AA48" s="88">
        <v>12</v>
      </c>
      <c r="AB48" s="88">
        <v>8</v>
      </c>
      <c r="AC48" s="88">
        <v>12</v>
      </c>
      <c r="AD48" s="88">
        <v>12</v>
      </c>
      <c r="AE48" s="88">
        <v>12</v>
      </c>
      <c r="AF48" s="88">
        <v>10</v>
      </c>
      <c r="AG48" s="88">
        <v>10</v>
      </c>
      <c r="AH48" s="88">
        <v>12</v>
      </c>
      <c r="AI48" s="88">
        <v>12</v>
      </c>
      <c r="AJ48" s="88">
        <v>12</v>
      </c>
      <c r="AK48" s="88">
        <v>10</v>
      </c>
      <c r="AL48" s="88">
        <v>10</v>
      </c>
      <c r="AM48" s="88">
        <v>0</v>
      </c>
      <c r="AN48" s="88">
        <v>0</v>
      </c>
    </row>
    <row r="49" spans="1:40">
      <c r="A49" s="313"/>
      <c r="B49" s="94" t="s">
        <v>66</v>
      </c>
      <c r="C49" s="38" t="s">
        <v>8</v>
      </c>
      <c r="D49" s="182">
        <f t="shared" si="7"/>
        <v>320</v>
      </c>
      <c r="E49" s="89">
        <v>0</v>
      </c>
      <c r="F49" s="89">
        <v>12</v>
      </c>
      <c r="G49" s="89">
        <v>6</v>
      </c>
      <c r="H49" s="89">
        <v>8</v>
      </c>
      <c r="I49" s="89">
        <v>2</v>
      </c>
      <c r="J49" s="89">
        <v>0</v>
      </c>
      <c r="K49" s="89">
        <v>0</v>
      </c>
      <c r="L49" s="89">
        <v>10</v>
      </c>
      <c r="M49" s="89">
        <v>4</v>
      </c>
      <c r="N49" s="89">
        <v>0</v>
      </c>
      <c r="O49" s="89">
        <v>10</v>
      </c>
      <c r="P49" s="89">
        <v>4</v>
      </c>
      <c r="Q49" s="89">
        <v>24</v>
      </c>
      <c r="R49" s="89">
        <v>8</v>
      </c>
      <c r="S49" s="89">
        <v>10</v>
      </c>
      <c r="T49" s="89">
        <v>12</v>
      </c>
      <c r="U49" s="89">
        <v>23</v>
      </c>
      <c r="V49" s="89">
        <v>12</v>
      </c>
      <c r="W49" s="89">
        <v>4</v>
      </c>
      <c r="X49" s="89">
        <v>5</v>
      </c>
      <c r="Y49" s="89">
        <v>12</v>
      </c>
      <c r="Z49" s="89">
        <v>12</v>
      </c>
      <c r="AA49" s="89">
        <v>12</v>
      </c>
      <c r="AB49" s="89">
        <v>8</v>
      </c>
      <c r="AC49" s="89">
        <v>12</v>
      </c>
      <c r="AD49" s="89">
        <v>12</v>
      </c>
      <c r="AE49" s="89">
        <v>12</v>
      </c>
      <c r="AF49" s="89">
        <v>10</v>
      </c>
      <c r="AG49" s="89">
        <v>10</v>
      </c>
      <c r="AH49" s="89">
        <v>12</v>
      </c>
      <c r="AI49" s="89">
        <v>12</v>
      </c>
      <c r="AJ49" s="89">
        <v>12</v>
      </c>
      <c r="AK49" s="89">
        <v>10</v>
      </c>
      <c r="AL49" s="89">
        <v>10</v>
      </c>
      <c r="AM49" s="89">
        <v>10</v>
      </c>
      <c r="AN49" s="89">
        <v>0</v>
      </c>
    </row>
    <row r="50" spans="1:40">
      <c r="A50" s="313"/>
      <c r="B50" s="94" t="s">
        <v>67</v>
      </c>
      <c r="C50" s="38" t="s">
        <v>8</v>
      </c>
      <c r="D50" s="182">
        <f t="shared" si="7"/>
        <v>3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2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1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</row>
    <row r="51" spans="1:40">
      <c r="A51" s="313"/>
      <c r="B51" s="95" t="s">
        <v>68</v>
      </c>
      <c r="C51" s="40" t="s">
        <v>8</v>
      </c>
      <c r="D51" s="182">
        <f t="shared" si="7"/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</row>
    <row r="52" spans="1:40">
      <c r="A52" s="313"/>
      <c r="B52" s="93" t="s">
        <v>69</v>
      </c>
      <c r="C52" s="91" t="s">
        <v>48</v>
      </c>
      <c r="D52" s="181">
        <f t="shared" si="7"/>
        <v>363500</v>
      </c>
      <c r="E52" s="86">
        <v>0</v>
      </c>
      <c r="F52" s="86">
        <v>5000</v>
      </c>
      <c r="G52" s="86">
        <v>27500</v>
      </c>
      <c r="H52" s="86">
        <v>20000</v>
      </c>
      <c r="I52" s="86">
        <v>20000</v>
      </c>
      <c r="J52" s="86">
        <v>20000</v>
      </c>
      <c r="K52" s="86">
        <v>14000</v>
      </c>
      <c r="L52" s="86">
        <v>15000</v>
      </c>
      <c r="M52" s="86">
        <v>35000</v>
      </c>
      <c r="N52" s="86">
        <v>35000</v>
      </c>
      <c r="O52" s="86">
        <v>15000</v>
      </c>
      <c r="P52" s="86">
        <v>10000</v>
      </c>
      <c r="Q52" s="86">
        <v>0</v>
      </c>
      <c r="R52" s="86">
        <v>15000</v>
      </c>
      <c r="S52" s="86">
        <v>15000</v>
      </c>
      <c r="T52" s="86">
        <v>5000</v>
      </c>
      <c r="U52" s="86">
        <v>0</v>
      </c>
      <c r="V52" s="86">
        <v>20000</v>
      </c>
      <c r="W52" s="86">
        <v>18000</v>
      </c>
      <c r="X52" s="86">
        <v>16000</v>
      </c>
      <c r="Y52" s="86">
        <v>10000</v>
      </c>
      <c r="Z52" s="86">
        <v>8000</v>
      </c>
      <c r="AA52" s="86">
        <v>20000</v>
      </c>
      <c r="AB52" s="86">
        <v>20000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6">
        <v>0</v>
      </c>
      <c r="AK52" s="86">
        <v>0</v>
      </c>
      <c r="AL52" s="86">
        <v>0</v>
      </c>
      <c r="AM52" s="86">
        <v>0</v>
      </c>
      <c r="AN52" s="86">
        <v>0</v>
      </c>
    </row>
    <row r="53" spans="1:40">
      <c r="A53" s="314"/>
      <c r="B53" s="95" t="s">
        <v>70</v>
      </c>
      <c r="C53" s="92" t="s">
        <v>48</v>
      </c>
      <c r="D53" s="183">
        <f t="shared" si="7"/>
        <v>8832</v>
      </c>
      <c r="E53" s="87">
        <v>0</v>
      </c>
      <c r="F53" s="87">
        <v>125</v>
      </c>
      <c r="G53" s="87">
        <v>800</v>
      </c>
      <c r="H53" s="87">
        <v>500</v>
      </c>
      <c r="I53" s="87">
        <v>500</v>
      </c>
      <c r="J53" s="87">
        <v>500</v>
      </c>
      <c r="K53" s="87">
        <v>462</v>
      </c>
      <c r="L53" s="87">
        <v>375</v>
      </c>
      <c r="M53" s="87">
        <v>750</v>
      </c>
      <c r="N53" s="87">
        <v>750</v>
      </c>
      <c r="O53" s="87">
        <v>375</v>
      </c>
      <c r="P53" s="87">
        <v>250</v>
      </c>
      <c r="Q53" s="87">
        <v>0</v>
      </c>
      <c r="R53" s="87">
        <v>325</v>
      </c>
      <c r="S53" s="87">
        <v>325</v>
      </c>
      <c r="T53" s="87">
        <v>125</v>
      </c>
      <c r="U53" s="87">
        <v>0</v>
      </c>
      <c r="V53" s="87">
        <v>500</v>
      </c>
      <c r="W53" s="87">
        <v>400</v>
      </c>
      <c r="X53" s="87">
        <v>340</v>
      </c>
      <c r="Y53" s="87">
        <v>250</v>
      </c>
      <c r="Z53" s="87">
        <v>180</v>
      </c>
      <c r="AA53" s="87">
        <v>500</v>
      </c>
      <c r="AB53" s="87">
        <v>500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7">
        <v>0</v>
      </c>
      <c r="AJ53" s="87">
        <v>0</v>
      </c>
      <c r="AK53" s="87">
        <v>0</v>
      </c>
      <c r="AL53" s="87">
        <v>0</v>
      </c>
      <c r="AM53" s="87">
        <v>0</v>
      </c>
      <c r="AN53" s="87">
        <v>0</v>
      </c>
    </row>
    <row r="54" spans="1:40"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>
      <c r="A55" s="315" t="s">
        <v>71</v>
      </c>
      <c r="B55" s="50" t="s">
        <v>72</v>
      </c>
      <c r="C55" s="45" t="s">
        <v>73</v>
      </c>
      <c r="D55" s="7" t="s">
        <v>73</v>
      </c>
      <c r="E55" s="7" t="s">
        <v>73</v>
      </c>
      <c r="F55" s="7" t="s">
        <v>73</v>
      </c>
      <c r="G55" s="7" t="s">
        <v>73</v>
      </c>
      <c r="H55" s="7" t="s">
        <v>73</v>
      </c>
      <c r="I55" s="7" t="s">
        <v>73</v>
      </c>
      <c r="J55" s="7" t="s">
        <v>73</v>
      </c>
      <c r="K55" s="7" t="s">
        <v>374</v>
      </c>
      <c r="L55" s="7" t="s">
        <v>73</v>
      </c>
      <c r="M55" s="7" t="s">
        <v>73</v>
      </c>
      <c r="N55" s="7"/>
      <c r="O55" s="7"/>
      <c r="P55" s="7" t="s">
        <v>73</v>
      </c>
      <c r="Q55" s="7" t="s">
        <v>73</v>
      </c>
      <c r="R55" s="7" t="s">
        <v>73</v>
      </c>
      <c r="S55" s="7" t="s">
        <v>73</v>
      </c>
      <c r="T55" s="7" t="s">
        <v>73</v>
      </c>
      <c r="U55" s="7" t="s">
        <v>73</v>
      </c>
      <c r="V55" s="7" t="s">
        <v>73</v>
      </c>
      <c r="W55" s="7" t="s">
        <v>375</v>
      </c>
      <c r="X55" s="7" t="s">
        <v>73</v>
      </c>
      <c r="Y55" s="7" t="s">
        <v>73</v>
      </c>
      <c r="Z55" s="7" t="s">
        <v>73</v>
      </c>
      <c r="AA55" s="7" t="s">
        <v>73</v>
      </c>
      <c r="AB55" s="7" t="s">
        <v>73</v>
      </c>
      <c r="AC55" s="7" t="s">
        <v>73</v>
      </c>
      <c r="AD55" s="7" t="s">
        <v>73</v>
      </c>
      <c r="AE55" s="7" t="s">
        <v>73</v>
      </c>
      <c r="AF55" s="7" t="s">
        <v>73</v>
      </c>
      <c r="AG55" s="7" t="s">
        <v>73</v>
      </c>
      <c r="AH55" s="7" t="s">
        <v>73</v>
      </c>
      <c r="AI55" s="7" t="s">
        <v>73</v>
      </c>
      <c r="AJ55" s="7" t="s">
        <v>73</v>
      </c>
      <c r="AK55" s="7" t="s">
        <v>73</v>
      </c>
      <c r="AL55" s="7" t="s">
        <v>73</v>
      </c>
      <c r="AM55" s="7" t="s">
        <v>73</v>
      </c>
      <c r="AN55" s="7" t="s">
        <v>73</v>
      </c>
    </row>
    <row r="56" spans="1:40">
      <c r="A56" s="316"/>
      <c r="B56" s="37" t="s">
        <v>74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75</v>
      </c>
      <c r="AM56" s="8" t="s">
        <v>75</v>
      </c>
      <c r="AN56" s="8" t="s">
        <v>75</v>
      </c>
    </row>
    <row r="57" spans="1:40">
      <c r="A57" s="316"/>
      <c r="B57" s="37" t="s">
        <v>7</v>
      </c>
      <c r="C57" s="51" t="s">
        <v>75</v>
      </c>
      <c r="D57" s="8" t="s">
        <v>75</v>
      </c>
      <c r="E57" s="8" t="s">
        <v>75</v>
      </c>
      <c r="F57" s="8" t="s">
        <v>75</v>
      </c>
      <c r="G57" s="8" t="s">
        <v>75</v>
      </c>
      <c r="H57" s="8" t="s">
        <v>75</v>
      </c>
      <c r="I57" s="8" t="s">
        <v>75</v>
      </c>
      <c r="J57" s="8" t="s">
        <v>75</v>
      </c>
      <c r="K57" s="8" t="s">
        <v>75</v>
      </c>
      <c r="L57" s="8" t="s">
        <v>75</v>
      </c>
      <c r="M57" s="8" t="s">
        <v>75</v>
      </c>
      <c r="N57" s="8" t="s">
        <v>75</v>
      </c>
      <c r="O57" s="8" t="s">
        <v>75</v>
      </c>
      <c r="P57" s="8" t="s">
        <v>75</v>
      </c>
      <c r="Q57" s="8" t="s">
        <v>75</v>
      </c>
      <c r="R57" s="8" t="s">
        <v>75</v>
      </c>
      <c r="S57" s="8" t="s">
        <v>75</v>
      </c>
      <c r="T57" s="8" t="s">
        <v>75</v>
      </c>
      <c r="U57" s="8" t="s">
        <v>75</v>
      </c>
      <c r="V57" s="8" t="s">
        <v>75</v>
      </c>
      <c r="W57" s="8" t="s">
        <v>75</v>
      </c>
      <c r="X57" s="8" t="s">
        <v>75</v>
      </c>
      <c r="Y57" s="8" t="s">
        <v>75</v>
      </c>
      <c r="Z57" s="8" t="s">
        <v>75</v>
      </c>
      <c r="AA57" s="8" t="s">
        <v>376</v>
      </c>
      <c r="AB57" s="8" t="s">
        <v>75</v>
      </c>
      <c r="AC57" s="8"/>
      <c r="AD57" s="8" t="s">
        <v>75</v>
      </c>
      <c r="AE57" s="8" t="s">
        <v>75</v>
      </c>
      <c r="AF57" s="8" t="s">
        <v>75</v>
      </c>
      <c r="AG57" s="8" t="s">
        <v>75</v>
      </c>
      <c r="AH57" s="8" t="s">
        <v>75</v>
      </c>
      <c r="AI57" s="8" t="s">
        <v>75</v>
      </c>
      <c r="AJ57" s="8" t="s">
        <v>75</v>
      </c>
      <c r="AK57" s="8" t="s">
        <v>75</v>
      </c>
      <c r="AL57" s="8" t="s">
        <v>75</v>
      </c>
      <c r="AM57" s="8" t="s">
        <v>75</v>
      </c>
      <c r="AN57" s="8" t="s">
        <v>75</v>
      </c>
    </row>
    <row r="58" spans="1:40">
      <c r="A58" s="316"/>
      <c r="B58" s="37" t="s">
        <v>76</v>
      </c>
      <c r="C58" s="51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377</v>
      </c>
      <c r="N58" s="8" t="s">
        <v>75</v>
      </c>
      <c r="O58" s="8" t="s">
        <v>75</v>
      </c>
      <c r="P58" s="8" t="s">
        <v>75</v>
      </c>
      <c r="Q58" s="8"/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378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</row>
    <row r="59" spans="1:40">
      <c r="A59" s="317"/>
      <c r="B59" s="39" t="s">
        <v>82</v>
      </c>
      <c r="C59" s="52" t="s">
        <v>75</v>
      </c>
      <c r="D59" s="9" t="s">
        <v>75</v>
      </c>
      <c r="E59" s="9" t="s">
        <v>75</v>
      </c>
      <c r="F59" s="9" t="s">
        <v>75</v>
      </c>
      <c r="G59" s="9" t="s">
        <v>75</v>
      </c>
      <c r="H59" s="9" t="s">
        <v>379</v>
      </c>
      <c r="I59" s="9" t="s">
        <v>75</v>
      </c>
      <c r="J59" s="9" t="s">
        <v>75</v>
      </c>
      <c r="K59" s="9" t="s">
        <v>75</v>
      </c>
      <c r="L59" s="9" t="s">
        <v>75</v>
      </c>
      <c r="M59" s="9" t="s">
        <v>380</v>
      </c>
      <c r="N59" s="9" t="s">
        <v>75</v>
      </c>
      <c r="O59" s="9" t="s">
        <v>75</v>
      </c>
      <c r="P59" s="9" t="s">
        <v>75</v>
      </c>
      <c r="Q59" s="9" t="s">
        <v>381</v>
      </c>
      <c r="R59" s="9" t="s">
        <v>75</v>
      </c>
      <c r="S59" s="9" t="s">
        <v>75</v>
      </c>
      <c r="T59" s="9" t="s">
        <v>75</v>
      </c>
      <c r="U59" s="9" t="s">
        <v>382</v>
      </c>
      <c r="V59" s="9" t="s">
        <v>75</v>
      </c>
      <c r="W59" s="9" t="s">
        <v>75</v>
      </c>
      <c r="X59" s="9" t="s">
        <v>75</v>
      </c>
      <c r="Y59" s="9" t="s">
        <v>75</v>
      </c>
      <c r="Z59" s="9" t="s">
        <v>75</v>
      </c>
      <c r="AA59" s="9" t="s">
        <v>75</v>
      </c>
      <c r="AB59" s="9" t="s">
        <v>75</v>
      </c>
      <c r="AC59" s="9" t="s">
        <v>75</v>
      </c>
      <c r="AD59" s="9" t="s">
        <v>75</v>
      </c>
      <c r="AE59" s="9" t="s">
        <v>75</v>
      </c>
      <c r="AF59" s="9" t="s">
        <v>75</v>
      </c>
      <c r="AG59" s="9" t="s">
        <v>75</v>
      </c>
      <c r="AH59" s="9" t="s">
        <v>75</v>
      </c>
      <c r="AI59" s="9" t="s">
        <v>75</v>
      </c>
      <c r="AJ59" s="9" t="s">
        <v>75</v>
      </c>
      <c r="AK59" s="8" t="s">
        <v>75</v>
      </c>
      <c r="AL59" s="8" t="s">
        <v>75</v>
      </c>
      <c r="AM59" s="8" t="s">
        <v>75</v>
      </c>
      <c r="AN59" s="9" t="s">
        <v>75</v>
      </c>
    </row>
    <row r="61" spans="1:40" ht="15.75">
      <c r="B61" s="53" t="s">
        <v>83</v>
      </c>
      <c r="C61" s="99" t="s">
        <v>84</v>
      </c>
      <c r="D61" s="100">
        <f t="shared" ref="D61:AN61" si="8">SUM(D62:D74)</f>
        <v>32661181.039999999</v>
      </c>
      <c r="E61" s="101">
        <f t="shared" si="8"/>
        <v>0</v>
      </c>
      <c r="F61" s="101">
        <f t="shared" si="8"/>
        <v>110022</v>
      </c>
      <c r="G61" s="101">
        <f t="shared" si="8"/>
        <v>1221019</v>
      </c>
      <c r="H61" s="101">
        <f t="shared" si="8"/>
        <v>773517</v>
      </c>
      <c r="I61" s="101">
        <f t="shared" si="8"/>
        <v>1159725</v>
      </c>
      <c r="J61" s="101">
        <f t="shared" si="8"/>
        <v>918888</v>
      </c>
      <c r="K61" s="101">
        <f t="shared" si="8"/>
        <v>659450</v>
      </c>
      <c r="L61" s="101">
        <f t="shared" si="8"/>
        <v>743069</v>
      </c>
      <c r="M61" s="101">
        <f t="shared" si="8"/>
        <v>1653414</v>
      </c>
      <c r="N61" s="101">
        <f t="shared" si="8"/>
        <v>1832334</v>
      </c>
      <c r="O61" s="101">
        <f t="shared" si="8"/>
        <v>606208</v>
      </c>
      <c r="P61" s="101">
        <f t="shared" si="8"/>
        <v>724593</v>
      </c>
      <c r="Q61" s="101">
        <f t="shared" si="8"/>
        <v>0</v>
      </c>
      <c r="R61" s="101">
        <f t="shared" si="8"/>
        <v>1576832</v>
      </c>
      <c r="S61" s="101">
        <f t="shared" si="8"/>
        <v>1189240</v>
      </c>
      <c r="T61" s="101">
        <f t="shared" si="8"/>
        <v>614728</v>
      </c>
      <c r="U61" s="101">
        <f t="shared" si="8"/>
        <v>15272</v>
      </c>
      <c r="V61" s="101">
        <f t="shared" si="8"/>
        <v>544192</v>
      </c>
      <c r="W61" s="101">
        <f t="shared" si="8"/>
        <v>1283508</v>
      </c>
      <c r="X61" s="101">
        <f t="shared" si="8"/>
        <v>1242120</v>
      </c>
      <c r="Y61" s="101">
        <f t="shared" si="8"/>
        <v>827549.8</v>
      </c>
      <c r="Z61" s="101">
        <f t="shared" si="8"/>
        <v>380027.4</v>
      </c>
      <c r="AA61" s="101">
        <f t="shared" si="8"/>
        <v>523896</v>
      </c>
      <c r="AB61" s="101">
        <f t="shared" si="8"/>
        <v>1754170</v>
      </c>
      <c r="AC61" s="101">
        <f t="shared" si="8"/>
        <v>908210.8</v>
      </c>
      <c r="AD61" s="101">
        <f t="shared" si="8"/>
        <v>882277</v>
      </c>
      <c r="AE61" s="101">
        <f t="shared" si="8"/>
        <v>722232</v>
      </c>
      <c r="AF61" s="101">
        <f t="shared" si="8"/>
        <v>1229330.8400000001</v>
      </c>
      <c r="AG61" s="101">
        <f t="shared" si="8"/>
        <v>1112346</v>
      </c>
      <c r="AH61" s="101">
        <f t="shared" si="8"/>
        <v>993747.8</v>
      </c>
      <c r="AI61" s="101">
        <f t="shared" si="8"/>
        <v>709821</v>
      </c>
      <c r="AJ61" s="101">
        <f t="shared" si="8"/>
        <v>765760</v>
      </c>
      <c r="AK61" s="101">
        <f t="shared" si="8"/>
        <v>1155683</v>
      </c>
      <c r="AL61" s="101">
        <f t="shared" si="8"/>
        <v>1136647.3999999999</v>
      </c>
      <c r="AM61" s="101">
        <f t="shared" si="8"/>
        <v>1043255.2</v>
      </c>
      <c r="AN61" s="101">
        <f t="shared" si="8"/>
        <v>375845.8</v>
      </c>
    </row>
    <row r="62" spans="1:40">
      <c r="B62" s="96" t="s">
        <v>47</v>
      </c>
      <c r="C62" s="111">
        <v>52</v>
      </c>
      <c r="D62" s="97">
        <f t="shared" ref="D62:AN68" si="9">D28*$C62</f>
        <v>20770100</v>
      </c>
      <c r="E62" s="104">
        <f t="shared" si="9"/>
        <v>0</v>
      </c>
      <c r="F62" s="104">
        <f t="shared" si="9"/>
        <v>6188</v>
      </c>
      <c r="G62" s="104">
        <f t="shared" si="9"/>
        <v>24700</v>
      </c>
      <c r="H62" s="104">
        <f t="shared" si="9"/>
        <v>24596</v>
      </c>
      <c r="I62" s="104">
        <f t="shared" si="9"/>
        <v>139308</v>
      </c>
      <c r="J62" s="104">
        <f t="shared" si="9"/>
        <v>29640</v>
      </c>
      <c r="K62" s="104">
        <f t="shared" si="9"/>
        <v>66144</v>
      </c>
      <c r="L62" s="104">
        <f t="shared" si="9"/>
        <v>143676</v>
      </c>
      <c r="M62" s="104">
        <f t="shared" si="9"/>
        <v>211848</v>
      </c>
      <c r="N62" s="104">
        <f t="shared" si="9"/>
        <v>285636</v>
      </c>
      <c r="O62" s="104">
        <f t="shared" si="9"/>
        <v>32188</v>
      </c>
      <c r="P62" s="104">
        <f t="shared" si="9"/>
        <v>563108</v>
      </c>
      <c r="Q62" s="104">
        <f t="shared" si="9"/>
        <v>0</v>
      </c>
      <c r="R62" s="104">
        <f t="shared" si="9"/>
        <v>1576432</v>
      </c>
      <c r="S62" s="104">
        <f t="shared" si="9"/>
        <v>1189240</v>
      </c>
      <c r="T62" s="104">
        <f t="shared" si="9"/>
        <v>614328</v>
      </c>
      <c r="U62" s="104">
        <f t="shared" si="9"/>
        <v>14872</v>
      </c>
      <c r="V62" s="104">
        <f t="shared" si="9"/>
        <v>496860</v>
      </c>
      <c r="W62" s="104">
        <f t="shared" si="9"/>
        <v>1247896</v>
      </c>
      <c r="X62" s="104">
        <f t="shared" si="9"/>
        <v>1138696</v>
      </c>
      <c r="Y62" s="104">
        <f t="shared" si="9"/>
        <v>795704</v>
      </c>
      <c r="Z62" s="104">
        <f t="shared" si="9"/>
        <v>292760</v>
      </c>
      <c r="AA62" s="104">
        <f t="shared" si="9"/>
        <v>473564</v>
      </c>
      <c r="AB62" s="104">
        <f t="shared" si="9"/>
        <v>1730716</v>
      </c>
      <c r="AC62" s="104">
        <f t="shared" si="9"/>
        <v>841308</v>
      </c>
      <c r="AD62" s="104">
        <f t="shared" si="9"/>
        <v>630552</v>
      </c>
      <c r="AE62" s="104">
        <f t="shared" si="9"/>
        <v>653432</v>
      </c>
      <c r="AF62" s="104">
        <f t="shared" si="9"/>
        <v>1133548</v>
      </c>
      <c r="AG62" s="104">
        <f t="shared" si="9"/>
        <v>1007188</v>
      </c>
      <c r="AH62" s="104">
        <f t="shared" si="9"/>
        <v>874536</v>
      </c>
      <c r="AI62" s="104">
        <f t="shared" si="9"/>
        <v>577200</v>
      </c>
      <c r="AJ62" s="104">
        <f t="shared" si="9"/>
        <v>563056</v>
      </c>
      <c r="AK62" s="104">
        <f t="shared" si="9"/>
        <v>990652</v>
      </c>
      <c r="AL62" s="104">
        <f t="shared" si="9"/>
        <v>1045512</v>
      </c>
      <c r="AM62" s="104">
        <f t="shared" si="9"/>
        <v>985348</v>
      </c>
      <c r="AN62" s="104">
        <f t="shared" si="9"/>
        <v>369668</v>
      </c>
    </row>
    <row r="63" spans="1:40">
      <c r="B63" s="96" t="s">
        <v>49</v>
      </c>
      <c r="C63" s="111">
        <v>25</v>
      </c>
      <c r="D63" s="97">
        <f t="shared" si="9"/>
        <v>718475</v>
      </c>
      <c r="E63" s="104">
        <f t="shared" si="9"/>
        <v>0</v>
      </c>
      <c r="F63" s="104">
        <f t="shared" si="9"/>
        <v>3525</v>
      </c>
      <c r="G63" s="104">
        <f t="shared" si="9"/>
        <v>3550</v>
      </c>
      <c r="H63" s="104">
        <f t="shared" si="9"/>
        <v>5925</v>
      </c>
      <c r="I63" s="104">
        <f t="shared" si="9"/>
        <v>8225</v>
      </c>
      <c r="J63" s="104">
        <f t="shared" si="9"/>
        <v>5350</v>
      </c>
      <c r="K63" s="104">
        <f t="shared" si="9"/>
        <v>3525</v>
      </c>
      <c r="L63" s="104">
        <f t="shared" si="9"/>
        <v>2350</v>
      </c>
      <c r="M63" s="104">
        <f t="shared" si="9"/>
        <v>2375</v>
      </c>
      <c r="N63" s="104">
        <f t="shared" si="9"/>
        <v>2350</v>
      </c>
      <c r="O63" s="104">
        <f t="shared" si="9"/>
        <v>0</v>
      </c>
      <c r="P63" s="104">
        <f t="shared" si="9"/>
        <v>4775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14100</v>
      </c>
      <c r="W63" s="104">
        <f t="shared" si="9"/>
        <v>4700</v>
      </c>
      <c r="X63" s="104">
        <f t="shared" si="9"/>
        <v>11150</v>
      </c>
      <c r="Y63" s="104">
        <f t="shared" si="9"/>
        <v>9400</v>
      </c>
      <c r="Z63" s="104">
        <f t="shared" si="9"/>
        <v>54050</v>
      </c>
      <c r="AA63" s="104">
        <f t="shared" si="9"/>
        <v>16450</v>
      </c>
      <c r="AB63" s="104">
        <f t="shared" si="9"/>
        <v>0</v>
      </c>
      <c r="AC63" s="104">
        <f t="shared" si="9"/>
        <v>43475</v>
      </c>
      <c r="AD63" s="104">
        <f t="shared" si="9"/>
        <v>238525</v>
      </c>
      <c r="AE63" s="104">
        <f t="shared" si="9"/>
        <v>56400</v>
      </c>
      <c r="AF63" s="104">
        <f t="shared" si="9"/>
        <v>69625</v>
      </c>
      <c r="AG63" s="104">
        <f t="shared" si="9"/>
        <v>9400</v>
      </c>
      <c r="AH63" s="104">
        <f t="shared" si="9"/>
        <v>0</v>
      </c>
      <c r="AI63" s="104">
        <f t="shared" si="9"/>
        <v>28200</v>
      </c>
      <c r="AJ63" s="104">
        <f t="shared" si="9"/>
        <v>75200</v>
      </c>
      <c r="AK63" s="104">
        <f t="shared" si="9"/>
        <v>17650</v>
      </c>
      <c r="AL63" s="104">
        <f t="shared" si="9"/>
        <v>18800</v>
      </c>
      <c r="AM63" s="104">
        <f t="shared" si="9"/>
        <v>9400</v>
      </c>
      <c r="AN63" s="104">
        <f t="shared" si="9"/>
        <v>0</v>
      </c>
    </row>
    <row r="64" spans="1:40">
      <c r="B64" s="96" t="s">
        <v>50</v>
      </c>
      <c r="C64" s="111">
        <v>21</v>
      </c>
      <c r="D64" s="97">
        <f t="shared" si="9"/>
        <v>8431227</v>
      </c>
      <c r="E64" s="104">
        <f t="shared" si="9"/>
        <v>0</v>
      </c>
      <c r="F64" s="104">
        <f t="shared" si="9"/>
        <v>99477</v>
      </c>
      <c r="G64" s="104">
        <f t="shared" si="9"/>
        <v>1183329</v>
      </c>
      <c r="H64" s="104">
        <f t="shared" si="9"/>
        <v>692916</v>
      </c>
      <c r="I64" s="104">
        <f t="shared" si="9"/>
        <v>1001112</v>
      </c>
      <c r="J64" s="104">
        <f t="shared" si="9"/>
        <v>832146</v>
      </c>
      <c r="K64" s="104">
        <f t="shared" si="9"/>
        <v>513429</v>
      </c>
      <c r="L64" s="104">
        <f t="shared" si="9"/>
        <v>585795</v>
      </c>
      <c r="M64" s="104">
        <f t="shared" si="9"/>
        <v>1434447</v>
      </c>
      <c r="N64" s="104">
        <f t="shared" si="9"/>
        <v>1520148</v>
      </c>
      <c r="O64" s="104">
        <f t="shared" si="9"/>
        <v>564480</v>
      </c>
      <c r="P64" s="104">
        <f t="shared" si="9"/>
        <v>0</v>
      </c>
      <c r="Q64" s="104">
        <f t="shared" si="9"/>
        <v>0</v>
      </c>
      <c r="R64" s="104">
        <f t="shared" si="9"/>
        <v>0</v>
      </c>
      <c r="S64" s="104">
        <f t="shared" si="9"/>
        <v>0</v>
      </c>
      <c r="T64" s="104">
        <f t="shared" si="9"/>
        <v>0</v>
      </c>
      <c r="U64" s="104">
        <f t="shared" si="9"/>
        <v>0</v>
      </c>
      <c r="V64" s="104">
        <f t="shared" si="9"/>
        <v>0</v>
      </c>
      <c r="W64" s="104">
        <f t="shared" si="9"/>
        <v>0</v>
      </c>
      <c r="X64" s="104">
        <f t="shared" si="9"/>
        <v>0</v>
      </c>
      <c r="Y64" s="104">
        <f t="shared" si="9"/>
        <v>0</v>
      </c>
      <c r="Z64" s="104">
        <f t="shared" si="9"/>
        <v>1974</v>
      </c>
      <c r="AA64" s="104">
        <f t="shared" si="9"/>
        <v>1974</v>
      </c>
      <c r="AB64" s="104">
        <f t="shared" si="9"/>
        <v>0</v>
      </c>
      <c r="AC64" s="104">
        <f t="shared" si="9"/>
        <v>0</v>
      </c>
      <c r="AD64" s="104">
        <f t="shared" si="9"/>
        <v>0</v>
      </c>
      <c r="AE64" s="104">
        <f t="shared" si="9"/>
        <v>0</v>
      </c>
      <c r="AF64" s="104">
        <f t="shared" si="9"/>
        <v>0</v>
      </c>
      <c r="AG64" s="104">
        <f t="shared" si="9"/>
        <v>0</v>
      </c>
      <c r="AH64" s="104">
        <f t="shared" si="9"/>
        <v>0</v>
      </c>
      <c r="AI64" s="104">
        <f t="shared" si="9"/>
        <v>0</v>
      </c>
      <c r="AJ64" s="104">
        <f t="shared" si="9"/>
        <v>0</v>
      </c>
      <c r="AK64" s="104">
        <f t="shared" si="9"/>
        <v>0</v>
      </c>
      <c r="AL64" s="104">
        <f t="shared" si="9"/>
        <v>0</v>
      </c>
      <c r="AM64" s="104">
        <f t="shared" si="9"/>
        <v>0</v>
      </c>
      <c r="AN64" s="104">
        <f t="shared" si="9"/>
        <v>0</v>
      </c>
    </row>
    <row r="65" spans="2:40">
      <c r="B65" s="96" t="s">
        <v>51</v>
      </c>
      <c r="C65" s="111">
        <v>15</v>
      </c>
      <c r="D65" s="97">
        <f t="shared" si="9"/>
        <v>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9"/>
        <v>0</v>
      </c>
      <c r="AL65" s="104">
        <f t="shared" si="9"/>
        <v>0</v>
      </c>
      <c r="AM65" s="104">
        <f t="shared" si="9"/>
        <v>0</v>
      </c>
      <c r="AN65" s="104">
        <f t="shared" si="9"/>
        <v>0</v>
      </c>
    </row>
    <row r="66" spans="2:40">
      <c r="B66" s="96" t="s">
        <v>52</v>
      </c>
      <c r="C66" s="111">
        <v>12</v>
      </c>
      <c r="D66" s="97">
        <f t="shared" si="9"/>
        <v>557424</v>
      </c>
      <c r="E66" s="104">
        <f t="shared" si="9"/>
        <v>0</v>
      </c>
      <c r="F66" s="104">
        <f t="shared" si="9"/>
        <v>0</v>
      </c>
      <c r="G66" s="104">
        <f t="shared" si="9"/>
        <v>8640</v>
      </c>
      <c r="H66" s="104">
        <f t="shared" si="9"/>
        <v>47304</v>
      </c>
      <c r="I66" s="104">
        <f t="shared" si="9"/>
        <v>9288</v>
      </c>
      <c r="J66" s="104">
        <f t="shared" si="9"/>
        <v>49464</v>
      </c>
      <c r="K66" s="104">
        <f t="shared" si="9"/>
        <v>74304</v>
      </c>
      <c r="L66" s="104">
        <f t="shared" si="9"/>
        <v>9936</v>
      </c>
      <c r="M66" s="104">
        <f t="shared" si="9"/>
        <v>3192</v>
      </c>
      <c r="N66" s="104">
        <f t="shared" si="9"/>
        <v>22680</v>
      </c>
      <c r="O66" s="104">
        <f t="shared" si="9"/>
        <v>3240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12768</v>
      </c>
      <c r="W66" s="104">
        <f t="shared" si="9"/>
        <v>21888</v>
      </c>
      <c r="X66" s="104">
        <f t="shared" si="9"/>
        <v>33120</v>
      </c>
      <c r="Y66" s="104">
        <f t="shared" si="9"/>
        <v>6240</v>
      </c>
      <c r="Z66" s="104">
        <f t="shared" si="9"/>
        <v>10800</v>
      </c>
      <c r="AA66" s="104">
        <f t="shared" si="9"/>
        <v>0</v>
      </c>
      <c r="AB66" s="104">
        <f t="shared" si="9"/>
        <v>0</v>
      </c>
      <c r="AC66" s="104">
        <f t="shared" si="9"/>
        <v>5520</v>
      </c>
      <c r="AD66" s="104">
        <f t="shared" si="9"/>
        <v>0</v>
      </c>
      <c r="AE66" s="104">
        <f t="shared" si="9"/>
        <v>0</v>
      </c>
      <c r="AF66" s="104">
        <f t="shared" si="9"/>
        <v>2160</v>
      </c>
      <c r="AG66" s="104">
        <f t="shared" si="9"/>
        <v>18960</v>
      </c>
      <c r="AH66" s="104">
        <f t="shared" si="9"/>
        <v>18720</v>
      </c>
      <c r="AI66" s="104">
        <f t="shared" si="9"/>
        <v>37680</v>
      </c>
      <c r="AJ66" s="104">
        <f t="shared" si="9"/>
        <v>84000</v>
      </c>
      <c r="AK66" s="104">
        <f t="shared" si="9"/>
        <v>37680</v>
      </c>
      <c r="AL66" s="104">
        <f t="shared" si="9"/>
        <v>18240</v>
      </c>
      <c r="AM66" s="104">
        <f t="shared" si="9"/>
        <v>20640</v>
      </c>
      <c r="AN66" s="104">
        <f t="shared" si="9"/>
        <v>960</v>
      </c>
    </row>
    <row r="67" spans="2:40">
      <c r="B67" s="96" t="s">
        <v>53</v>
      </c>
      <c r="C67" s="111">
        <v>19</v>
      </c>
      <c r="D67" s="97">
        <f t="shared" si="9"/>
        <v>144210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144210</v>
      </c>
      <c r="Q67" s="104">
        <f t="shared" si="9"/>
        <v>0</v>
      </c>
      <c r="R67" s="104">
        <f t="shared" si="9"/>
        <v>0</v>
      </c>
      <c r="S67" s="104">
        <f t="shared" si="9"/>
        <v>0</v>
      </c>
      <c r="T67" s="104">
        <f t="shared" si="9"/>
        <v>0</v>
      </c>
      <c r="U67" s="104">
        <f t="shared" si="9"/>
        <v>0</v>
      </c>
      <c r="V67" s="104">
        <f t="shared" si="9"/>
        <v>0</v>
      </c>
      <c r="W67" s="104">
        <f t="shared" si="9"/>
        <v>0</v>
      </c>
      <c r="X67" s="104">
        <f t="shared" si="9"/>
        <v>0</v>
      </c>
      <c r="Y67" s="104">
        <f t="shared" si="9"/>
        <v>0</v>
      </c>
      <c r="Z67" s="104">
        <f t="shared" si="9"/>
        <v>0</v>
      </c>
      <c r="AA67" s="104">
        <f t="shared" si="9"/>
        <v>0</v>
      </c>
      <c r="AB67" s="104">
        <f t="shared" si="9"/>
        <v>0</v>
      </c>
      <c r="AC67" s="104">
        <f t="shared" si="9"/>
        <v>0</v>
      </c>
      <c r="AD67" s="104">
        <f t="shared" si="9"/>
        <v>0</v>
      </c>
      <c r="AE67" s="104">
        <f t="shared" si="9"/>
        <v>0</v>
      </c>
      <c r="AF67" s="104">
        <f t="shared" si="9"/>
        <v>0</v>
      </c>
      <c r="AG67" s="104">
        <f t="shared" si="9"/>
        <v>0</v>
      </c>
      <c r="AH67" s="104">
        <f t="shared" si="9"/>
        <v>0</v>
      </c>
      <c r="AI67" s="104">
        <f t="shared" si="9"/>
        <v>0</v>
      </c>
      <c r="AJ67" s="104">
        <f t="shared" si="9"/>
        <v>0</v>
      </c>
      <c r="AK67" s="104">
        <f t="shared" si="9"/>
        <v>0</v>
      </c>
      <c r="AL67" s="104">
        <f t="shared" si="9"/>
        <v>0</v>
      </c>
      <c r="AM67" s="104">
        <f t="shared" si="9"/>
        <v>0</v>
      </c>
      <c r="AN67" s="104">
        <f t="shared" si="9"/>
        <v>0</v>
      </c>
    </row>
    <row r="68" spans="2:40">
      <c r="B68" s="96" t="s">
        <v>54</v>
      </c>
      <c r="C68" s="111">
        <v>10</v>
      </c>
      <c r="D68" s="97">
        <f t="shared" si="9"/>
        <v>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0</v>
      </c>
      <c r="AB68" s="104">
        <f t="shared" si="9"/>
        <v>0</v>
      </c>
      <c r="AC68" s="104">
        <f t="shared" si="9"/>
        <v>0</v>
      </c>
      <c r="AD68" s="104">
        <f t="shared" si="9"/>
        <v>0</v>
      </c>
      <c r="AE68" s="104">
        <f t="shared" si="9"/>
        <v>0</v>
      </c>
      <c r="AF68" s="104">
        <f t="shared" si="9"/>
        <v>0</v>
      </c>
      <c r="AG68" s="104">
        <f t="shared" si="9"/>
        <v>0</v>
      </c>
      <c r="AH68" s="104">
        <f t="shared" si="9"/>
        <v>0</v>
      </c>
      <c r="AI68" s="104">
        <f t="shared" si="9"/>
        <v>0</v>
      </c>
      <c r="AJ68" s="104">
        <f t="shared" si="9"/>
        <v>0</v>
      </c>
      <c r="AK68" s="104">
        <f t="shared" ref="AK68:AN68" si="10">AK34*$C68</f>
        <v>0</v>
      </c>
      <c r="AL68" s="104">
        <f t="shared" si="10"/>
        <v>0</v>
      </c>
      <c r="AM68" s="104">
        <f t="shared" si="10"/>
        <v>0</v>
      </c>
      <c r="AN68" s="104">
        <f t="shared" si="10"/>
        <v>0</v>
      </c>
    </row>
    <row r="69" spans="2:40">
      <c r="B69" s="96" t="s">
        <v>55</v>
      </c>
      <c r="C69" s="111">
        <v>50</v>
      </c>
      <c r="D69" s="97">
        <f t="shared" ref="D69:AN73" si="11">D35*$C69</f>
        <v>536000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6300</v>
      </c>
      <c r="P69" s="104">
        <f t="shared" si="11"/>
        <v>12500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15000</v>
      </c>
      <c r="W69" s="104">
        <f t="shared" si="11"/>
        <v>5200</v>
      </c>
      <c r="X69" s="104">
        <f t="shared" si="11"/>
        <v>50300</v>
      </c>
      <c r="Y69" s="104">
        <f t="shared" si="11"/>
        <v>5250</v>
      </c>
      <c r="Z69" s="104">
        <f t="shared" si="11"/>
        <v>8400</v>
      </c>
      <c r="AA69" s="104">
        <f t="shared" si="11"/>
        <v>2100</v>
      </c>
      <c r="AB69" s="104">
        <f t="shared" si="11"/>
        <v>3150</v>
      </c>
      <c r="AC69" s="104">
        <f t="shared" si="11"/>
        <v>5200</v>
      </c>
      <c r="AD69" s="104">
        <f t="shared" si="11"/>
        <v>0</v>
      </c>
      <c r="AE69" s="104">
        <f t="shared" si="11"/>
        <v>0</v>
      </c>
      <c r="AF69" s="104">
        <f t="shared" si="11"/>
        <v>19000</v>
      </c>
      <c r="AG69" s="104">
        <f t="shared" si="11"/>
        <v>65600</v>
      </c>
      <c r="AH69" s="104">
        <f t="shared" si="11"/>
        <v>86100</v>
      </c>
      <c r="AI69" s="104">
        <f t="shared" si="11"/>
        <v>56700</v>
      </c>
      <c r="AJ69" s="104">
        <f t="shared" si="11"/>
        <v>35650</v>
      </c>
      <c r="AK69" s="104">
        <f t="shared" si="11"/>
        <v>91350</v>
      </c>
      <c r="AL69" s="104">
        <f t="shared" si="11"/>
        <v>45150</v>
      </c>
      <c r="AM69" s="104">
        <f t="shared" si="11"/>
        <v>19900</v>
      </c>
      <c r="AN69" s="104">
        <f t="shared" si="11"/>
        <v>3150</v>
      </c>
    </row>
    <row r="70" spans="2:40">
      <c r="B70" s="96" t="s">
        <v>56</v>
      </c>
      <c r="C70" s="111">
        <v>27.39</v>
      </c>
      <c r="D70" s="97">
        <f t="shared" si="11"/>
        <v>63983.040000000001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5478</v>
      </c>
      <c r="Y70" s="104">
        <f t="shared" si="11"/>
        <v>547.79999999999995</v>
      </c>
      <c r="Z70" s="104">
        <f t="shared" si="11"/>
        <v>1643.4</v>
      </c>
      <c r="AA70" s="104">
        <f t="shared" si="11"/>
        <v>0</v>
      </c>
      <c r="AB70" s="104">
        <f t="shared" si="11"/>
        <v>0</v>
      </c>
      <c r="AC70" s="104">
        <f t="shared" si="11"/>
        <v>547.79999999999995</v>
      </c>
      <c r="AD70" s="104">
        <f t="shared" si="11"/>
        <v>0</v>
      </c>
      <c r="AE70" s="104">
        <f t="shared" si="11"/>
        <v>0</v>
      </c>
      <c r="AF70" s="104">
        <f t="shared" si="11"/>
        <v>1533.8400000000001</v>
      </c>
      <c r="AG70" s="104">
        <f t="shared" si="11"/>
        <v>5478</v>
      </c>
      <c r="AH70" s="104">
        <f t="shared" si="11"/>
        <v>11503.800000000001</v>
      </c>
      <c r="AI70" s="104">
        <f t="shared" si="11"/>
        <v>8217</v>
      </c>
      <c r="AJ70" s="104">
        <f t="shared" si="11"/>
        <v>5478</v>
      </c>
      <c r="AK70" s="104">
        <f t="shared" si="11"/>
        <v>13695</v>
      </c>
      <c r="AL70" s="104">
        <f t="shared" si="11"/>
        <v>7121.4000000000005</v>
      </c>
      <c r="AM70" s="104">
        <f t="shared" si="11"/>
        <v>2191.1999999999998</v>
      </c>
      <c r="AN70" s="104">
        <f t="shared" si="11"/>
        <v>547.79999999999995</v>
      </c>
    </row>
    <row r="71" spans="2:40">
      <c r="B71" s="96" t="s">
        <v>57</v>
      </c>
      <c r="C71" s="111">
        <v>20</v>
      </c>
      <c r="D71" s="97">
        <f t="shared" si="11"/>
        <v>0</v>
      </c>
      <c r="E71" s="104">
        <f t="shared" si="11"/>
        <v>0</v>
      </c>
      <c r="F71" s="104">
        <f t="shared" si="11"/>
        <v>0</v>
      </c>
      <c r="G71" s="104">
        <f t="shared" si="11"/>
        <v>0</v>
      </c>
      <c r="H71" s="104">
        <f t="shared" si="11"/>
        <v>0</v>
      </c>
      <c r="I71" s="104">
        <f t="shared" si="11"/>
        <v>0</v>
      </c>
      <c r="J71" s="104">
        <f t="shared" si="11"/>
        <v>0</v>
      </c>
      <c r="K71" s="104">
        <f t="shared" si="11"/>
        <v>0</v>
      </c>
      <c r="L71" s="104">
        <f t="shared" si="11"/>
        <v>0</v>
      </c>
      <c r="M71" s="104">
        <f t="shared" si="11"/>
        <v>0</v>
      </c>
      <c r="N71" s="104">
        <f t="shared" si="11"/>
        <v>0</v>
      </c>
      <c r="O71" s="104">
        <f t="shared" si="11"/>
        <v>0</v>
      </c>
      <c r="P71" s="104">
        <f t="shared" si="11"/>
        <v>0</v>
      </c>
      <c r="Q71" s="104">
        <f t="shared" si="11"/>
        <v>0</v>
      </c>
      <c r="R71" s="104">
        <f t="shared" si="11"/>
        <v>0</v>
      </c>
      <c r="S71" s="104">
        <f t="shared" si="11"/>
        <v>0</v>
      </c>
      <c r="T71" s="104">
        <f t="shared" si="11"/>
        <v>0</v>
      </c>
      <c r="U71" s="104">
        <f t="shared" si="11"/>
        <v>0</v>
      </c>
      <c r="V71" s="104">
        <f t="shared" si="11"/>
        <v>0</v>
      </c>
      <c r="W71" s="104">
        <f t="shared" si="11"/>
        <v>0</v>
      </c>
      <c r="X71" s="104">
        <f t="shared" si="11"/>
        <v>0</v>
      </c>
      <c r="Y71" s="104">
        <f t="shared" si="11"/>
        <v>0</v>
      </c>
      <c r="Z71" s="104">
        <f t="shared" si="11"/>
        <v>0</v>
      </c>
      <c r="AA71" s="104">
        <f t="shared" si="11"/>
        <v>0</v>
      </c>
      <c r="AB71" s="104">
        <f t="shared" si="11"/>
        <v>0</v>
      </c>
      <c r="AC71" s="104">
        <f t="shared" si="11"/>
        <v>0</v>
      </c>
      <c r="AD71" s="104">
        <f t="shared" si="11"/>
        <v>0</v>
      </c>
      <c r="AE71" s="104">
        <f t="shared" si="11"/>
        <v>0</v>
      </c>
      <c r="AF71" s="104">
        <f t="shared" si="11"/>
        <v>0</v>
      </c>
      <c r="AG71" s="104">
        <f t="shared" si="11"/>
        <v>0</v>
      </c>
      <c r="AH71" s="104">
        <f t="shared" si="11"/>
        <v>0</v>
      </c>
      <c r="AI71" s="104">
        <f t="shared" si="11"/>
        <v>0</v>
      </c>
      <c r="AJ71" s="104">
        <f t="shared" si="11"/>
        <v>0</v>
      </c>
      <c r="AK71" s="104">
        <f t="shared" si="11"/>
        <v>0</v>
      </c>
      <c r="AL71" s="104">
        <f t="shared" si="11"/>
        <v>0</v>
      </c>
      <c r="AM71" s="104">
        <f t="shared" si="11"/>
        <v>0</v>
      </c>
      <c r="AN71" s="104">
        <f t="shared" si="11"/>
        <v>0</v>
      </c>
    </row>
    <row r="72" spans="2:40">
      <c r="B72" s="96" t="s">
        <v>58</v>
      </c>
      <c r="C72" s="111">
        <v>43</v>
      </c>
      <c r="D72" s="97">
        <f t="shared" si="11"/>
        <v>0</v>
      </c>
      <c r="E72" s="104">
        <f t="shared" si="11"/>
        <v>0</v>
      </c>
      <c r="F72" s="104">
        <f t="shared" si="11"/>
        <v>0</v>
      </c>
      <c r="G72" s="104">
        <f t="shared" si="11"/>
        <v>0</v>
      </c>
      <c r="H72" s="104">
        <f t="shared" si="11"/>
        <v>0</v>
      </c>
      <c r="I72" s="104">
        <f t="shared" si="11"/>
        <v>0</v>
      </c>
      <c r="J72" s="104">
        <f t="shared" si="11"/>
        <v>0</v>
      </c>
      <c r="K72" s="104">
        <f t="shared" si="11"/>
        <v>0</v>
      </c>
      <c r="L72" s="104">
        <f t="shared" si="11"/>
        <v>0</v>
      </c>
      <c r="M72" s="104">
        <f t="shared" si="11"/>
        <v>0</v>
      </c>
      <c r="N72" s="104">
        <f t="shared" si="11"/>
        <v>0</v>
      </c>
      <c r="O72" s="104">
        <f t="shared" si="11"/>
        <v>0</v>
      </c>
      <c r="P72" s="104">
        <f t="shared" si="11"/>
        <v>0</v>
      </c>
      <c r="Q72" s="104">
        <f t="shared" si="11"/>
        <v>0</v>
      </c>
      <c r="R72" s="104">
        <f t="shared" si="11"/>
        <v>0</v>
      </c>
      <c r="S72" s="104">
        <f t="shared" si="11"/>
        <v>0</v>
      </c>
      <c r="T72" s="104">
        <f t="shared" si="11"/>
        <v>0</v>
      </c>
      <c r="U72" s="104">
        <f t="shared" si="11"/>
        <v>0</v>
      </c>
      <c r="V72" s="104">
        <f t="shared" si="11"/>
        <v>0</v>
      </c>
      <c r="W72" s="104">
        <f t="shared" si="11"/>
        <v>0</v>
      </c>
      <c r="X72" s="104">
        <f t="shared" si="11"/>
        <v>0</v>
      </c>
      <c r="Y72" s="104">
        <f t="shared" si="11"/>
        <v>0</v>
      </c>
      <c r="Z72" s="104">
        <f t="shared" si="11"/>
        <v>0</v>
      </c>
      <c r="AA72" s="104">
        <f t="shared" si="11"/>
        <v>0</v>
      </c>
      <c r="AB72" s="104">
        <f t="shared" si="11"/>
        <v>0</v>
      </c>
      <c r="AC72" s="104">
        <f t="shared" si="11"/>
        <v>0</v>
      </c>
      <c r="AD72" s="104">
        <f t="shared" si="11"/>
        <v>0</v>
      </c>
      <c r="AE72" s="104">
        <f t="shared" si="11"/>
        <v>0</v>
      </c>
      <c r="AF72" s="104">
        <f t="shared" si="11"/>
        <v>0</v>
      </c>
      <c r="AG72" s="104">
        <f t="shared" si="11"/>
        <v>0</v>
      </c>
      <c r="AH72" s="104">
        <f t="shared" si="11"/>
        <v>0</v>
      </c>
      <c r="AI72" s="104">
        <f t="shared" si="11"/>
        <v>0</v>
      </c>
      <c r="AJ72" s="104">
        <f t="shared" si="11"/>
        <v>0</v>
      </c>
      <c r="AK72" s="104">
        <f t="shared" si="11"/>
        <v>0</v>
      </c>
      <c r="AL72" s="104">
        <f t="shared" si="11"/>
        <v>0</v>
      </c>
      <c r="AM72" s="104">
        <f t="shared" si="11"/>
        <v>0</v>
      </c>
      <c r="AN72" s="104">
        <f t="shared" si="11"/>
        <v>0</v>
      </c>
    </row>
    <row r="73" spans="2:40">
      <c r="B73" s="96" t="s">
        <v>59</v>
      </c>
      <c r="C73" s="112">
        <v>8</v>
      </c>
      <c r="D73" s="97">
        <f t="shared" si="11"/>
        <v>167512</v>
      </c>
      <c r="E73" s="104">
        <f t="shared" si="11"/>
        <v>0</v>
      </c>
      <c r="F73" s="104">
        <f t="shared" si="11"/>
        <v>832</v>
      </c>
      <c r="G73" s="104">
        <f t="shared" si="11"/>
        <v>800</v>
      </c>
      <c r="H73" s="104">
        <f t="shared" si="11"/>
        <v>2776</v>
      </c>
      <c r="I73" s="104">
        <f t="shared" si="11"/>
        <v>1792</v>
      </c>
      <c r="J73" s="104">
        <f t="shared" si="11"/>
        <v>2288</v>
      </c>
      <c r="K73" s="104">
        <f t="shared" si="11"/>
        <v>2048</v>
      </c>
      <c r="L73" s="104">
        <f t="shared" si="11"/>
        <v>1312</v>
      </c>
      <c r="M73" s="104">
        <f t="shared" si="11"/>
        <v>1552</v>
      </c>
      <c r="N73" s="104">
        <f t="shared" si="11"/>
        <v>1520</v>
      </c>
      <c r="O73" s="104">
        <f t="shared" si="11"/>
        <v>0</v>
      </c>
      <c r="P73" s="104">
        <f t="shared" si="11"/>
        <v>0</v>
      </c>
      <c r="Q73" s="104">
        <f t="shared" si="11"/>
        <v>0</v>
      </c>
      <c r="R73" s="104">
        <f t="shared" si="11"/>
        <v>400</v>
      </c>
      <c r="S73" s="104">
        <f t="shared" si="11"/>
        <v>0</v>
      </c>
      <c r="T73" s="104">
        <f t="shared" si="11"/>
        <v>400</v>
      </c>
      <c r="U73" s="104">
        <f t="shared" si="11"/>
        <v>400</v>
      </c>
      <c r="V73" s="104">
        <f t="shared" si="11"/>
        <v>5464</v>
      </c>
      <c r="W73" s="104">
        <f t="shared" si="11"/>
        <v>3824</v>
      </c>
      <c r="X73" s="104">
        <f t="shared" si="11"/>
        <v>3376</v>
      </c>
      <c r="Y73" s="104">
        <f t="shared" si="11"/>
        <v>10408</v>
      </c>
      <c r="Z73" s="104">
        <f t="shared" si="11"/>
        <v>10400</v>
      </c>
      <c r="AA73" s="104">
        <f t="shared" si="11"/>
        <v>29808</v>
      </c>
      <c r="AB73" s="104">
        <f t="shared" si="11"/>
        <v>20304</v>
      </c>
      <c r="AC73" s="104">
        <f t="shared" si="11"/>
        <v>12160</v>
      </c>
      <c r="AD73" s="104">
        <f t="shared" si="11"/>
        <v>13200</v>
      </c>
      <c r="AE73" s="104">
        <f t="shared" si="11"/>
        <v>12400</v>
      </c>
      <c r="AF73" s="104">
        <f t="shared" si="11"/>
        <v>3464</v>
      </c>
      <c r="AG73" s="104">
        <f t="shared" si="11"/>
        <v>5720</v>
      </c>
      <c r="AH73" s="104">
        <f t="shared" si="11"/>
        <v>2888</v>
      </c>
      <c r="AI73" s="104">
        <f t="shared" si="11"/>
        <v>1824</v>
      </c>
      <c r="AJ73" s="104">
        <f t="shared" si="11"/>
        <v>2376</v>
      </c>
      <c r="AK73" s="104">
        <f t="shared" si="11"/>
        <v>4656</v>
      </c>
      <c r="AL73" s="104">
        <f t="shared" si="11"/>
        <v>1824</v>
      </c>
      <c r="AM73" s="104">
        <f t="shared" si="11"/>
        <v>5776</v>
      </c>
      <c r="AN73" s="104">
        <f t="shared" si="11"/>
        <v>1520</v>
      </c>
    </row>
    <row r="74" spans="2:40">
      <c r="B74" s="35" t="s">
        <v>85</v>
      </c>
      <c r="C74" s="113">
        <v>3.5</v>
      </c>
      <c r="D74" s="98">
        <f>D52*C74</f>
        <v>1272250</v>
      </c>
      <c r="E74" s="107">
        <f>E52*$C$74</f>
        <v>0</v>
      </c>
      <c r="F74" s="107">
        <f t="shared" ref="F74:AN74" si="12">F52*E74</f>
        <v>0</v>
      </c>
      <c r="G74" s="107">
        <f t="shared" si="12"/>
        <v>0</v>
      </c>
      <c r="H74" s="107">
        <f t="shared" si="12"/>
        <v>0</v>
      </c>
      <c r="I74" s="107">
        <f t="shared" si="12"/>
        <v>0</v>
      </c>
      <c r="J74" s="107">
        <f t="shared" si="12"/>
        <v>0</v>
      </c>
      <c r="K74" s="107">
        <f t="shared" si="12"/>
        <v>0</v>
      </c>
      <c r="L74" s="107">
        <f t="shared" si="12"/>
        <v>0</v>
      </c>
      <c r="M74" s="107">
        <f t="shared" si="12"/>
        <v>0</v>
      </c>
      <c r="N74" s="107">
        <f t="shared" si="12"/>
        <v>0</v>
      </c>
      <c r="O74" s="107">
        <f t="shared" si="12"/>
        <v>0</v>
      </c>
      <c r="P74" s="107">
        <f t="shared" si="12"/>
        <v>0</v>
      </c>
      <c r="Q74" s="107">
        <f t="shared" si="12"/>
        <v>0</v>
      </c>
      <c r="R74" s="107">
        <f t="shared" si="12"/>
        <v>0</v>
      </c>
      <c r="S74" s="107">
        <f t="shared" si="12"/>
        <v>0</v>
      </c>
      <c r="T74" s="107">
        <f t="shared" si="12"/>
        <v>0</v>
      </c>
      <c r="U74" s="107">
        <f t="shared" si="12"/>
        <v>0</v>
      </c>
      <c r="V74" s="107">
        <f t="shared" si="12"/>
        <v>0</v>
      </c>
      <c r="W74" s="107">
        <f t="shared" si="12"/>
        <v>0</v>
      </c>
      <c r="X74" s="107">
        <f t="shared" si="12"/>
        <v>0</v>
      </c>
      <c r="Y74" s="107">
        <f t="shared" si="12"/>
        <v>0</v>
      </c>
      <c r="Z74" s="107">
        <f t="shared" si="12"/>
        <v>0</v>
      </c>
      <c r="AA74" s="107">
        <f t="shared" si="12"/>
        <v>0</v>
      </c>
      <c r="AB74" s="107">
        <f t="shared" si="12"/>
        <v>0</v>
      </c>
      <c r="AC74" s="107">
        <f t="shared" si="12"/>
        <v>0</v>
      </c>
      <c r="AD74" s="107">
        <f t="shared" si="12"/>
        <v>0</v>
      </c>
      <c r="AE74" s="107">
        <f t="shared" si="12"/>
        <v>0</v>
      </c>
      <c r="AF74" s="107">
        <f t="shared" si="12"/>
        <v>0</v>
      </c>
      <c r="AG74" s="107">
        <f t="shared" si="12"/>
        <v>0</v>
      </c>
      <c r="AH74" s="107">
        <f t="shared" si="12"/>
        <v>0</v>
      </c>
      <c r="AI74" s="107">
        <f t="shared" si="12"/>
        <v>0</v>
      </c>
      <c r="AJ74" s="107">
        <f t="shared" si="12"/>
        <v>0</v>
      </c>
      <c r="AK74" s="107">
        <f t="shared" si="12"/>
        <v>0</v>
      </c>
      <c r="AL74" s="107">
        <f t="shared" si="12"/>
        <v>0</v>
      </c>
      <c r="AM74" s="107">
        <f t="shared" si="12"/>
        <v>0</v>
      </c>
      <c r="AN74" s="107">
        <f t="shared" si="12"/>
        <v>0</v>
      </c>
    </row>
    <row r="75" spans="2:40" ht="15.75">
      <c r="B75" s="250" t="s">
        <v>339</v>
      </c>
      <c r="C75" s="251">
        <f>+D61/D27</f>
        <v>35.590724777920165</v>
      </c>
    </row>
    <row r="77" spans="2:40">
      <c r="B77" s="318" t="s">
        <v>86</v>
      </c>
      <c r="C77" s="319"/>
      <c r="D77" s="108">
        <f>AVERAGEIF(E61:N61, "&gt;0")</f>
        <v>1007937.5555555555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9" spans="2:40">
      <c r="B79" s="12" t="s">
        <v>87</v>
      </c>
      <c r="C79" s="13">
        <v>0.3</v>
      </c>
      <c r="D79" s="232">
        <f>SUM(E80:AN80)</f>
        <v>60000</v>
      </c>
      <c r="E79" s="231">
        <f>E61*$C$79</f>
        <v>0</v>
      </c>
      <c r="F79" s="231">
        <f t="shared" ref="F79:AN79" si="13">SUM(G79:AP79)</f>
        <v>0</v>
      </c>
      <c r="G79" s="231">
        <f t="shared" si="13"/>
        <v>0</v>
      </c>
      <c r="H79" s="231">
        <f t="shared" si="13"/>
        <v>0</v>
      </c>
      <c r="I79" s="231">
        <f t="shared" si="13"/>
        <v>0</v>
      </c>
      <c r="J79" s="231">
        <f t="shared" si="13"/>
        <v>0</v>
      </c>
      <c r="K79" s="231">
        <f t="shared" si="13"/>
        <v>0</v>
      </c>
      <c r="L79" s="231">
        <f t="shared" si="13"/>
        <v>0</v>
      </c>
      <c r="M79" s="231">
        <f t="shared" si="13"/>
        <v>0</v>
      </c>
      <c r="N79" s="231">
        <f t="shared" si="13"/>
        <v>0</v>
      </c>
      <c r="O79" s="231">
        <f t="shared" si="13"/>
        <v>0</v>
      </c>
      <c r="P79" s="231">
        <f t="shared" si="13"/>
        <v>0</v>
      </c>
      <c r="Q79" s="231">
        <f t="shared" si="13"/>
        <v>0</v>
      </c>
      <c r="R79" s="231">
        <f t="shared" si="13"/>
        <v>0</v>
      </c>
      <c r="S79" s="231">
        <f t="shared" si="13"/>
        <v>0</v>
      </c>
      <c r="T79" s="231">
        <f t="shared" si="13"/>
        <v>0</v>
      </c>
      <c r="U79" s="231">
        <f t="shared" si="13"/>
        <v>0</v>
      </c>
      <c r="V79" s="231">
        <f t="shared" si="13"/>
        <v>0</v>
      </c>
      <c r="W79" s="231">
        <f t="shared" si="13"/>
        <v>0</v>
      </c>
      <c r="X79" s="231">
        <f t="shared" si="13"/>
        <v>0</v>
      </c>
      <c r="Y79" s="231">
        <f t="shared" si="13"/>
        <v>0</v>
      </c>
      <c r="Z79" s="231">
        <f t="shared" si="13"/>
        <v>0</v>
      </c>
      <c r="AA79" s="231">
        <f t="shared" si="13"/>
        <v>0</v>
      </c>
      <c r="AB79" s="231">
        <f t="shared" si="13"/>
        <v>0</v>
      </c>
      <c r="AC79" s="231">
        <f t="shared" si="13"/>
        <v>0</v>
      </c>
      <c r="AD79" s="231">
        <f t="shared" si="13"/>
        <v>0</v>
      </c>
      <c r="AE79" s="231">
        <f t="shared" si="13"/>
        <v>0</v>
      </c>
      <c r="AF79" s="231">
        <f t="shared" si="13"/>
        <v>0</v>
      </c>
      <c r="AG79" s="231">
        <f t="shared" si="13"/>
        <v>0</v>
      </c>
      <c r="AH79" s="231">
        <f t="shared" si="13"/>
        <v>0</v>
      </c>
      <c r="AI79" s="231">
        <f t="shared" si="13"/>
        <v>0</v>
      </c>
      <c r="AJ79" s="231">
        <f t="shared" si="13"/>
        <v>0</v>
      </c>
      <c r="AK79" s="231">
        <f t="shared" si="13"/>
        <v>0</v>
      </c>
      <c r="AL79" s="231">
        <f t="shared" si="13"/>
        <v>0</v>
      </c>
      <c r="AM79" s="231">
        <f t="shared" si="13"/>
        <v>0</v>
      </c>
      <c r="AN79" s="231">
        <f t="shared" si="13"/>
        <v>0</v>
      </c>
    </row>
    <row r="80" spans="2:40">
      <c r="B80" s="16" t="s">
        <v>88</v>
      </c>
      <c r="C80" s="17">
        <v>60000</v>
      </c>
      <c r="D80" s="261"/>
      <c r="E80" s="232">
        <f>$C$80</f>
        <v>60000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232">
        <v>0</v>
      </c>
      <c r="S80" s="232">
        <v>0</v>
      </c>
      <c r="T80" s="232">
        <v>0</v>
      </c>
      <c r="U80" s="232">
        <v>0</v>
      </c>
      <c r="V80" s="232">
        <v>0</v>
      </c>
      <c r="W80" s="232">
        <v>0</v>
      </c>
      <c r="X80" s="232">
        <v>0</v>
      </c>
      <c r="Y80" s="232">
        <v>0</v>
      </c>
      <c r="Z80" s="232">
        <v>0</v>
      </c>
      <c r="AA80" s="232">
        <v>0</v>
      </c>
      <c r="AB80" s="232">
        <v>0</v>
      </c>
      <c r="AC80" s="232">
        <v>0</v>
      </c>
      <c r="AD80" s="232">
        <v>0</v>
      </c>
      <c r="AE80" s="232">
        <v>0</v>
      </c>
      <c r="AF80" s="232">
        <v>0</v>
      </c>
      <c r="AG80" s="232">
        <v>0</v>
      </c>
      <c r="AH80" s="232">
        <v>0</v>
      </c>
      <c r="AI80" s="232">
        <v>0</v>
      </c>
      <c r="AJ80" s="232">
        <v>0</v>
      </c>
      <c r="AK80" s="232">
        <v>0</v>
      </c>
      <c r="AL80" s="232">
        <v>0</v>
      </c>
      <c r="AM80" s="232">
        <v>0</v>
      </c>
      <c r="AN80" s="232">
        <v>0</v>
      </c>
    </row>
    <row r="81" spans="2:40">
      <c r="B81" s="16" t="s">
        <v>89</v>
      </c>
      <c r="C81" s="17">
        <v>55000</v>
      </c>
      <c r="D81" s="232">
        <f>SUM(E81:AN81)</f>
        <v>55000</v>
      </c>
      <c r="E81" s="232">
        <f>$C$81</f>
        <v>55000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X81" s="232">
        <v>0</v>
      </c>
      <c r="Y81" s="232">
        <v>0</v>
      </c>
      <c r="Z81" s="232">
        <v>0</v>
      </c>
      <c r="AA81" s="232">
        <v>0</v>
      </c>
      <c r="AB81" s="232">
        <v>0</v>
      </c>
      <c r="AC81" s="232">
        <v>0</v>
      </c>
      <c r="AD81" s="232">
        <v>0</v>
      </c>
      <c r="AE81" s="232">
        <v>0</v>
      </c>
      <c r="AF81" s="232">
        <v>0</v>
      </c>
      <c r="AG81" s="232">
        <v>0</v>
      </c>
      <c r="AH81" s="232">
        <v>0</v>
      </c>
      <c r="AI81" s="232">
        <v>0</v>
      </c>
      <c r="AJ81" s="232">
        <v>0</v>
      </c>
      <c r="AK81" s="232">
        <v>0</v>
      </c>
      <c r="AL81" s="232">
        <v>0</v>
      </c>
      <c r="AM81" s="232">
        <v>0</v>
      </c>
      <c r="AN81" s="232">
        <v>0</v>
      </c>
    </row>
    <row r="82" spans="2:40">
      <c r="B82" s="20" t="s">
        <v>90</v>
      </c>
      <c r="C82" s="21">
        <v>8</v>
      </c>
      <c r="D82" s="233">
        <f>SUM(E82:AN82)</f>
        <v>56000</v>
      </c>
      <c r="E82" s="233">
        <f>$C$82*E43</f>
        <v>56000</v>
      </c>
      <c r="F82" s="233">
        <f t="shared" ref="F82:AN82" si="14">SUM(G82:AP82)</f>
        <v>0</v>
      </c>
      <c r="G82" s="233">
        <f t="shared" si="14"/>
        <v>0</v>
      </c>
      <c r="H82" s="233">
        <f t="shared" si="14"/>
        <v>0</v>
      </c>
      <c r="I82" s="233">
        <f t="shared" si="14"/>
        <v>0</v>
      </c>
      <c r="J82" s="233">
        <f t="shared" si="14"/>
        <v>0</v>
      </c>
      <c r="K82" s="233">
        <f t="shared" si="14"/>
        <v>0</v>
      </c>
      <c r="L82" s="233">
        <f t="shared" si="14"/>
        <v>0</v>
      </c>
      <c r="M82" s="233">
        <f t="shared" si="14"/>
        <v>0</v>
      </c>
      <c r="N82" s="233">
        <f t="shared" si="14"/>
        <v>0</v>
      </c>
      <c r="O82" s="233">
        <f t="shared" si="14"/>
        <v>0</v>
      </c>
      <c r="P82" s="233">
        <f t="shared" si="14"/>
        <v>0</v>
      </c>
      <c r="Q82" s="233">
        <f t="shared" si="14"/>
        <v>0</v>
      </c>
      <c r="R82" s="233">
        <f t="shared" si="14"/>
        <v>0</v>
      </c>
      <c r="S82" s="233">
        <f t="shared" si="14"/>
        <v>0</v>
      </c>
      <c r="T82" s="233">
        <f t="shared" si="14"/>
        <v>0</v>
      </c>
      <c r="U82" s="233">
        <f t="shared" si="14"/>
        <v>0</v>
      </c>
      <c r="V82" s="233">
        <f t="shared" si="14"/>
        <v>0</v>
      </c>
      <c r="W82" s="233">
        <f t="shared" si="14"/>
        <v>0</v>
      </c>
      <c r="X82" s="233">
        <f t="shared" si="14"/>
        <v>0</v>
      </c>
      <c r="Y82" s="233">
        <f t="shared" si="14"/>
        <v>0</v>
      </c>
      <c r="Z82" s="233">
        <f t="shared" si="14"/>
        <v>0</v>
      </c>
      <c r="AA82" s="233">
        <f t="shared" si="14"/>
        <v>0</v>
      </c>
      <c r="AB82" s="233">
        <f t="shared" si="14"/>
        <v>0</v>
      </c>
      <c r="AC82" s="233">
        <f t="shared" si="14"/>
        <v>0</v>
      </c>
      <c r="AD82" s="233">
        <f t="shared" si="14"/>
        <v>0</v>
      </c>
      <c r="AE82" s="233">
        <f t="shared" si="14"/>
        <v>0</v>
      </c>
      <c r="AF82" s="233">
        <f t="shared" si="14"/>
        <v>0</v>
      </c>
      <c r="AG82" s="233">
        <f t="shared" si="14"/>
        <v>0</v>
      </c>
      <c r="AH82" s="233">
        <f t="shared" si="14"/>
        <v>0</v>
      </c>
      <c r="AI82" s="233">
        <f t="shared" si="14"/>
        <v>0</v>
      </c>
      <c r="AJ82" s="233">
        <f t="shared" si="14"/>
        <v>0</v>
      </c>
      <c r="AK82" s="233">
        <f t="shared" si="14"/>
        <v>0</v>
      </c>
      <c r="AL82" s="233">
        <f t="shared" si="14"/>
        <v>0</v>
      </c>
      <c r="AM82" s="233">
        <f t="shared" si="14"/>
        <v>0</v>
      </c>
      <c r="AN82" s="233">
        <f t="shared" si="14"/>
        <v>0</v>
      </c>
    </row>
    <row r="83" spans="2:40">
      <c r="B83" s="24" t="s">
        <v>91</v>
      </c>
      <c r="C83" s="25">
        <f>SUM(E83:AN83)</f>
        <v>31107909.039999999</v>
      </c>
      <c r="D83" s="252" t="e">
        <f>D61-#REF!-D79-D81-D82</f>
        <v>#REF!</v>
      </c>
      <c r="E83" s="177">
        <f>E60-E79-E80-E81-E82</f>
        <v>-171000</v>
      </c>
      <c r="F83" s="26">
        <f>F60-F79-F80-F81-F82</f>
        <v>0</v>
      </c>
      <c r="G83" s="26">
        <f>G61-G79-G80-G81-G82</f>
        <v>1221019</v>
      </c>
      <c r="H83" s="26">
        <f t="shared" ref="H83:AN83" si="15">H61-H79-H80-H81-H82</f>
        <v>773517</v>
      </c>
      <c r="I83" s="26">
        <f t="shared" si="15"/>
        <v>1159725</v>
      </c>
      <c r="J83" s="26">
        <f t="shared" si="15"/>
        <v>918888</v>
      </c>
      <c r="K83" s="26">
        <f t="shared" si="15"/>
        <v>659450</v>
      </c>
      <c r="L83" s="26">
        <f t="shared" si="15"/>
        <v>743069</v>
      </c>
      <c r="M83" s="26">
        <f t="shared" si="15"/>
        <v>1653414</v>
      </c>
      <c r="N83" s="26">
        <f t="shared" si="15"/>
        <v>1832334</v>
      </c>
      <c r="O83" s="26">
        <f t="shared" si="15"/>
        <v>606208</v>
      </c>
      <c r="P83" s="26">
        <f t="shared" si="15"/>
        <v>724593</v>
      </c>
      <c r="Q83" s="26">
        <f t="shared" si="15"/>
        <v>0</v>
      </c>
      <c r="R83" s="26">
        <f t="shared" si="15"/>
        <v>1576832</v>
      </c>
      <c r="S83" s="26">
        <f t="shared" si="15"/>
        <v>1189240</v>
      </c>
      <c r="T83" s="26">
        <f t="shared" si="15"/>
        <v>614728</v>
      </c>
      <c r="U83" s="26">
        <f t="shared" si="15"/>
        <v>15272</v>
      </c>
      <c r="V83" s="26">
        <f t="shared" si="15"/>
        <v>544192</v>
      </c>
      <c r="W83" s="26">
        <f t="shared" si="15"/>
        <v>1283508</v>
      </c>
      <c r="X83" s="26">
        <f t="shared" si="15"/>
        <v>1242120</v>
      </c>
      <c r="Y83" s="26">
        <f t="shared" si="15"/>
        <v>827549.8</v>
      </c>
      <c r="Z83" s="26">
        <f t="shared" si="15"/>
        <v>380027.4</v>
      </c>
      <c r="AA83" s="26">
        <f t="shared" si="15"/>
        <v>523896</v>
      </c>
      <c r="AB83" s="26">
        <f t="shared" si="15"/>
        <v>1754170</v>
      </c>
      <c r="AC83" s="26">
        <f t="shared" si="15"/>
        <v>908210.8</v>
      </c>
      <c r="AD83" s="26">
        <f t="shared" si="15"/>
        <v>882277</v>
      </c>
      <c r="AE83" s="26">
        <f t="shared" si="15"/>
        <v>722232</v>
      </c>
      <c r="AF83" s="26">
        <f t="shared" si="15"/>
        <v>1229330.8400000001</v>
      </c>
      <c r="AG83" s="26">
        <f t="shared" si="15"/>
        <v>1112346</v>
      </c>
      <c r="AH83" s="26">
        <f t="shared" si="15"/>
        <v>993747.8</v>
      </c>
      <c r="AI83" s="26">
        <f t="shared" si="15"/>
        <v>709821</v>
      </c>
      <c r="AJ83" s="26">
        <f t="shared" si="15"/>
        <v>765760</v>
      </c>
      <c r="AK83" s="26">
        <f t="shared" si="15"/>
        <v>1155683</v>
      </c>
      <c r="AL83" s="26">
        <f t="shared" si="15"/>
        <v>1136647.3999999999</v>
      </c>
      <c r="AM83" s="26">
        <f t="shared" si="15"/>
        <v>1043255.2</v>
      </c>
      <c r="AN83" s="26">
        <f t="shared" si="15"/>
        <v>375845.8</v>
      </c>
    </row>
    <row r="84" spans="2:40">
      <c r="B84" s="320" t="s">
        <v>92</v>
      </c>
      <c r="C84" s="321"/>
      <c r="D84" s="326"/>
      <c r="E84" s="29">
        <f t="shared" ref="E84:AN84" si="16">E83+D84</f>
        <v>-171000</v>
      </c>
      <c r="F84" s="29">
        <f t="shared" si="16"/>
        <v>-171000</v>
      </c>
      <c r="G84" s="29">
        <f t="shared" si="16"/>
        <v>1050019</v>
      </c>
      <c r="H84" s="29">
        <f t="shared" si="16"/>
        <v>1823536</v>
      </c>
      <c r="I84" s="29">
        <f t="shared" si="16"/>
        <v>2983261</v>
      </c>
      <c r="J84" s="29">
        <f t="shared" si="16"/>
        <v>3902149</v>
      </c>
      <c r="K84" s="28">
        <f t="shared" si="16"/>
        <v>4561599</v>
      </c>
      <c r="L84" s="29">
        <f t="shared" si="16"/>
        <v>5304668</v>
      </c>
      <c r="M84" s="28">
        <f t="shared" si="16"/>
        <v>6958082</v>
      </c>
      <c r="N84" s="29">
        <f t="shared" si="16"/>
        <v>8790416</v>
      </c>
      <c r="O84" s="29">
        <f t="shared" si="16"/>
        <v>9396624</v>
      </c>
      <c r="P84" s="29">
        <f t="shared" si="16"/>
        <v>10121217</v>
      </c>
      <c r="Q84" s="29">
        <f t="shared" si="16"/>
        <v>10121217</v>
      </c>
      <c r="R84" s="29">
        <f t="shared" si="16"/>
        <v>11698049</v>
      </c>
      <c r="S84" s="29">
        <f t="shared" si="16"/>
        <v>12887289</v>
      </c>
      <c r="T84" s="29">
        <f t="shared" si="16"/>
        <v>13502017</v>
      </c>
      <c r="U84" s="29">
        <f t="shared" si="16"/>
        <v>13517289</v>
      </c>
      <c r="V84" s="29">
        <f t="shared" si="16"/>
        <v>14061481</v>
      </c>
      <c r="W84" s="29">
        <f t="shared" si="16"/>
        <v>15344989</v>
      </c>
      <c r="X84" s="29">
        <f t="shared" si="16"/>
        <v>16587109</v>
      </c>
      <c r="Y84" s="29">
        <f t="shared" si="16"/>
        <v>17414658.800000001</v>
      </c>
      <c r="Z84" s="29">
        <f t="shared" si="16"/>
        <v>17794686.199999999</v>
      </c>
      <c r="AA84" s="29">
        <f t="shared" si="16"/>
        <v>18318582.199999999</v>
      </c>
      <c r="AB84" s="29">
        <f t="shared" si="16"/>
        <v>20072752.199999999</v>
      </c>
      <c r="AC84" s="29">
        <f t="shared" si="16"/>
        <v>20980963</v>
      </c>
      <c r="AD84" s="29">
        <f t="shared" si="16"/>
        <v>21863240</v>
      </c>
      <c r="AE84" s="29">
        <f t="shared" si="16"/>
        <v>22585472</v>
      </c>
      <c r="AF84" s="29">
        <f t="shared" si="16"/>
        <v>23814802.84</v>
      </c>
      <c r="AG84" s="29">
        <f t="shared" si="16"/>
        <v>24927148.84</v>
      </c>
      <c r="AH84" s="29">
        <f t="shared" si="16"/>
        <v>25920896.640000001</v>
      </c>
      <c r="AI84" s="29">
        <f t="shared" si="16"/>
        <v>26630717.640000001</v>
      </c>
      <c r="AJ84" s="29">
        <f t="shared" si="16"/>
        <v>27396477.640000001</v>
      </c>
      <c r="AK84" s="29">
        <f t="shared" si="16"/>
        <v>28552160.640000001</v>
      </c>
      <c r="AL84" s="29">
        <f t="shared" si="16"/>
        <v>29688808.039999999</v>
      </c>
      <c r="AM84" s="29">
        <f t="shared" si="16"/>
        <v>30732063.239999998</v>
      </c>
      <c r="AN84" s="29">
        <f t="shared" si="16"/>
        <v>31107909.039999999</v>
      </c>
    </row>
    <row r="85" spans="2:40">
      <c r="B85" s="350" t="s">
        <v>340</v>
      </c>
      <c r="C85" s="350"/>
      <c r="D85" s="350"/>
      <c r="E85" s="255" t="e">
        <f t="shared" ref="E85:AN85" si="17">+E83/E61</f>
        <v>#DIV/0!</v>
      </c>
      <c r="F85" s="255">
        <f t="shared" si="17"/>
        <v>0</v>
      </c>
      <c r="G85" s="255">
        <f t="shared" si="17"/>
        <v>1</v>
      </c>
      <c r="H85" s="255">
        <f t="shared" si="17"/>
        <v>1</v>
      </c>
      <c r="I85" s="255">
        <f t="shared" si="17"/>
        <v>1</v>
      </c>
      <c r="J85" s="255">
        <f t="shared" si="17"/>
        <v>1</v>
      </c>
      <c r="K85" s="255">
        <f t="shared" si="17"/>
        <v>1</v>
      </c>
      <c r="L85" s="255">
        <f t="shared" si="17"/>
        <v>1</v>
      </c>
      <c r="M85" s="255">
        <f t="shared" si="17"/>
        <v>1</v>
      </c>
      <c r="N85" s="255">
        <f t="shared" si="17"/>
        <v>1</v>
      </c>
      <c r="O85" s="255">
        <f t="shared" si="17"/>
        <v>1</v>
      </c>
      <c r="P85" s="255">
        <f t="shared" si="17"/>
        <v>1</v>
      </c>
      <c r="Q85" s="255" t="e">
        <f t="shared" si="17"/>
        <v>#DIV/0!</v>
      </c>
      <c r="R85" s="255">
        <f t="shared" si="17"/>
        <v>1</v>
      </c>
      <c r="S85" s="255">
        <f t="shared" si="17"/>
        <v>1</v>
      </c>
      <c r="T85" s="255">
        <f t="shared" si="17"/>
        <v>1</v>
      </c>
      <c r="U85" s="255">
        <f t="shared" si="17"/>
        <v>1</v>
      </c>
      <c r="V85" s="255">
        <f t="shared" si="17"/>
        <v>1</v>
      </c>
      <c r="W85" s="255">
        <f t="shared" si="17"/>
        <v>1</v>
      </c>
      <c r="X85" s="255">
        <f t="shared" si="17"/>
        <v>1</v>
      </c>
      <c r="Y85" s="255">
        <f t="shared" si="17"/>
        <v>1</v>
      </c>
      <c r="Z85" s="255">
        <f t="shared" si="17"/>
        <v>1</v>
      </c>
      <c r="AA85" s="255">
        <f t="shared" si="17"/>
        <v>1</v>
      </c>
      <c r="AB85" s="255">
        <f t="shared" si="17"/>
        <v>1</v>
      </c>
      <c r="AC85" s="255">
        <f t="shared" si="17"/>
        <v>1</v>
      </c>
      <c r="AD85" s="255">
        <f t="shared" si="17"/>
        <v>1</v>
      </c>
      <c r="AE85" s="255">
        <f t="shared" si="17"/>
        <v>1</v>
      </c>
      <c r="AF85" s="255">
        <f t="shared" si="17"/>
        <v>1</v>
      </c>
      <c r="AG85" s="255">
        <f t="shared" si="17"/>
        <v>1</v>
      </c>
      <c r="AH85" s="255">
        <f t="shared" si="17"/>
        <v>1</v>
      </c>
      <c r="AI85" s="255">
        <f t="shared" si="17"/>
        <v>1</v>
      </c>
      <c r="AJ85" s="255">
        <f t="shared" si="17"/>
        <v>1</v>
      </c>
      <c r="AK85" s="255">
        <f t="shared" si="17"/>
        <v>1</v>
      </c>
      <c r="AL85" s="255">
        <f t="shared" si="17"/>
        <v>1</v>
      </c>
      <c r="AM85" s="255">
        <f t="shared" si="17"/>
        <v>1</v>
      </c>
      <c r="AN85" s="255">
        <f t="shared" si="17"/>
        <v>1</v>
      </c>
    </row>
    <row r="86" spans="2:40">
      <c r="B86" s="351" t="s">
        <v>341</v>
      </c>
      <c r="C86" s="351"/>
      <c r="D86" s="351"/>
      <c r="E86" s="255">
        <f t="shared" ref="E86:AN86" si="18">+E84/$D$61</f>
        <v>-5.2355730734469485E-3</v>
      </c>
      <c r="F86" s="255">
        <f t="shared" si="18"/>
        <v>-5.2355730734469485E-3</v>
      </c>
      <c r="G86" s="255">
        <f t="shared" si="18"/>
        <v>3.2148837444489424E-2</v>
      </c>
      <c r="H86" s="255">
        <f t="shared" si="18"/>
        <v>5.5831906316147102E-2</v>
      </c>
      <c r="I86" s="255">
        <f t="shared" si="18"/>
        <v>9.1339654752423491E-2</v>
      </c>
      <c r="J86" s="255">
        <f t="shared" si="18"/>
        <v>0.11947360370162537</v>
      </c>
      <c r="K86" s="255">
        <f t="shared" si="18"/>
        <v>0.13966423915942999</v>
      </c>
      <c r="L86" s="255">
        <f t="shared" si="18"/>
        <v>0.16241506985015017</v>
      </c>
      <c r="M86" s="255">
        <f t="shared" si="18"/>
        <v>0.21303828515810463</v>
      </c>
      <c r="N86" s="255">
        <f t="shared" si="18"/>
        <v>0.26913956323974991</v>
      </c>
      <c r="O86" s="255">
        <f t="shared" si="18"/>
        <v>0.28770006781114243</v>
      </c>
      <c r="P86" s="255">
        <f t="shared" si="18"/>
        <v>0.30988521167083921</v>
      </c>
      <c r="Q86" s="255">
        <f t="shared" si="18"/>
        <v>0.30988521167083921</v>
      </c>
      <c r="R86" s="255">
        <f t="shared" si="18"/>
        <v>0.35816368629393569</v>
      </c>
      <c r="S86" s="255">
        <f t="shared" si="18"/>
        <v>0.39457510688964359</v>
      </c>
      <c r="T86" s="255">
        <f t="shared" si="18"/>
        <v>0.41339647159311665</v>
      </c>
      <c r="U86" s="255">
        <f t="shared" si="18"/>
        <v>0.41386406031813233</v>
      </c>
      <c r="V86" s="255">
        <f t="shared" si="18"/>
        <v>0.43052579705488814</v>
      </c>
      <c r="W86" s="255">
        <f t="shared" si="18"/>
        <v>0.46982345743122583</v>
      </c>
      <c r="X86" s="255">
        <f t="shared" si="18"/>
        <v>0.50785392541947105</v>
      </c>
      <c r="Y86" s="255">
        <f t="shared" si="18"/>
        <v>0.53319133740670144</v>
      </c>
      <c r="Z86" s="255">
        <f t="shared" si="18"/>
        <v>0.54482678315297073</v>
      </c>
      <c r="AA86" s="255">
        <f t="shared" si="18"/>
        <v>0.56086710941546525</v>
      </c>
      <c r="AB86" s="255">
        <f t="shared" si="18"/>
        <v>0.61457521010697658</v>
      </c>
      <c r="AC86" s="255">
        <f t="shared" si="18"/>
        <v>0.64238225109816793</v>
      </c>
      <c r="AD86" s="255">
        <f t="shared" si="18"/>
        <v>0.66939526691408346</v>
      </c>
      <c r="AE86" s="255">
        <f t="shared" si="18"/>
        <v>0.69150812312450294</v>
      </c>
      <c r="AF86" s="255">
        <f t="shared" si="18"/>
        <v>0.72914702045936797</v>
      </c>
      <c r="AG86" s="255">
        <f t="shared" si="18"/>
        <v>0.76320414774566281</v>
      </c>
      <c r="AH86" s="255">
        <f t="shared" si="18"/>
        <v>0.79363010811687418</v>
      </c>
      <c r="AI86" s="255">
        <f t="shared" si="18"/>
        <v>0.81536297194475249</v>
      </c>
      <c r="AJ86" s="255">
        <f t="shared" si="18"/>
        <v>0.83880854175014863</v>
      </c>
      <c r="AK86" s="255">
        <f t="shared" si="18"/>
        <v>0.87419253471061875</v>
      </c>
      <c r="AL86" s="255">
        <f t="shared" si="18"/>
        <v>0.908993707350639</v>
      </c>
      <c r="AM86" s="255">
        <f t="shared" si="18"/>
        <v>0.94093545491703379</v>
      </c>
      <c r="AN86" s="255">
        <f t="shared" si="18"/>
        <v>0.95244287100035618</v>
      </c>
    </row>
    <row r="87" spans="2:40">
      <c r="B87" s="256" t="s">
        <v>343</v>
      </c>
      <c r="C87" s="352" t="e">
        <f>D83/D61</f>
        <v>#REF!</v>
      </c>
      <c r="D87" s="353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</row>
    <row r="88" spans="2:40"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</row>
    <row r="89" spans="2:40">
      <c r="B89" s="30" t="s">
        <v>93</v>
      </c>
      <c r="C89" s="31">
        <f>D43/D27</f>
        <v>0.63965094890638208</v>
      </c>
    </row>
    <row r="91" spans="2:40">
      <c r="Z91">
        <f>85878/4771</f>
        <v>18</v>
      </c>
    </row>
  </sheetData>
  <mergeCells count="9">
    <mergeCell ref="B85:D85"/>
    <mergeCell ref="B86:D86"/>
    <mergeCell ref="C87:D87"/>
    <mergeCell ref="A27:A39"/>
    <mergeCell ref="A43:A44"/>
    <mergeCell ref="A48:A53"/>
    <mergeCell ref="A55:A59"/>
    <mergeCell ref="B77:C77"/>
    <mergeCell ref="B84:D84"/>
  </mergeCells>
  <conditionalFormatting sqref="C87:D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AN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4:AN84 B8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5:AN8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6:AN8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C8D7-FE4E-4341-8F4A-D473506BA059}">
  <dimension ref="A2:AR84"/>
  <sheetViews>
    <sheetView topLeftCell="A45" workbookViewId="0">
      <selection activeCell="C78" sqref="C78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" bestFit="1" customWidth="1"/>
    <col min="6" max="8" width="11.28515625" bestFit="1" customWidth="1"/>
  </cols>
  <sheetData>
    <row r="2" spans="2:44" ht="15.75">
      <c r="B2" s="54" t="s">
        <v>0</v>
      </c>
      <c r="C2" s="109" t="s">
        <v>1</v>
      </c>
    </row>
    <row r="3" spans="2:44" ht="15.75">
      <c r="B3" s="54" t="s">
        <v>2</v>
      </c>
      <c r="C3" s="109">
        <v>12</v>
      </c>
    </row>
    <row r="4" spans="2:44" ht="15.75">
      <c r="B4" s="54" t="s">
        <v>3</v>
      </c>
      <c r="C4" s="110" t="s">
        <v>383</v>
      </c>
    </row>
    <row r="5" spans="2:44" ht="15.75">
      <c r="B5" s="54" t="s">
        <v>4</v>
      </c>
      <c r="C5" s="110"/>
    </row>
    <row r="6" spans="2:44" ht="15.75">
      <c r="B6" s="179" t="s">
        <v>230</v>
      </c>
      <c r="C6" s="110" t="s">
        <v>247</v>
      </c>
    </row>
    <row r="7" spans="2:44" ht="15.75">
      <c r="B7" s="2"/>
      <c r="C7" s="2"/>
    </row>
    <row r="8" spans="2:44" ht="15.75">
      <c r="B8" s="54" t="s">
        <v>5</v>
      </c>
      <c r="D8" s="41" t="s">
        <v>6</v>
      </c>
      <c r="E8" s="42">
        <v>45196</v>
      </c>
      <c r="F8" s="42">
        <v>45197</v>
      </c>
      <c r="G8" s="42">
        <v>45198</v>
      </c>
      <c r="H8" s="42">
        <v>45199</v>
      </c>
      <c r="I8" s="42">
        <v>45200</v>
      </c>
      <c r="J8" s="42">
        <v>45201</v>
      </c>
      <c r="K8" s="42">
        <v>45202</v>
      </c>
      <c r="L8" s="42">
        <v>45203</v>
      </c>
      <c r="M8" s="42">
        <v>45204</v>
      </c>
      <c r="N8" s="42">
        <v>45205</v>
      </c>
      <c r="O8" s="42">
        <v>45206</v>
      </c>
      <c r="P8" s="42">
        <v>45207</v>
      </c>
      <c r="Q8" s="42">
        <v>45208</v>
      </c>
      <c r="R8" s="42">
        <v>45209</v>
      </c>
      <c r="S8" s="42">
        <v>45210</v>
      </c>
      <c r="T8" s="42">
        <v>45211</v>
      </c>
      <c r="U8" s="42">
        <v>45212</v>
      </c>
      <c r="V8" s="42">
        <v>45213</v>
      </c>
      <c r="W8" s="42">
        <v>45214</v>
      </c>
      <c r="X8" s="42">
        <v>45215</v>
      </c>
      <c r="Y8" s="42">
        <v>45216</v>
      </c>
      <c r="Z8" s="42">
        <v>45217</v>
      </c>
      <c r="AA8" s="42">
        <v>45218</v>
      </c>
      <c r="AB8" s="42">
        <v>45219</v>
      </c>
      <c r="AC8" s="42">
        <v>45220</v>
      </c>
      <c r="AD8" s="42">
        <v>45221</v>
      </c>
      <c r="AE8" s="42">
        <v>45222</v>
      </c>
      <c r="AF8" s="42">
        <v>45223</v>
      </c>
      <c r="AG8" s="42">
        <v>45224</v>
      </c>
      <c r="AH8" s="42">
        <v>45225</v>
      </c>
      <c r="AI8" s="42">
        <v>45226</v>
      </c>
      <c r="AJ8" s="42">
        <v>45227</v>
      </c>
      <c r="AK8" s="42">
        <v>45228</v>
      </c>
      <c r="AL8" s="42">
        <v>45229</v>
      </c>
      <c r="AM8" s="42">
        <v>45230</v>
      </c>
      <c r="AN8" s="42">
        <v>45231</v>
      </c>
      <c r="AO8" s="42">
        <v>45232</v>
      </c>
      <c r="AP8" s="42">
        <v>45233</v>
      </c>
      <c r="AQ8" s="42">
        <v>45234</v>
      </c>
      <c r="AR8" s="42">
        <v>45235</v>
      </c>
    </row>
    <row r="9" spans="2:44">
      <c r="B9" s="46" t="s">
        <v>7</v>
      </c>
      <c r="C9" s="47" t="s">
        <v>8</v>
      </c>
      <c r="D9" s="71">
        <f>SUM(E9:N9)</f>
        <v>138</v>
      </c>
      <c r="E9" s="114">
        <v>0</v>
      </c>
      <c r="F9" s="114">
        <v>0</v>
      </c>
      <c r="G9" s="114">
        <v>2</v>
      </c>
      <c r="H9" s="114">
        <v>24</v>
      </c>
      <c r="I9" s="114">
        <v>16</v>
      </c>
      <c r="J9" s="114">
        <v>0</v>
      </c>
      <c r="K9" s="114">
        <v>24</v>
      </c>
      <c r="L9" s="114">
        <v>24</v>
      </c>
      <c r="M9" s="114">
        <v>24</v>
      </c>
      <c r="N9" s="114">
        <v>24</v>
      </c>
      <c r="O9" s="114">
        <v>24</v>
      </c>
      <c r="P9" s="114">
        <v>18</v>
      </c>
      <c r="Q9" s="114">
        <v>13</v>
      </c>
      <c r="R9" s="114">
        <v>20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20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15</v>
      </c>
      <c r="AF9" s="114">
        <v>12</v>
      </c>
      <c r="AG9" s="114">
        <v>22</v>
      </c>
      <c r="AH9" s="114">
        <v>18</v>
      </c>
      <c r="AI9" s="114">
        <v>4</v>
      </c>
      <c r="AJ9" s="114">
        <v>14</v>
      </c>
      <c r="AK9" s="114">
        <v>24</v>
      </c>
      <c r="AL9" s="114">
        <v>2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</row>
    <row r="10" spans="2:44">
      <c r="B10" s="48" t="s">
        <v>9</v>
      </c>
      <c r="C10" s="38" t="s">
        <v>8</v>
      </c>
      <c r="D10" s="71">
        <f t="shared" ref="D10:D16" si="0">SUM(E10:K10)</f>
        <v>51</v>
      </c>
      <c r="E10" s="115">
        <v>0</v>
      </c>
      <c r="F10" s="115">
        <v>0</v>
      </c>
      <c r="G10" s="115">
        <v>22</v>
      </c>
      <c r="H10" s="115">
        <v>0</v>
      </c>
      <c r="I10" s="115">
        <v>8</v>
      </c>
      <c r="J10" s="115">
        <v>21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6</v>
      </c>
      <c r="Q10" s="115">
        <v>11</v>
      </c>
      <c r="R10" s="115">
        <v>4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4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9</v>
      </c>
      <c r="AF10" s="115">
        <v>12</v>
      </c>
      <c r="AG10" s="115">
        <v>2</v>
      </c>
      <c r="AH10" s="115">
        <v>6</v>
      </c>
      <c r="AI10" s="115">
        <v>20</v>
      </c>
      <c r="AJ10" s="115">
        <v>10</v>
      </c>
      <c r="AK10" s="115">
        <v>0</v>
      </c>
      <c r="AL10" s="115"/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44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44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20</v>
      </c>
      <c r="AM12" s="115">
        <v>24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</row>
    <row r="13" spans="2:44">
      <c r="B13" s="48" t="s">
        <v>12</v>
      </c>
      <c r="C13" s="38" t="s">
        <v>8</v>
      </c>
      <c r="D13" s="71">
        <f t="shared" si="0"/>
        <v>26</v>
      </c>
      <c r="E13" s="115">
        <v>24</v>
      </c>
      <c r="F13" s="115">
        <v>0</v>
      </c>
      <c r="G13" s="115">
        <v>0</v>
      </c>
      <c r="H13" s="115">
        <v>0</v>
      </c>
      <c r="I13" s="115">
        <v>0</v>
      </c>
      <c r="J13" s="115">
        <v>2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44">
      <c r="B14" s="48" t="s">
        <v>13</v>
      </c>
      <c r="C14" s="38" t="s">
        <v>8</v>
      </c>
      <c r="D14" s="71">
        <f t="shared" si="0"/>
        <v>1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1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</row>
    <row r="15" spans="2:44">
      <c r="B15" s="49" t="s">
        <v>14</v>
      </c>
      <c r="C15" s="40" t="s">
        <v>8</v>
      </c>
      <c r="D15" s="71">
        <f t="shared" si="0"/>
        <v>20</v>
      </c>
      <c r="E15" s="116">
        <v>0</v>
      </c>
      <c r="F15" s="116">
        <v>20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</row>
    <row r="16" spans="2:44">
      <c r="B16" s="68" t="s">
        <v>15</v>
      </c>
      <c r="C16" s="69" t="s">
        <v>8</v>
      </c>
      <c r="D16" s="70">
        <f t="shared" si="0"/>
        <v>164</v>
      </c>
      <c r="E16" s="117">
        <f t="shared" ref="E16:AR16" si="1">SUM(E9:E15)</f>
        <v>24</v>
      </c>
      <c r="F16" s="117">
        <f t="shared" si="1"/>
        <v>20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22</v>
      </c>
      <c r="AM16" s="117">
        <f t="shared" si="1"/>
        <v>24</v>
      </c>
      <c r="AN16" s="117">
        <f t="shared" si="1"/>
        <v>0</v>
      </c>
      <c r="AO16" s="117">
        <f t="shared" si="1"/>
        <v>0</v>
      </c>
      <c r="AP16" s="117">
        <f t="shared" si="1"/>
        <v>0</v>
      </c>
      <c r="AQ16" s="117">
        <f t="shared" si="1"/>
        <v>0</v>
      </c>
      <c r="AR16" s="117">
        <f t="shared" si="1"/>
        <v>0</v>
      </c>
    </row>
    <row r="18" spans="1:44">
      <c r="B18" s="50" t="s">
        <v>16</v>
      </c>
      <c r="C18" s="50" t="s">
        <v>0</v>
      </c>
      <c r="D18" s="58">
        <f>SUM(E18:K18)</f>
        <v>0</v>
      </c>
      <c r="E18" s="127" t="s">
        <v>203</v>
      </c>
      <c r="F18" s="127" t="s">
        <v>203</v>
      </c>
      <c r="G18" s="127">
        <v>0</v>
      </c>
      <c r="H18" s="127" t="s">
        <v>384</v>
      </c>
      <c r="I18" s="127" t="s">
        <v>384</v>
      </c>
      <c r="J18" s="127" t="s">
        <v>203</v>
      </c>
      <c r="K18" s="127" t="s">
        <v>216</v>
      </c>
      <c r="L18" s="127" t="s">
        <v>216</v>
      </c>
      <c r="M18" s="127" t="s">
        <v>216</v>
      </c>
      <c r="N18" s="127" t="s">
        <v>216</v>
      </c>
      <c r="O18" s="127" t="s">
        <v>216</v>
      </c>
      <c r="P18" s="127">
        <v>0</v>
      </c>
      <c r="Q18" s="127" t="s">
        <v>175</v>
      </c>
      <c r="R18" s="127" t="s">
        <v>385</v>
      </c>
      <c r="S18" s="127" t="s">
        <v>208</v>
      </c>
      <c r="T18" s="127" t="s">
        <v>386</v>
      </c>
      <c r="U18" s="127" t="s">
        <v>386</v>
      </c>
      <c r="V18" s="127" t="s">
        <v>386</v>
      </c>
      <c r="W18" s="127" t="s">
        <v>386</v>
      </c>
      <c r="X18" s="127" t="s">
        <v>386</v>
      </c>
      <c r="Y18" s="127" t="s">
        <v>387</v>
      </c>
      <c r="Z18" s="127" t="s">
        <v>386</v>
      </c>
      <c r="AA18" s="127" t="s">
        <v>386</v>
      </c>
      <c r="AB18" s="127" t="s">
        <v>208</v>
      </c>
      <c r="AC18" s="127" t="s">
        <v>208</v>
      </c>
      <c r="AD18" s="127" t="s">
        <v>208</v>
      </c>
      <c r="AE18" s="127" t="s">
        <v>175</v>
      </c>
      <c r="AF18" s="127" t="s">
        <v>388</v>
      </c>
      <c r="AG18" s="127" t="s">
        <v>388</v>
      </c>
      <c r="AH18" s="127" t="s">
        <v>212</v>
      </c>
      <c r="AI18" s="127" t="s">
        <v>389</v>
      </c>
      <c r="AJ18" s="127" t="s">
        <v>390</v>
      </c>
      <c r="AK18" s="127" t="s">
        <v>175</v>
      </c>
      <c r="AL18" s="127" t="s">
        <v>175</v>
      </c>
      <c r="AM18" s="127">
        <v>0</v>
      </c>
      <c r="AN18" s="127">
        <v>0</v>
      </c>
      <c r="AO18" s="127"/>
      <c r="AP18" s="127"/>
      <c r="AQ18" s="127"/>
      <c r="AR18" s="127"/>
    </row>
    <row r="19" spans="1:44">
      <c r="B19" s="37" t="s">
        <v>31</v>
      </c>
      <c r="C19" s="37" t="s">
        <v>32</v>
      </c>
      <c r="D19" s="131">
        <f>SUM(E19:K19)</f>
        <v>12</v>
      </c>
      <c r="E19" s="162">
        <v>0</v>
      </c>
      <c r="F19" s="162">
        <v>0</v>
      </c>
      <c r="G19" s="162">
        <v>0</v>
      </c>
      <c r="H19" s="162" t="s">
        <v>34</v>
      </c>
      <c r="I19" s="162">
        <v>12</v>
      </c>
      <c r="J19" s="162">
        <v>0</v>
      </c>
      <c r="K19" s="162" t="s">
        <v>187</v>
      </c>
      <c r="L19" s="162" t="s">
        <v>145</v>
      </c>
      <c r="M19" s="162">
        <v>17</v>
      </c>
      <c r="N19" s="162">
        <v>21</v>
      </c>
      <c r="O19" s="162" t="s">
        <v>34</v>
      </c>
      <c r="P19" s="162">
        <v>15</v>
      </c>
      <c r="Q19" s="162">
        <v>11</v>
      </c>
      <c r="R19" s="162" t="s">
        <v>187</v>
      </c>
      <c r="S19" s="162">
        <v>23</v>
      </c>
      <c r="T19" s="162">
        <v>21</v>
      </c>
      <c r="U19" s="162">
        <v>20</v>
      </c>
      <c r="V19" s="162">
        <v>20</v>
      </c>
      <c r="W19" s="162">
        <v>20</v>
      </c>
      <c r="X19" s="162">
        <v>20</v>
      </c>
      <c r="Y19" s="162">
        <v>16</v>
      </c>
      <c r="Z19" s="162">
        <v>18</v>
      </c>
      <c r="AA19" s="162">
        <v>22</v>
      </c>
      <c r="AB19" s="162">
        <v>21</v>
      </c>
      <c r="AC19" s="162" t="s">
        <v>34</v>
      </c>
      <c r="AD19" s="162">
        <v>19</v>
      </c>
      <c r="AE19" s="162" t="s">
        <v>181</v>
      </c>
      <c r="AF19" s="162">
        <v>12</v>
      </c>
      <c r="AG19" s="162" t="s">
        <v>186</v>
      </c>
      <c r="AH19" s="162">
        <v>18</v>
      </c>
      <c r="AI19" s="162">
        <v>13</v>
      </c>
      <c r="AJ19" s="162">
        <v>12</v>
      </c>
      <c r="AK19" s="162">
        <v>17</v>
      </c>
      <c r="AL19" s="162">
        <v>6</v>
      </c>
      <c r="AM19" s="162">
        <v>0</v>
      </c>
      <c r="AN19" s="162">
        <v>0</v>
      </c>
      <c r="AO19" s="162">
        <v>0</v>
      </c>
      <c r="AP19" s="162"/>
      <c r="AQ19" s="162"/>
      <c r="AR19" s="162"/>
    </row>
    <row r="20" spans="1:44">
      <c r="B20" s="37" t="s">
        <v>35</v>
      </c>
      <c r="C20" s="37" t="s">
        <v>36</v>
      </c>
      <c r="D20" s="131">
        <f>SUM(E20:K20)</f>
        <v>10</v>
      </c>
      <c r="E20" s="162">
        <v>0</v>
      </c>
      <c r="F20" s="162">
        <v>0</v>
      </c>
      <c r="G20" s="162">
        <v>0</v>
      </c>
      <c r="H20" s="162">
        <v>4</v>
      </c>
      <c r="I20" s="162">
        <v>3</v>
      </c>
      <c r="J20" s="162">
        <v>0</v>
      </c>
      <c r="K20" s="162">
        <v>3</v>
      </c>
      <c r="L20" s="162">
        <v>4</v>
      </c>
      <c r="M20" s="162">
        <v>3</v>
      </c>
      <c r="N20" s="162">
        <v>4</v>
      </c>
      <c r="O20" s="162">
        <v>4</v>
      </c>
      <c r="P20" s="162">
        <v>3</v>
      </c>
      <c r="Q20" s="162">
        <v>2</v>
      </c>
      <c r="R20" s="162">
        <v>4</v>
      </c>
      <c r="S20" s="162">
        <v>4</v>
      </c>
      <c r="T20" s="162">
        <v>4</v>
      </c>
      <c r="U20" s="162">
        <v>4</v>
      </c>
      <c r="V20" s="162">
        <v>4</v>
      </c>
      <c r="W20" s="162">
        <v>4</v>
      </c>
      <c r="X20" s="162">
        <v>4</v>
      </c>
      <c r="Y20" s="162">
        <v>3</v>
      </c>
      <c r="Z20" s="162">
        <v>4</v>
      </c>
      <c r="AA20" s="162">
        <v>4</v>
      </c>
      <c r="AB20" s="162">
        <v>4</v>
      </c>
      <c r="AC20" s="162">
        <v>4</v>
      </c>
      <c r="AD20" s="162">
        <v>4</v>
      </c>
      <c r="AE20" s="162">
        <v>3</v>
      </c>
      <c r="AF20" s="162">
        <v>3</v>
      </c>
      <c r="AG20" s="162">
        <v>3</v>
      </c>
      <c r="AH20" s="162">
        <v>4</v>
      </c>
      <c r="AI20" s="162">
        <v>3</v>
      </c>
      <c r="AJ20" s="162">
        <v>3</v>
      </c>
      <c r="AK20" s="162">
        <v>3</v>
      </c>
      <c r="AL20" s="162">
        <v>1</v>
      </c>
      <c r="AM20" s="162">
        <v>0</v>
      </c>
      <c r="AN20" s="162">
        <v>0</v>
      </c>
      <c r="AO20" s="162"/>
      <c r="AP20" s="162"/>
      <c r="AQ20" s="162"/>
      <c r="AR20" s="162"/>
    </row>
    <row r="21" spans="1:44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>
        <v>0</v>
      </c>
      <c r="H21" s="129" t="s">
        <v>40</v>
      </c>
      <c r="I21" s="129" t="s">
        <v>40</v>
      </c>
      <c r="J21" s="129">
        <v>0</v>
      </c>
      <c r="K21" s="129" t="s">
        <v>40</v>
      </c>
      <c r="L21" s="129" t="s">
        <v>40</v>
      </c>
      <c r="M21" s="129" t="s">
        <v>40</v>
      </c>
      <c r="N21" s="129" t="s">
        <v>40</v>
      </c>
      <c r="O21" s="129" t="s">
        <v>40</v>
      </c>
      <c r="P21" s="129" t="s">
        <v>40</v>
      </c>
      <c r="Q21" s="129" t="s">
        <v>40</v>
      </c>
      <c r="R21" s="129" t="s">
        <v>40</v>
      </c>
      <c r="S21" s="129" t="s">
        <v>40</v>
      </c>
      <c r="T21" s="129" t="s">
        <v>40</v>
      </c>
      <c r="U21" s="129" t="s">
        <v>40</v>
      </c>
      <c r="V21" s="129" t="s">
        <v>40</v>
      </c>
      <c r="W21" s="129" t="s">
        <v>40</v>
      </c>
      <c r="X21" s="129" t="s">
        <v>40</v>
      </c>
      <c r="Y21" s="129" t="s">
        <v>40</v>
      </c>
      <c r="Z21" s="129" t="s">
        <v>40</v>
      </c>
      <c r="AA21" s="129" t="s">
        <v>40</v>
      </c>
      <c r="AB21" s="129" t="s">
        <v>40</v>
      </c>
      <c r="AC21" s="129" t="s">
        <v>40</v>
      </c>
      <c r="AD21" s="129" t="s">
        <v>40</v>
      </c>
      <c r="AE21" s="129" t="s">
        <v>40</v>
      </c>
      <c r="AF21" s="129" t="s">
        <v>40</v>
      </c>
      <c r="AG21" s="129" t="s">
        <v>40</v>
      </c>
      <c r="AH21" s="129" t="s">
        <v>40</v>
      </c>
      <c r="AI21" s="129" t="s">
        <v>40</v>
      </c>
      <c r="AJ21" s="129" t="s">
        <v>40</v>
      </c>
      <c r="AK21" s="129" t="s">
        <v>227</v>
      </c>
      <c r="AL21" s="129" t="s">
        <v>227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</row>
    <row r="22" spans="1:4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4" spans="1:44">
      <c r="B24" s="167" t="s">
        <v>43</v>
      </c>
      <c r="C24" s="168">
        <f>D26/D19</f>
        <v>61127.416666666664</v>
      </c>
    </row>
    <row r="25" spans="1:44">
      <c r="D25" s="10"/>
    </row>
    <row r="26" spans="1:44">
      <c r="A26" s="312" t="s">
        <v>44</v>
      </c>
      <c r="B26" s="35" t="s">
        <v>45</v>
      </c>
      <c r="C26" s="35"/>
      <c r="D26" s="175">
        <f>SUM(E26:AQ26)</f>
        <v>733529</v>
      </c>
      <c r="E26" s="75">
        <f t="shared" ref="E26:AR26" si="2">SUM(E27:E38)</f>
        <v>0</v>
      </c>
      <c r="F26" s="175">
        <f t="shared" si="2"/>
        <v>0</v>
      </c>
      <c r="G26" s="75">
        <f t="shared" si="2"/>
        <v>0</v>
      </c>
      <c r="H26" s="175">
        <f t="shared" si="2"/>
        <v>21746</v>
      </c>
      <c r="I26" s="75">
        <f t="shared" si="2"/>
        <v>7610</v>
      </c>
      <c r="J26" s="175">
        <f t="shared" si="2"/>
        <v>0</v>
      </c>
      <c r="K26" s="75">
        <f t="shared" si="2"/>
        <v>19650</v>
      </c>
      <c r="L26" s="175">
        <f t="shared" si="2"/>
        <v>19277</v>
      </c>
      <c r="M26" s="75">
        <f t="shared" si="2"/>
        <v>36745</v>
      </c>
      <c r="N26" s="175">
        <f t="shared" si="2"/>
        <v>37154</v>
      </c>
      <c r="O26" s="75">
        <f t="shared" si="2"/>
        <v>41965</v>
      </c>
      <c r="P26" s="175">
        <f t="shared" si="2"/>
        <v>22694</v>
      </c>
      <c r="Q26" s="75">
        <f t="shared" si="2"/>
        <v>4810</v>
      </c>
      <c r="R26" s="175">
        <f t="shared" si="2"/>
        <v>7317</v>
      </c>
      <c r="S26" s="75">
        <f t="shared" si="2"/>
        <v>24097</v>
      </c>
      <c r="T26" s="175">
        <f t="shared" si="2"/>
        <v>28927</v>
      </c>
      <c r="U26" s="75">
        <f t="shared" si="2"/>
        <v>24689</v>
      </c>
      <c r="V26" s="175">
        <f t="shared" si="2"/>
        <v>22358</v>
      </c>
      <c r="W26" s="75">
        <f t="shared" si="2"/>
        <v>22922</v>
      </c>
      <c r="X26" s="175">
        <f t="shared" si="2"/>
        <v>20081</v>
      </c>
      <c r="Y26" s="75">
        <f t="shared" si="2"/>
        <v>24719</v>
      </c>
      <c r="Z26" s="175">
        <f t="shared" si="2"/>
        <v>29495</v>
      </c>
      <c r="AA26" s="75">
        <f t="shared" si="2"/>
        <v>32370</v>
      </c>
      <c r="AB26" s="175">
        <f t="shared" si="2"/>
        <v>27359</v>
      </c>
      <c r="AC26" s="75">
        <f t="shared" si="2"/>
        <v>15216</v>
      </c>
      <c r="AD26" s="175">
        <f t="shared" si="2"/>
        <v>15704</v>
      </c>
      <c r="AE26" s="75">
        <f t="shared" si="2"/>
        <v>9721</v>
      </c>
      <c r="AF26" s="175">
        <f t="shared" si="2"/>
        <v>30560</v>
      </c>
      <c r="AG26" s="75">
        <f t="shared" si="2"/>
        <v>25704</v>
      </c>
      <c r="AH26" s="175">
        <f t="shared" si="2"/>
        <v>46700</v>
      </c>
      <c r="AI26" s="75">
        <f t="shared" si="2"/>
        <v>34159</v>
      </c>
      <c r="AJ26" s="175">
        <f t="shared" si="2"/>
        <v>45146</v>
      </c>
      <c r="AK26" s="75">
        <f t="shared" si="2"/>
        <v>24173</v>
      </c>
      <c r="AL26" s="175">
        <f t="shared" si="2"/>
        <v>10461</v>
      </c>
      <c r="AM26" s="75">
        <f t="shared" si="2"/>
        <v>0</v>
      </c>
      <c r="AN26" s="175">
        <f t="shared" si="2"/>
        <v>0</v>
      </c>
      <c r="AO26" s="75">
        <f t="shared" si="2"/>
        <v>0</v>
      </c>
      <c r="AP26" s="175">
        <f t="shared" si="2"/>
        <v>0</v>
      </c>
      <c r="AQ26" s="75">
        <f t="shared" si="2"/>
        <v>0</v>
      </c>
      <c r="AR26" s="175">
        <f t="shared" si="2"/>
        <v>0</v>
      </c>
    </row>
    <row r="27" spans="1:44">
      <c r="A27" s="313"/>
      <c r="B27" s="37" t="s">
        <v>47</v>
      </c>
      <c r="C27" s="38" t="s">
        <v>48</v>
      </c>
      <c r="D27" s="73">
        <f t="shared" ref="D27:D36" si="3">SUM(E27:AR27)</f>
        <v>199443</v>
      </c>
      <c r="E27" s="55">
        <v>0</v>
      </c>
      <c r="F27" s="55">
        <v>0</v>
      </c>
      <c r="G27" s="55">
        <v>0</v>
      </c>
      <c r="H27" s="55">
        <v>13252</v>
      </c>
      <c r="I27" s="55">
        <v>3586</v>
      </c>
      <c r="J27" s="55">
        <v>0</v>
      </c>
      <c r="K27" s="55">
        <v>524</v>
      </c>
      <c r="L27" s="55">
        <v>1333</v>
      </c>
      <c r="M27" s="55">
        <v>1190</v>
      </c>
      <c r="N27" s="55">
        <v>2711</v>
      </c>
      <c r="O27" s="55">
        <v>3329</v>
      </c>
      <c r="P27" s="55">
        <v>1671</v>
      </c>
      <c r="Q27" s="55">
        <v>2762</v>
      </c>
      <c r="R27" s="55">
        <v>4100</v>
      </c>
      <c r="S27" s="55">
        <v>7945</v>
      </c>
      <c r="T27" s="55">
        <v>6883</v>
      </c>
      <c r="U27" s="55">
        <v>6927</v>
      </c>
      <c r="V27" s="55">
        <v>6450</v>
      </c>
      <c r="W27" s="55">
        <v>7584</v>
      </c>
      <c r="X27" s="55">
        <v>6967</v>
      </c>
      <c r="Y27" s="55">
        <v>12545</v>
      </c>
      <c r="Z27" s="55">
        <v>6377</v>
      </c>
      <c r="AA27" s="55">
        <v>6283</v>
      </c>
      <c r="AB27" s="55">
        <v>5034</v>
      </c>
      <c r="AC27" s="55">
        <v>4633</v>
      </c>
      <c r="AD27" s="55">
        <v>5030</v>
      </c>
      <c r="AE27" s="55">
        <v>5774</v>
      </c>
      <c r="AF27" s="55">
        <v>11573</v>
      </c>
      <c r="AG27" s="55">
        <v>9495</v>
      </c>
      <c r="AH27" s="55">
        <v>16378</v>
      </c>
      <c r="AI27" s="55">
        <v>6694</v>
      </c>
      <c r="AJ27" s="55">
        <v>7842</v>
      </c>
      <c r="AK27" s="55">
        <v>16425</v>
      </c>
      <c r="AL27" s="55">
        <v>8146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</row>
    <row r="28" spans="1:44">
      <c r="A28" s="313"/>
      <c r="B28" s="37" t="s">
        <v>49</v>
      </c>
      <c r="C28" s="38" t="s">
        <v>48</v>
      </c>
      <c r="D28" s="73">
        <f t="shared" si="3"/>
        <v>191893</v>
      </c>
      <c r="E28" s="55">
        <v>0</v>
      </c>
      <c r="F28" s="55">
        <v>0</v>
      </c>
      <c r="G28" s="55">
        <v>0</v>
      </c>
      <c r="H28" s="55">
        <v>94</v>
      </c>
      <c r="I28" s="55">
        <v>24</v>
      </c>
      <c r="J28" s="55">
        <v>0</v>
      </c>
      <c r="K28" s="55">
        <v>282</v>
      </c>
      <c r="L28" s="55">
        <v>282</v>
      </c>
      <c r="M28" s="55">
        <v>329</v>
      </c>
      <c r="N28" s="55">
        <v>235</v>
      </c>
      <c r="O28" s="55">
        <v>188</v>
      </c>
      <c r="P28" s="55">
        <v>47</v>
      </c>
      <c r="Q28" s="55">
        <v>1645</v>
      </c>
      <c r="R28" s="55">
        <v>2491</v>
      </c>
      <c r="S28" s="55">
        <v>14288</v>
      </c>
      <c r="T28" s="55">
        <v>18894</v>
      </c>
      <c r="U28" s="55">
        <v>13912</v>
      </c>
      <c r="V28" s="55">
        <v>14758</v>
      </c>
      <c r="W28" s="55">
        <v>13824</v>
      </c>
      <c r="X28" s="55">
        <v>9964</v>
      </c>
      <c r="Y28" s="55">
        <v>1084</v>
      </c>
      <c r="Z28" s="55">
        <v>21218</v>
      </c>
      <c r="AA28" s="55">
        <v>24487</v>
      </c>
      <c r="AB28" s="55">
        <v>21009</v>
      </c>
      <c r="AC28" s="55">
        <v>8883</v>
      </c>
      <c r="AD28" s="55">
        <v>9024</v>
      </c>
      <c r="AE28" s="55">
        <v>3196</v>
      </c>
      <c r="AF28" s="55">
        <v>755</v>
      </c>
      <c r="AG28" s="55">
        <v>620</v>
      </c>
      <c r="AH28" s="55">
        <v>1092</v>
      </c>
      <c r="AI28" s="55">
        <v>1128</v>
      </c>
      <c r="AJ28" s="55">
        <v>898</v>
      </c>
      <c r="AK28" s="55">
        <v>5452</v>
      </c>
      <c r="AL28" s="55">
        <v>1790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</row>
    <row r="29" spans="1:44">
      <c r="A29" s="313"/>
      <c r="B29" s="37" t="s">
        <v>50</v>
      </c>
      <c r="C29" s="38" t="s">
        <v>48</v>
      </c>
      <c r="D29" s="73">
        <f t="shared" si="3"/>
        <v>250160</v>
      </c>
      <c r="E29" s="55">
        <v>0</v>
      </c>
      <c r="F29" s="55">
        <v>0</v>
      </c>
      <c r="G29" s="55"/>
      <c r="H29" s="55">
        <v>0</v>
      </c>
      <c r="I29" s="55"/>
      <c r="J29" s="55"/>
      <c r="K29" s="55">
        <v>18360</v>
      </c>
      <c r="L29" s="55">
        <v>16487</v>
      </c>
      <c r="M29" s="55">
        <v>34368</v>
      </c>
      <c r="N29" s="55">
        <v>32175</v>
      </c>
      <c r="O29" s="55">
        <v>36527</v>
      </c>
      <c r="P29" s="55">
        <v>19105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12691</v>
      </c>
      <c r="AG29" s="55">
        <v>12385</v>
      </c>
      <c r="AH29" s="55">
        <v>16509</v>
      </c>
      <c r="AI29" s="55">
        <v>18525</v>
      </c>
      <c r="AJ29" s="55">
        <v>33028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/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</row>
    <row r="31" spans="1:44">
      <c r="A31" s="313"/>
      <c r="B31" s="37" t="s">
        <v>52</v>
      </c>
      <c r="C31" s="38" t="s">
        <v>48</v>
      </c>
      <c r="D31" s="73">
        <f t="shared" si="3"/>
        <v>14942</v>
      </c>
      <c r="E31" s="55">
        <v>0</v>
      </c>
      <c r="F31" s="55">
        <v>0</v>
      </c>
      <c r="G31" s="55"/>
      <c r="H31" s="55"/>
      <c r="I31" s="55"/>
      <c r="J31" s="55"/>
      <c r="K31" s="55"/>
      <c r="L31" s="55"/>
      <c r="M31" s="55"/>
      <c r="N31" s="55">
        <v>0</v>
      </c>
      <c r="O31" s="55">
        <v>0</v>
      </c>
      <c r="P31" s="55">
        <v>0</v>
      </c>
      <c r="Q31" s="55">
        <v>0</v>
      </c>
      <c r="R31" s="55">
        <v>20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10764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36</v>
      </c>
      <c r="AF31" s="55">
        <v>54</v>
      </c>
      <c r="AG31" s="55">
        <v>900</v>
      </c>
      <c r="AH31" s="55">
        <v>1764</v>
      </c>
      <c r="AI31" s="55">
        <v>144</v>
      </c>
      <c r="AJ31" s="55">
        <v>504</v>
      </c>
      <c r="AK31" s="55">
        <v>594</v>
      </c>
      <c r="AL31" s="55">
        <v>162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</row>
    <row r="34" spans="1:44">
      <c r="A34" s="313"/>
      <c r="B34" s="37" t="s">
        <v>55</v>
      </c>
      <c r="C34" s="38" t="s">
        <v>48</v>
      </c>
      <c r="D34" s="73">
        <f t="shared" si="3"/>
        <v>145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62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83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</row>
    <row r="35" spans="1:44">
      <c r="A35" s="313"/>
      <c r="B35" s="37" t="s">
        <v>56</v>
      </c>
      <c r="C35" s="38" t="s">
        <v>48</v>
      </c>
      <c r="D35" s="73">
        <f t="shared" si="3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/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</row>
    <row r="38" spans="1:44">
      <c r="A38" s="314"/>
      <c r="B38" s="39" t="s">
        <v>59</v>
      </c>
      <c r="C38" s="40" t="s">
        <v>48</v>
      </c>
      <c r="D38" s="74">
        <f>SUM(E38:AR38)</f>
        <v>76946</v>
      </c>
      <c r="E38" s="55">
        <v>0</v>
      </c>
      <c r="F38" s="55">
        <v>0</v>
      </c>
      <c r="G38" s="55">
        <v>0</v>
      </c>
      <c r="H38" s="55">
        <v>8400</v>
      </c>
      <c r="I38" s="55">
        <v>4000</v>
      </c>
      <c r="J38" s="55"/>
      <c r="K38" s="55">
        <v>484</v>
      </c>
      <c r="L38" s="55">
        <v>1175</v>
      </c>
      <c r="M38" s="55">
        <v>858</v>
      </c>
      <c r="N38" s="55">
        <v>2033</v>
      </c>
      <c r="O38" s="55">
        <v>1921</v>
      </c>
      <c r="P38" s="55">
        <v>1871</v>
      </c>
      <c r="Q38" s="55">
        <v>403</v>
      </c>
      <c r="R38" s="55">
        <v>644</v>
      </c>
      <c r="S38" s="55">
        <v>1864</v>
      </c>
      <c r="T38" s="55">
        <v>3150</v>
      </c>
      <c r="U38" s="55">
        <v>3850</v>
      </c>
      <c r="V38" s="55">
        <v>1150</v>
      </c>
      <c r="W38" s="55">
        <v>1514</v>
      </c>
      <c r="X38" s="55">
        <v>3150</v>
      </c>
      <c r="Y38" s="55">
        <v>326</v>
      </c>
      <c r="Z38" s="55">
        <v>1900</v>
      </c>
      <c r="AA38" s="55">
        <v>1600</v>
      </c>
      <c r="AB38" s="55">
        <v>1316</v>
      </c>
      <c r="AC38" s="55">
        <v>1700</v>
      </c>
      <c r="AD38" s="55">
        <v>1650</v>
      </c>
      <c r="AE38" s="55">
        <v>715</v>
      </c>
      <c r="AF38" s="55">
        <v>5487</v>
      </c>
      <c r="AG38" s="55">
        <v>2304</v>
      </c>
      <c r="AH38" s="55">
        <v>10957</v>
      </c>
      <c r="AI38" s="55">
        <v>7668</v>
      </c>
      <c r="AJ38" s="55">
        <v>2874</v>
      </c>
      <c r="AK38" s="55">
        <v>1702</v>
      </c>
      <c r="AL38" s="55">
        <v>280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</row>
    <row r="39" spans="1:44">
      <c r="A39" s="164"/>
      <c r="B39" s="94" t="s">
        <v>149</v>
      </c>
      <c r="C39" s="166"/>
      <c r="D39" s="180">
        <f t="shared" ref="D39:AR39" si="4">D37/D26</f>
        <v>0</v>
      </c>
      <c r="E39" s="170" t="e">
        <f t="shared" si="4"/>
        <v>#DIV/0!</v>
      </c>
      <c r="F39" s="170" t="e">
        <f t="shared" si="4"/>
        <v>#DIV/0!</v>
      </c>
      <c r="G39" s="170" t="e">
        <f t="shared" si="4"/>
        <v>#DIV/0!</v>
      </c>
      <c r="H39" s="170">
        <f t="shared" si="4"/>
        <v>0</v>
      </c>
      <c r="I39" s="170">
        <f t="shared" si="4"/>
        <v>0</v>
      </c>
      <c r="J39" s="170" t="e">
        <f t="shared" si="4"/>
        <v>#DIV/0!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>
        <f t="shared" si="4"/>
        <v>0</v>
      </c>
      <c r="AG39" s="170">
        <f t="shared" si="4"/>
        <v>0</v>
      </c>
      <c r="AH39" s="170">
        <f t="shared" si="4"/>
        <v>0</v>
      </c>
      <c r="AI39" s="170">
        <f t="shared" si="4"/>
        <v>0</v>
      </c>
      <c r="AJ39" s="170">
        <f t="shared" si="4"/>
        <v>0</v>
      </c>
      <c r="AK39" s="170">
        <f t="shared" si="4"/>
        <v>0</v>
      </c>
      <c r="AL39" s="170">
        <f t="shared" si="4"/>
        <v>0</v>
      </c>
      <c r="AM39" s="170" t="e">
        <f t="shared" si="4"/>
        <v>#DIV/0!</v>
      </c>
      <c r="AN39" s="170" t="e">
        <f t="shared" si="4"/>
        <v>#DIV/0!</v>
      </c>
      <c r="AO39" s="170" t="e">
        <f t="shared" si="4"/>
        <v>#DIV/0!</v>
      </c>
      <c r="AP39" s="170" t="e">
        <f t="shared" si="4"/>
        <v>#DIV/0!</v>
      </c>
      <c r="AQ39" s="170" t="e">
        <f t="shared" si="4"/>
        <v>#DIV/0!</v>
      </c>
      <c r="AR39" s="170" t="e">
        <f t="shared" si="4"/>
        <v>#DIV/0!</v>
      </c>
    </row>
    <row r="40" spans="1:4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</row>
    <row r="41" spans="1:44">
      <c r="A41" s="324" t="s">
        <v>60</v>
      </c>
      <c r="B41" s="50" t="s">
        <v>61</v>
      </c>
      <c r="C41" s="91" t="s">
        <v>62</v>
      </c>
      <c r="D41" s="81">
        <f>SUM(E41:AR41)</f>
        <v>515000</v>
      </c>
      <c r="E41" s="86"/>
      <c r="F41" s="86">
        <v>5000</v>
      </c>
      <c r="G41" s="86">
        <v>15000</v>
      </c>
      <c r="H41" s="86">
        <v>15000</v>
      </c>
      <c r="I41" s="86">
        <v>15000</v>
      </c>
      <c r="J41" s="86">
        <v>14000</v>
      </c>
      <c r="K41" s="86">
        <v>13000</v>
      </c>
      <c r="L41" s="86">
        <v>16000</v>
      </c>
      <c r="M41" s="86">
        <v>17000</v>
      </c>
      <c r="N41" s="86">
        <v>17000</v>
      </c>
      <c r="O41" s="86">
        <v>17000</v>
      </c>
      <c r="P41" s="86">
        <v>18000</v>
      </c>
      <c r="Q41" s="86">
        <v>17000</v>
      </c>
      <c r="R41" s="86">
        <v>15000</v>
      </c>
      <c r="S41" s="86">
        <v>16000</v>
      </c>
      <c r="T41" s="86">
        <v>16000</v>
      </c>
      <c r="U41" s="86">
        <v>16000</v>
      </c>
      <c r="V41" s="86">
        <v>16000</v>
      </c>
      <c r="W41" s="86">
        <v>17000</v>
      </c>
      <c r="X41" s="86">
        <v>16000</v>
      </c>
      <c r="Y41" s="86">
        <v>18000</v>
      </c>
      <c r="Z41" s="86">
        <v>15000</v>
      </c>
      <c r="AA41" s="86">
        <v>17000</v>
      </c>
      <c r="AB41" s="86">
        <v>17000</v>
      </c>
      <c r="AC41" s="86">
        <v>15000</v>
      </c>
      <c r="AD41" s="86">
        <v>15000</v>
      </c>
      <c r="AE41" s="86">
        <v>16000</v>
      </c>
      <c r="AF41" s="86">
        <v>17000</v>
      </c>
      <c r="AG41" s="86">
        <v>16000</v>
      </c>
      <c r="AH41" s="86">
        <v>15000</v>
      </c>
      <c r="AI41" s="86">
        <v>16000</v>
      </c>
      <c r="AJ41" s="86">
        <v>17000</v>
      </c>
      <c r="AK41" s="86">
        <v>14000</v>
      </c>
      <c r="AL41" s="86">
        <v>10000</v>
      </c>
      <c r="AM41" s="86">
        <v>6000</v>
      </c>
      <c r="AN41" s="86">
        <v>0</v>
      </c>
      <c r="AO41" s="86">
        <v>0</v>
      </c>
      <c r="AP41" s="86">
        <v>0</v>
      </c>
      <c r="AQ41" s="86">
        <v>0</v>
      </c>
      <c r="AR41" s="86">
        <v>0</v>
      </c>
    </row>
    <row r="42" spans="1:44">
      <c r="A42" s="325"/>
      <c r="B42" s="39" t="s">
        <v>63</v>
      </c>
      <c r="C42" s="92" t="s">
        <v>62</v>
      </c>
      <c r="D42" s="82">
        <f>SUM(E42:AR42)</f>
        <v>900</v>
      </c>
      <c r="E42" s="87">
        <v>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200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200</v>
      </c>
      <c r="S42" s="87">
        <v>0</v>
      </c>
      <c r="T42" s="87">
        <v>0</v>
      </c>
      <c r="U42" s="87">
        <v>0</v>
      </c>
      <c r="V42" s="87"/>
      <c r="W42" s="87">
        <v>0</v>
      </c>
      <c r="X42" s="87">
        <v>0</v>
      </c>
      <c r="Y42" s="87">
        <v>0</v>
      </c>
      <c r="Z42" s="87">
        <v>0</v>
      </c>
      <c r="AA42" s="87">
        <v>300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  <c r="AI42" s="87">
        <v>0</v>
      </c>
      <c r="AJ42" s="87">
        <v>0</v>
      </c>
      <c r="AK42" s="87">
        <v>200</v>
      </c>
      <c r="AL42" s="87"/>
      <c r="AM42" s="87">
        <v>0</v>
      </c>
      <c r="AN42" s="87">
        <v>0</v>
      </c>
      <c r="AO42" s="87">
        <v>0</v>
      </c>
      <c r="AP42" s="87">
        <v>0</v>
      </c>
      <c r="AQ42" s="87">
        <v>0</v>
      </c>
      <c r="AR42" s="87">
        <v>0</v>
      </c>
    </row>
    <row r="44" spans="1:44">
      <c r="B44" s="167" t="s">
        <v>240</v>
      </c>
      <c r="C44" s="184" t="s">
        <v>241</v>
      </c>
      <c r="D44" s="187">
        <f>D41/D26</f>
        <v>0.70208539812331894</v>
      </c>
      <c r="E44" s="185" t="e">
        <f t="shared" ref="E44:AR44" si="5">E41/E26</f>
        <v>#DIV/0!</v>
      </c>
      <c r="F44" s="188" t="e">
        <f t="shared" si="5"/>
        <v>#DIV/0!</v>
      </c>
      <c r="G44" s="186" t="e">
        <f t="shared" si="5"/>
        <v>#DIV/0!</v>
      </c>
      <c r="H44" s="188">
        <f t="shared" si="5"/>
        <v>0.6897820288788743</v>
      </c>
      <c r="I44" s="186">
        <f t="shared" si="5"/>
        <v>1.971090670170828</v>
      </c>
      <c r="J44" s="188" t="e">
        <f t="shared" si="5"/>
        <v>#DIV/0!</v>
      </c>
      <c r="K44" s="186">
        <f t="shared" si="5"/>
        <v>0.66157760814249367</v>
      </c>
      <c r="L44" s="188">
        <f t="shared" si="5"/>
        <v>0.83000466877626189</v>
      </c>
      <c r="M44" s="186">
        <f t="shared" si="5"/>
        <v>0.46264797931691387</v>
      </c>
      <c r="N44" s="188">
        <f t="shared" si="5"/>
        <v>0.45755504117995371</v>
      </c>
      <c r="O44" s="186">
        <f t="shared" si="5"/>
        <v>0.40509948766829501</v>
      </c>
      <c r="P44" s="188">
        <f t="shared" si="5"/>
        <v>0.79316118797920154</v>
      </c>
      <c r="Q44" s="186">
        <f t="shared" si="5"/>
        <v>3.5343035343035343</v>
      </c>
      <c r="R44" s="188">
        <f t="shared" si="5"/>
        <v>2.0500205002050023</v>
      </c>
      <c r="S44" s="186">
        <f t="shared" si="5"/>
        <v>0.66398306843175503</v>
      </c>
      <c r="T44" s="188">
        <f t="shared" si="5"/>
        <v>0.55311646558578487</v>
      </c>
      <c r="U44" s="186">
        <f t="shared" si="5"/>
        <v>0.64806188991048641</v>
      </c>
      <c r="V44" s="188">
        <f t="shared" si="5"/>
        <v>0.71562751587798545</v>
      </c>
      <c r="W44" s="186">
        <f t="shared" si="5"/>
        <v>0.74164558066486341</v>
      </c>
      <c r="X44" s="188">
        <f t="shared" si="5"/>
        <v>0.79677306907026546</v>
      </c>
      <c r="Y44" s="186">
        <f t="shared" si="5"/>
        <v>0.72818479711962458</v>
      </c>
      <c r="Z44" s="188">
        <f t="shared" si="5"/>
        <v>0.50856077301237501</v>
      </c>
      <c r="AA44" s="186">
        <f t="shared" si="5"/>
        <v>0.5251776336113686</v>
      </c>
      <c r="AB44" s="188">
        <f t="shared" si="5"/>
        <v>0.62136774004897843</v>
      </c>
      <c r="AC44" s="186">
        <f t="shared" si="5"/>
        <v>0.98580441640378547</v>
      </c>
      <c r="AD44" s="188">
        <f t="shared" si="5"/>
        <v>0.95517065715741212</v>
      </c>
      <c r="AE44" s="186">
        <f t="shared" si="5"/>
        <v>1.6459212015224771</v>
      </c>
      <c r="AF44" s="188">
        <f t="shared" si="5"/>
        <v>0.55628272251308897</v>
      </c>
      <c r="AG44" s="186">
        <f t="shared" si="5"/>
        <v>0.6224712107065048</v>
      </c>
      <c r="AH44" s="188">
        <f t="shared" si="5"/>
        <v>0.32119914346895073</v>
      </c>
      <c r="AI44" s="186">
        <f t="shared" si="5"/>
        <v>0.4683977868204573</v>
      </c>
      <c r="AJ44" s="188">
        <f t="shared" si="5"/>
        <v>0.3765560625526071</v>
      </c>
      <c r="AK44" s="186">
        <f t="shared" si="5"/>
        <v>0.57915856534149668</v>
      </c>
      <c r="AL44" s="188">
        <f t="shared" si="5"/>
        <v>0.95593155530064045</v>
      </c>
      <c r="AM44" s="186" t="e">
        <f t="shared" si="5"/>
        <v>#DIV/0!</v>
      </c>
      <c r="AN44" s="188" t="e">
        <f t="shared" si="5"/>
        <v>#DIV/0!</v>
      </c>
      <c r="AO44" s="186" t="e">
        <f t="shared" si="5"/>
        <v>#DIV/0!</v>
      </c>
      <c r="AP44" s="188" t="e">
        <f t="shared" si="5"/>
        <v>#DIV/0!</v>
      </c>
      <c r="AQ44" s="186" t="e">
        <f t="shared" si="5"/>
        <v>#DIV/0!</v>
      </c>
      <c r="AR44" s="188" t="e">
        <f t="shared" si="5"/>
        <v>#DIV/0!</v>
      </c>
    </row>
    <row r="46" spans="1:44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</row>
    <row r="47" spans="1:44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</row>
    <row r="48" spans="1:44">
      <c r="A48" s="313"/>
      <c r="B48" s="94" t="s">
        <v>67</v>
      </c>
      <c r="C48" s="38" t="s">
        <v>8</v>
      </c>
      <c r="D48" s="182">
        <f t="shared" ref="D48:D51" si="6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</row>
    <row r="49" spans="1:44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</row>
    <row r="50" spans="1:44">
      <c r="A50" s="313"/>
      <c r="B50" s="93" t="s">
        <v>69</v>
      </c>
      <c r="C50" s="91" t="s">
        <v>48</v>
      </c>
      <c r="D50" s="181">
        <f t="shared" si="6"/>
        <v>319000</v>
      </c>
      <c r="E50" s="86">
        <v>0</v>
      </c>
      <c r="F50" s="86">
        <v>0</v>
      </c>
      <c r="G50" s="86">
        <v>0</v>
      </c>
      <c r="H50" s="86">
        <v>11000</v>
      </c>
      <c r="I50" s="86">
        <v>12000</v>
      </c>
      <c r="J50" s="86">
        <v>0</v>
      </c>
      <c r="K50" s="86">
        <v>8000</v>
      </c>
      <c r="L50" s="86">
        <v>10000</v>
      </c>
      <c r="M50" s="86">
        <v>20000</v>
      </c>
      <c r="N50" s="86">
        <v>20000</v>
      </c>
      <c r="O50" s="86">
        <v>17000</v>
      </c>
      <c r="P50" s="86">
        <v>10000</v>
      </c>
      <c r="Q50" s="86">
        <v>3000</v>
      </c>
      <c r="R50" s="86">
        <v>4000</v>
      </c>
      <c r="S50" s="86">
        <v>12000</v>
      </c>
      <c r="T50" s="86">
        <v>17000</v>
      </c>
      <c r="U50" s="86">
        <v>15000</v>
      </c>
      <c r="V50" s="86">
        <v>12000</v>
      </c>
      <c r="W50" s="86">
        <v>13000</v>
      </c>
      <c r="X50" s="86">
        <v>12000</v>
      </c>
      <c r="Y50" s="86">
        <v>15000</v>
      </c>
      <c r="Z50" s="86">
        <v>15000</v>
      </c>
      <c r="AA50" s="86">
        <v>15000</v>
      </c>
      <c r="AB50" s="86">
        <v>13000</v>
      </c>
      <c r="AC50" s="86">
        <v>7000</v>
      </c>
      <c r="AD50" s="86">
        <v>7000</v>
      </c>
      <c r="AE50" s="86">
        <v>5000</v>
      </c>
      <c r="AF50" s="86">
        <v>16000</v>
      </c>
      <c r="AG50" s="86">
        <v>10000</v>
      </c>
      <c r="AH50" s="86">
        <v>20000</v>
      </c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</row>
    <row r="51" spans="1:44">
      <c r="A51" s="314"/>
      <c r="B51" s="95" t="s">
        <v>70</v>
      </c>
      <c r="C51" s="92" t="s">
        <v>48</v>
      </c>
      <c r="D51" s="183">
        <f t="shared" si="6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0</v>
      </c>
      <c r="AG51" s="87">
        <v>0</v>
      </c>
      <c r="AH51" s="87"/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</row>
    <row r="52" spans="1:4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</row>
    <row r="54" spans="1:4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</row>
    <row r="55" spans="1:4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</row>
    <row r="56" spans="1:4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</row>
    <row r="57" spans="1:4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</row>
    <row r="59" spans="1:44" ht="15.75">
      <c r="B59" s="53" t="s">
        <v>83</v>
      </c>
      <c r="C59" s="99" t="s">
        <v>84</v>
      </c>
      <c r="D59" s="100">
        <f>SUM(D60:D72)</f>
        <v>21197464</v>
      </c>
      <c r="E59" s="101">
        <f>SUM(E60:E72)</f>
        <v>0</v>
      </c>
      <c r="F59" s="101">
        <f t="shared" ref="F59:AR59" si="7">SUM(F60:F72)</f>
        <v>0</v>
      </c>
      <c r="G59" s="101">
        <f t="shared" si="7"/>
        <v>0</v>
      </c>
      <c r="H59" s="101">
        <f t="shared" si="7"/>
        <v>835934</v>
      </c>
      <c r="I59" s="101">
        <f t="shared" si="7"/>
        <v>264170</v>
      </c>
      <c r="J59" s="101">
        <f t="shared" si="7"/>
        <v>0</v>
      </c>
      <c r="K59" s="101">
        <f t="shared" si="7"/>
        <v>390522</v>
      </c>
      <c r="L59" s="101">
        <f t="shared" si="7"/>
        <v>409778</v>
      </c>
      <c r="M59" s="101">
        <f t="shared" si="7"/>
        <v>736429</v>
      </c>
      <c r="N59" s="101">
        <f t="shared" si="7"/>
        <v>793355</v>
      </c>
      <c r="O59" s="101">
        <f t="shared" si="7"/>
        <v>902968</v>
      </c>
      <c r="P59" s="101">
        <f t="shared" si="7"/>
        <v>486929</v>
      </c>
      <c r="Q59" s="101">
        <f t="shared" si="7"/>
        <v>175459</v>
      </c>
      <c r="R59" s="101">
        <f t="shared" si="7"/>
        <v>265777</v>
      </c>
      <c r="S59" s="101">
        <f t="shared" si="7"/>
        <v>701785</v>
      </c>
      <c r="T59" s="101">
        <f t="shared" si="7"/>
        <v>765553</v>
      </c>
      <c r="U59" s="101">
        <f t="shared" si="7"/>
        <v>688451</v>
      </c>
      <c r="V59" s="101">
        <f t="shared" si="7"/>
        <v>621752</v>
      </c>
      <c r="W59" s="101">
        <f t="shared" si="7"/>
        <v>667580</v>
      </c>
      <c r="X59" s="101">
        <f t="shared" si="7"/>
        <v>599999</v>
      </c>
      <c r="Y59" s="101">
        <f t="shared" si="7"/>
        <v>793169</v>
      </c>
      <c r="Z59" s="101">
        <f t="shared" si="7"/>
        <v>757415</v>
      </c>
      <c r="AA59" s="101">
        <f t="shared" si="7"/>
        <v>808320</v>
      </c>
      <c r="AB59" s="101">
        <f t="shared" si="7"/>
        <v>674789</v>
      </c>
      <c r="AC59" s="101">
        <f t="shared" si="7"/>
        <v>433194</v>
      </c>
      <c r="AD59" s="101">
        <f t="shared" si="7"/>
        <v>454226</v>
      </c>
      <c r="AE59" s="101">
        <f t="shared" si="7"/>
        <v>359884</v>
      </c>
      <c r="AF59" s="101">
        <f t="shared" si="7"/>
        <v>944021</v>
      </c>
      <c r="AG59" s="101">
        <f t="shared" si="7"/>
        <v>775638</v>
      </c>
      <c r="AH59" s="101">
        <f t="shared" si="7"/>
        <v>1402691</v>
      </c>
      <c r="AI59" s="101">
        <f t="shared" si="7"/>
        <v>872125</v>
      </c>
      <c r="AJ59" s="101">
        <f t="shared" si="7"/>
        <v>1099136</v>
      </c>
      <c r="AK59" s="101">
        <f t="shared" si="7"/>
        <v>954173</v>
      </c>
      <c r="AL59" s="101">
        <f t="shared" si="7"/>
        <v>445742</v>
      </c>
      <c r="AM59" s="101">
        <f t="shared" si="7"/>
        <v>0</v>
      </c>
      <c r="AN59" s="101">
        <f t="shared" si="7"/>
        <v>0</v>
      </c>
      <c r="AO59" s="101">
        <f t="shared" si="7"/>
        <v>0</v>
      </c>
      <c r="AP59" s="101">
        <f t="shared" si="7"/>
        <v>0</v>
      </c>
      <c r="AQ59" s="101">
        <f t="shared" si="7"/>
        <v>0</v>
      </c>
      <c r="AR59" s="101">
        <f t="shared" si="7"/>
        <v>0</v>
      </c>
    </row>
    <row r="60" spans="1:44">
      <c r="B60" s="96" t="s">
        <v>47</v>
      </c>
      <c r="C60" s="111">
        <v>49</v>
      </c>
      <c r="D60" s="97">
        <f>D27*$C60</f>
        <v>9772707</v>
      </c>
      <c r="E60" s="104">
        <f t="shared" ref="E60:AR71" si="8">E27*$C60</f>
        <v>0</v>
      </c>
      <c r="F60" s="104">
        <f t="shared" si="8"/>
        <v>0</v>
      </c>
      <c r="G60" s="104">
        <f t="shared" si="8"/>
        <v>0</v>
      </c>
      <c r="H60" s="104">
        <f t="shared" si="8"/>
        <v>649348</v>
      </c>
      <c r="I60" s="104">
        <f t="shared" si="8"/>
        <v>175714</v>
      </c>
      <c r="J60" s="104">
        <f t="shared" si="8"/>
        <v>0</v>
      </c>
      <c r="K60" s="104">
        <f t="shared" si="8"/>
        <v>25676</v>
      </c>
      <c r="L60" s="104">
        <f t="shared" si="8"/>
        <v>65317</v>
      </c>
      <c r="M60" s="104">
        <f t="shared" si="8"/>
        <v>58310</v>
      </c>
      <c r="N60" s="104">
        <f t="shared" si="8"/>
        <v>132839</v>
      </c>
      <c r="O60" s="104">
        <f t="shared" si="8"/>
        <v>163121</v>
      </c>
      <c r="P60" s="104">
        <f t="shared" si="8"/>
        <v>81879</v>
      </c>
      <c r="Q60" s="104">
        <f t="shared" si="8"/>
        <v>135338</v>
      </c>
      <c r="R60" s="104">
        <f t="shared" si="8"/>
        <v>200900</v>
      </c>
      <c r="S60" s="104">
        <f t="shared" si="8"/>
        <v>389305</v>
      </c>
      <c r="T60" s="104">
        <f t="shared" si="8"/>
        <v>337267</v>
      </c>
      <c r="U60" s="104">
        <f t="shared" si="8"/>
        <v>339423</v>
      </c>
      <c r="V60" s="104">
        <f t="shared" si="8"/>
        <v>316050</v>
      </c>
      <c r="W60" s="104">
        <f t="shared" si="8"/>
        <v>371616</v>
      </c>
      <c r="X60" s="104">
        <f t="shared" si="8"/>
        <v>341383</v>
      </c>
      <c r="Y60" s="104">
        <f t="shared" si="8"/>
        <v>614705</v>
      </c>
      <c r="Z60" s="104">
        <f t="shared" si="8"/>
        <v>312473</v>
      </c>
      <c r="AA60" s="104">
        <f t="shared" si="8"/>
        <v>307867</v>
      </c>
      <c r="AB60" s="104">
        <f t="shared" si="8"/>
        <v>246666</v>
      </c>
      <c r="AC60" s="104">
        <f t="shared" si="8"/>
        <v>227017</v>
      </c>
      <c r="AD60" s="104">
        <f t="shared" si="8"/>
        <v>246470</v>
      </c>
      <c r="AE60" s="104">
        <f t="shared" si="8"/>
        <v>282926</v>
      </c>
      <c r="AF60" s="104">
        <f t="shared" si="8"/>
        <v>567077</v>
      </c>
      <c r="AG60" s="104">
        <f t="shared" si="8"/>
        <v>465255</v>
      </c>
      <c r="AH60" s="104">
        <f t="shared" si="8"/>
        <v>802522</v>
      </c>
      <c r="AI60" s="104">
        <f t="shared" si="8"/>
        <v>328006</v>
      </c>
      <c r="AJ60" s="104">
        <f t="shared" si="8"/>
        <v>384258</v>
      </c>
      <c r="AK60" s="104">
        <f t="shared" si="8"/>
        <v>804825</v>
      </c>
      <c r="AL60" s="104">
        <f t="shared" si="8"/>
        <v>399154</v>
      </c>
      <c r="AM60" s="104">
        <f t="shared" si="8"/>
        <v>0</v>
      </c>
      <c r="AN60" s="104">
        <f t="shared" si="8"/>
        <v>0</v>
      </c>
      <c r="AO60" s="104">
        <f t="shared" si="8"/>
        <v>0</v>
      </c>
      <c r="AP60" s="104">
        <f t="shared" si="8"/>
        <v>0</v>
      </c>
      <c r="AQ60" s="104">
        <f t="shared" si="8"/>
        <v>0</v>
      </c>
      <c r="AR60" s="104">
        <f t="shared" si="8"/>
        <v>0</v>
      </c>
    </row>
    <row r="61" spans="1:44">
      <c r="B61" s="96" t="s">
        <v>49</v>
      </c>
      <c r="C61" s="111">
        <v>19</v>
      </c>
      <c r="D61" s="97">
        <f t="shared" ref="D61:AJ68" si="9">D28*$C61</f>
        <v>3645967</v>
      </c>
      <c r="E61" s="104">
        <f t="shared" si="9"/>
        <v>0</v>
      </c>
      <c r="F61" s="104">
        <f t="shared" si="9"/>
        <v>0</v>
      </c>
      <c r="G61" s="104">
        <f t="shared" si="9"/>
        <v>0</v>
      </c>
      <c r="H61" s="104">
        <f t="shared" si="9"/>
        <v>1786</v>
      </c>
      <c r="I61" s="104">
        <f t="shared" si="9"/>
        <v>456</v>
      </c>
      <c r="J61" s="104">
        <f t="shared" si="9"/>
        <v>0</v>
      </c>
      <c r="K61" s="104">
        <f t="shared" si="9"/>
        <v>5358</v>
      </c>
      <c r="L61" s="104">
        <f t="shared" si="9"/>
        <v>5358</v>
      </c>
      <c r="M61" s="104">
        <f t="shared" si="9"/>
        <v>6251</v>
      </c>
      <c r="N61" s="104">
        <f t="shared" si="9"/>
        <v>4465</v>
      </c>
      <c r="O61" s="104">
        <f t="shared" si="9"/>
        <v>3572</v>
      </c>
      <c r="P61" s="104">
        <f t="shared" si="9"/>
        <v>893</v>
      </c>
      <c r="Q61" s="104">
        <f t="shared" si="9"/>
        <v>31255</v>
      </c>
      <c r="R61" s="104">
        <f t="shared" si="9"/>
        <v>47329</v>
      </c>
      <c r="S61" s="104">
        <f t="shared" si="9"/>
        <v>271472</v>
      </c>
      <c r="T61" s="104">
        <f t="shared" si="9"/>
        <v>358986</v>
      </c>
      <c r="U61" s="104">
        <f t="shared" si="9"/>
        <v>264328</v>
      </c>
      <c r="V61" s="104">
        <f t="shared" si="9"/>
        <v>280402</v>
      </c>
      <c r="W61" s="104">
        <f t="shared" si="9"/>
        <v>262656</v>
      </c>
      <c r="X61" s="104">
        <f t="shared" si="9"/>
        <v>189316</v>
      </c>
      <c r="Y61" s="104">
        <f t="shared" si="9"/>
        <v>20596</v>
      </c>
      <c r="Z61" s="104">
        <f t="shared" si="9"/>
        <v>403142</v>
      </c>
      <c r="AA61" s="104">
        <f t="shared" si="9"/>
        <v>465253</v>
      </c>
      <c r="AB61" s="104">
        <f t="shared" si="9"/>
        <v>399171</v>
      </c>
      <c r="AC61" s="104">
        <f t="shared" si="9"/>
        <v>168777</v>
      </c>
      <c r="AD61" s="104">
        <f t="shared" si="9"/>
        <v>171456</v>
      </c>
      <c r="AE61" s="104">
        <f t="shared" si="9"/>
        <v>60724</v>
      </c>
      <c r="AF61" s="104">
        <f t="shared" si="9"/>
        <v>14345</v>
      </c>
      <c r="AG61" s="104">
        <f t="shared" si="9"/>
        <v>11780</v>
      </c>
      <c r="AH61" s="104">
        <f t="shared" si="9"/>
        <v>20748</v>
      </c>
      <c r="AI61" s="104">
        <f t="shared" si="9"/>
        <v>21432</v>
      </c>
      <c r="AJ61" s="104">
        <f t="shared" si="9"/>
        <v>17062</v>
      </c>
      <c r="AK61" s="104">
        <f t="shared" si="8"/>
        <v>103588</v>
      </c>
      <c r="AL61" s="104">
        <f t="shared" si="8"/>
        <v>34010</v>
      </c>
      <c r="AM61" s="104">
        <f t="shared" si="8"/>
        <v>0</v>
      </c>
      <c r="AN61" s="104">
        <f t="shared" si="8"/>
        <v>0</v>
      </c>
      <c r="AO61" s="104">
        <f t="shared" si="8"/>
        <v>0</v>
      </c>
      <c r="AP61" s="104">
        <f t="shared" si="8"/>
        <v>0</v>
      </c>
      <c r="AQ61" s="104">
        <f t="shared" si="8"/>
        <v>0</v>
      </c>
      <c r="AR61" s="104">
        <f t="shared" si="8"/>
        <v>0</v>
      </c>
    </row>
    <row r="62" spans="1:44">
      <c r="B62" s="96" t="s">
        <v>50</v>
      </c>
      <c r="C62" s="111">
        <v>19</v>
      </c>
      <c r="D62" s="97">
        <f t="shared" si="9"/>
        <v>4753040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0</v>
      </c>
      <c r="K62" s="104">
        <f t="shared" si="9"/>
        <v>348840</v>
      </c>
      <c r="L62" s="104">
        <f t="shared" si="9"/>
        <v>313253</v>
      </c>
      <c r="M62" s="104">
        <f t="shared" si="9"/>
        <v>652992</v>
      </c>
      <c r="N62" s="104">
        <f t="shared" si="9"/>
        <v>611325</v>
      </c>
      <c r="O62" s="104">
        <f t="shared" si="9"/>
        <v>694013</v>
      </c>
      <c r="P62" s="104">
        <f t="shared" si="9"/>
        <v>362995</v>
      </c>
      <c r="Q62" s="104">
        <f t="shared" si="9"/>
        <v>0</v>
      </c>
      <c r="R62" s="104">
        <f t="shared" si="9"/>
        <v>0</v>
      </c>
      <c r="S62" s="104">
        <f t="shared" si="9"/>
        <v>0</v>
      </c>
      <c r="T62" s="104">
        <f t="shared" si="9"/>
        <v>0</v>
      </c>
      <c r="U62" s="104">
        <f t="shared" si="9"/>
        <v>0</v>
      </c>
      <c r="V62" s="104">
        <f t="shared" si="9"/>
        <v>0</v>
      </c>
      <c r="W62" s="104">
        <f t="shared" si="9"/>
        <v>0</v>
      </c>
      <c r="X62" s="104">
        <f t="shared" si="9"/>
        <v>0</v>
      </c>
      <c r="Y62" s="104">
        <f t="shared" si="9"/>
        <v>0</v>
      </c>
      <c r="Z62" s="104">
        <f t="shared" si="9"/>
        <v>0</v>
      </c>
      <c r="AA62" s="104">
        <f t="shared" si="9"/>
        <v>0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0</v>
      </c>
      <c r="AF62" s="104">
        <f t="shared" si="9"/>
        <v>241129</v>
      </c>
      <c r="AG62" s="104">
        <f t="shared" si="9"/>
        <v>235315</v>
      </c>
      <c r="AH62" s="104">
        <f t="shared" si="9"/>
        <v>313671</v>
      </c>
      <c r="AI62" s="104">
        <f t="shared" si="9"/>
        <v>351975</v>
      </c>
      <c r="AJ62" s="104">
        <f t="shared" si="9"/>
        <v>627532</v>
      </c>
      <c r="AK62" s="104">
        <f t="shared" si="8"/>
        <v>0</v>
      </c>
      <c r="AL62" s="104">
        <f t="shared" si="8"/>
        <v>0</v>
      </c>
      <c r="AM62" s="104">
        <f t="shared" si="8"/>
        <v>0</v>
      </c>
      <c r="AN62" s="104">
        <f t="shared" si="8"/>
        <v>0</v>
      </c>
      <c r="AO62" s="104">
        <f t="shared" si="8"/>
        <v>0</v>
      </c>
      <c r="AP62" s="104">
        <f t="shared" si="8"/>
        <v>0</v>
      </c>
      <c r="AQ62" s="104">
        <f t="shared" si="8"/>
        <v>0</v>
      </c>
      <c r="AR62" s="104">
        <f t="shared" si="8"/>
        <v>0</v>
      </c>
    </row>
    <row r="63" spans="1:44">
      <c r="B63" s="96" t="s">
        <v>51</v>
      </c>
      <c r="C63" s="111">
        <v>15</v>
      </c>
      <c r="D63" s="97">
        <f t="shared" si="9"/>
        <v>0</v>
      </c>
      <c r="E63" s="104">
        <f t="shared" si="9"/>
        <v>0</v>
      </c>
      <c r="F63" s="104">
        <f t="shared" si="9"/>
        <v>0</v>
      </c>
      <c r="G63" s="104">
        <f t="shared" si="9"/>
        <v>0</v>
      </c>
      <c r="H63" s="104">
        <f t="shared" si="9"/>
        <v>0</v>
      </c>
      <c r="I63" s="104">
        <f t="shared" si="9"/>
        <v>0</v>
      </c>
      <c r="J63" s="104">
        <f t="shared" si="9"/>
        <v>0</v>
      </c>
      <c r="K63" s="104">
        <f t="shared" si="9"/>
        <v>0</v>
      </c>
      <c r="L63" s="104">
        <f t="shared" si="9"/>
        <v>0</v>
      </c>
      <c r="M63" s="104">
        <f t="shared" si="9"/>
        <v>0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  <c r="AG63" s="104">
        <f t="shared" si="9"/>
        <v>0</v>
      </c>
      <c r="AH63" s="104">
        <f t="shared" si="9"/>
        <v>0</v>
      </c>
      <c r="AI63" s="104">
        <f t="shared" si="9"/>
        <v>0</v>
      </c>
      <c r="AJ63" s="104">
        <f t="shared" si="9"/>
        <v>0</v>
      </c>
      <c r="AK63" s="104">
        <f t="shared" si="8"/>
        <v>0</v>
      </c>
      <c r="AL63" s="104">
        <f t="shared" si="8"/>
        <v>0</v>
      </c>
      <c r="AM63" s="104">
        <f t="shared" si="8"/>
        <v>0</v>
      </c>
      <c r="AN63" s="104">
        <f t="shared" si="8"/>
        <v>0</v>
      </c>
      <c r="AO63" s="104">
        <f t="shared" si="8"/>
        <v>0</v>
      </c>
      <c r="AP63" s="104">
        <f t="shared" si="8"/>
        <v>0</v>
      </c>
      <c r="AQ63" s="104">
        <f t="shared" si="8"/>
        <v>0</v>
      </c>
      <c r="AR63" s="104">
        <f t="shared" si="8"/>
        <v>0</v>
      </c>
    </row>
    <row r="64" spans="1:44">
      <c r="B64" s="96" t="s">
        <v>52</v>
      </c>
      <c r="C64" s="111">
        <v>14</v>
      </c>
      <c r="D64" s="97">
        <f t="shared" si="9"/>
        <v>209188</v>
      </c>
      <c r="E64" s="104">
        <f t="shared" si="9"/>
        <v>0</v>
      </c>
      <c r="F64" s="104">
        <f t="shared" si="9"/>
        <v>0</v>
      </c>
      <c r="G64" s="104">
        <f t="shared" si="9"/>
        <v>0</v>
      </c>
      <c r="H64" s="104">
        <f t="shared" si="9"/>
        <v>0</v>
      </c>
      <c r="I64" s="104">
        <f t="shared" si="9"/>
        <v>0</v>
      </c>
      <c r="J64" s="104">
        <f t="shared" si="9"/>
        <v>0</v>
      </c>
      <c r="K64" s="104">
        <f t="shared" si="9"/>
        <v>0</v>
      </c>
      <c r="L64" s="104">
        <f t="shared" si="9"/>
        <v>0</v>
      </c>
      <c r="M64" s="104">
        <f t="shared" si="9"/>
        <v>0</v>
      </c>
      <c r="N64" s="104">
        <f t="shared" si="9"/>
        <v>0</v>
      </c>
      <c r="O64" s="104">
        <f t="shared" si="9"/>
        <v>0</v>
      </c>
      <c r="P64" s="104">
        <f t="shared" si="9"/>
        <v>0</v>
      </c>
      <c r="Q64" s="104">
        <f t="shared" si="9"/>
        <v>0</v>
      </c>
      <c r="R64" s="104">
        <f t="shared" si="9"/>
        <v>280</v>
      </c>
      <c r="S64" s="104">
        <f t="shared" si="9"/>
        <v>0</v>
      </c>
      <c r="T64" s="104">
        <f t="shared" si="9"/>
        <v>0</v>
      </c>
      <c r="U64" s="104">
        <f t="shared" si="9"/>
        <v>0</v>
      </c>
      <c r="V64" s="104">
        <f t="shared" si="9"/>
        <v>0</v>
      </c>
      <c r="W64" s="104">
        <f t="shared" si="9"/>
        <v>0</v>
      </c>
      <c r="X64" s="104">
        <f t="shared" si="9"/>
        <v>0</v>
      </c>
      <c r="Y64" s="104">
        <f t="shared" si="9"/>
        <v>150696</v>
      </c>
      <c r="Z64" s="104">
        <f t="shared" si="9"/>
        <v>0</v>
      </c>
      <c r="AA64" s="104">
        <f t="shared" si="9"/>
        <v>0</v>
      </c>
      <c r="AB64" s="104">
        <f t="shared" si="9"/>
        <v>0</v>
      </c>
      <c r="AC64" s="104">
        <f t="shared" si="9"/>
        <v>0</v>
      </c>
      <c r="AD64" s="104">
        <f t="shared" si="9"/>
        <v>0</v>
      </c>
      <c r="AE64" s="104">
        <f t="shared" si="9"/>
        <v>504</v>
      </c>
      <c r="AF64" s="104">
        <f t="shared" si="9"/>
        <v>756</v>
      </c>
      <c r="AG64" s="104">
        <f t="shared" si="9"/>
        <v>12600</v>
      </c>
      <c r="AH64" s="104">
        <f t="shared" si="9"/>
        <v>24696</v>
      </c>
      <c r="AI64" s="104">
        <f t="shared" si="9"/>
        <v>2016</v>
      </c>
      <c r="AJ64" s="104">
        <f t="shared" si="9"/>
        <v>7056</v>
      </c>
      <c r="AK64" s="104">
        <f t="shared" si="8"/>
        <v>8316</v>
      </c>
      <c r="AL64" s="104">
        <f t="shared" si="8"/>
        <v>2268</v>
      </c>
      <c r="AM64" s="104">
        <f t="shared" si="8"/>
        <v>0</v>
      </c>
      <c r="AN64" s="104">
        <f t="shared" si="8"/>
        <v>0</v>
      </c>
      <c r="AO64" s="104">
        <f t="shared" si="8"/>
        <v>0</v>
      </c>
      <c r="AP64" s="104">
        <f t="shared" si="8"/>
        <v>0</v>
      </c>
      <c r="AQ64" s="104">
        <f t="shared" si="8"/>
        <v>0</v>
      </c>
      <c r="AR64" s="104">
        <f t="shared" si="8"/>
        <v>0</v>
      </c>
    </row>
    <row r="65" spans="2:44">
      <c r="B65" s="96" t="s">
        <v>53</v>
      </c>
      <c r="C65" s="111">
        <v>19</v>
      </c>
      <c r="D65" s="97">
        <f t="shared" si="9"/>
        <v>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8"/>
        <v>0</v>
      </c>
      <c r="AL65" s="104">
        <f t="shared" si="8"/>
        <v>0</v>
      </c>
      <c r="AM65" s="104">
        <f t="shared" si="8"/>
        <v>0</v>
      </c>
      <c r="AN65" s="104">
        <f t="shared" si="8"/>
        <v>0</v>
      </c>
      <c r="AO65" s="104">
        <f t="shared" si="8"/>
        <v>0</v>
      </c>
      <c r="AP65" s="104">
        <f t="shared" si="8"/>
        <v>0</v>
      </c>
      <c r="AQ65" s="104">
        <f t="shared" si="8"/>
        <v>0</v>
      </c>
      <c r="AR65" s="104">
        <f t="shared" si="8"/>
        <v>0</v>
      </c>
    </row>
    <row r="66" spans="2:44">
      <c r="B66" s="96" t="s">
        <v>54</v>
      </c>
      <c r="C66" s="111">
        <v>10</v>
      </c>
      <c r="D66" s="97">
        <f t="shared" si="9"/>
        <v>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0</v>
      </c>
      <c r="AF66" s="104">
        <f t="shared" si="9"/>
        <v>0</v>
      </c>
      <c r="AG66" s="104">
        <f t="shared" si="9"/>
        <v>0</v>
      </c>
      <c r="AH66" s="104">
        <f t="shared" si="9"/>
        <v>0</v>
      </c>
      <c r="AI66" s="104">
        <f t="shared" si="9"/>
        <v>0</v>
      </c>
      <c r="AJ66" s="104">
        <f t="shared" si="9"/>
        <v>0</v>
      </c>
      <c r="AK66" s="104">
        <f t="shared" si="8"/>
        <v>0</v>
      </c>
      <c r="AL66" s="104">
        <f t="shared" si="8"/>
        <v>0</v>
      </c>
      <c r="AM66" s="104">
        <f t="shared" si="8"/>
        <v>0</v>
      </c>
      <c r="AN66" s="104">
        <f t="shared" si="8"/>
        <v>0</v>
      </c>
      <c r="AO66" s="104">
        <f t="shared" si="8"/>
        <v>0</v>
      </c>
      <c r="AP66" s="104">
        <f t="shared" si="8"/>
        <v>0</v>
      </c>
      <c r="AQ66" s="104">
        <f t="shared" si="8"/>
        <v>0</v>
      </c>
      <c r="AR66" s="104">
        <f t="shared" si="8"/>
        <v>0</v>
      </c>
    </row>
    <row r="67" spans="2:44">
      <c r="B67" s="96" t="s">
        <v>55</v>
      </c>
      <c r="C67" s="111">
        <v>50</v>
      </c>
      <c r="D67" s="97">
        <f t="shared" si="9"/>
        <v>7250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0</v>
      </c>
      <c r="Q67" s="104">
        <f t="shared" si="9"/>
        <v>0</v>
      </c>
      <c r="R67" s="104">
        <f t="shared" si="9"/>
        <v>3100</v>
      </c>
      <c r="S67" s="104">
        <f t="shared" si="9"/>
        <v>0</v>
      </c>
      <c r="T67" s="104">
        <f t="shared" si="9"/>
        <v>0</v>
      </c>
      <c r="U67" s="104">
        <f t="shared" si="9"/>
        <v>0</v>
      </c>
      <c r="V67" s="104">
        <f t="shared" si="9"/>
        <v>0</v>
      </c>
      <c r="W67" s="104">
        <f t="shared" si="9"/>
        <v>0</v>
      </c>
      <c r="X67" s="104">
        <f t="shared" si="9"/>
        <v>0</v>
      </c>
      <c r="Y67" s="104">
        <f t="shared" si="9"/>
        <v>0</v>
      </c>
      <c r="Z67" s="104">
        <f t="shared" si="9"/>
        <v>0</v>
      </c>
      <c r="AA67" s="104">
        <f t="shared" si="9"/>
        <v>0</v>
      </c>
      <c r="AB67" s="104">
        <f t="shared" si="9"/>
        <v>0</v>
      </c>
      <c r="AC67" s="104">
        <f t="shared" si="9"/>
        <v>0</v>
      </c>
      <c r="AD67" s="104">
        <f t="shared" si="9"/>
        <v>0</v>
      </c>
      <c r="AE67" s="104">
        <f t="shared" si="9"/>
        <v>0</v>
      </c>
      <c r="AF67" s="104">
        <f t="shared" si="9"/>
        <v>0</v>
      </c>
      <c r="AG67" s="104">
        <f t="shared" si="9"/>
        <v>0</v>
      </c>
      <c r="AH67" s="104">
        <f t="shared" si="9"/>
        <v>0</v>
      </c>
      <c r="AI67" s="104">
        <f t="shared" si="9"/>
        <v>0</v>
      </c>
      <c r="AJ67" s="104">
        <f t="shared" si="9"/>
        <v>0</v>
      </c>
      <c r="AK67" s="104">
        <f t="shared" si="8"/>
        <v>0</v>
      </c>
      <c r="AL67" s="104">
        <f t="shared" si="8"/>
        <v>4150</v>
      </c>
      <c r="AM67" s="104">
        <f t="shared" si="8"/>
        <v>0</v>
      </c>
      <c r="AN67" s="104">
        <f t="shared" si="8"/>
        <v>0</v>
      </c>
      <c r="AO67" s="104">
        <f t="shared" si="8"/>
        <v>0</v>
      </c>
      <c r="AP67" s="104">
        <f t="shared" si="8"/>
        <v>0</v>
      </c>
      <c r="AQ67" s="104">
        <f t="shared" si="8"/>
        <v>0</v>
      </c>
      <c r="AR67" s="104">
        <f t="shared" si="8"/>
        <v>0</v>
      </c>
    </row>
    <row r="68" spans="2:44">
      <c r="B68" s="96" t="s">
        <v>56</v>
      </c>
      <c r="C68" s="111">
        <v>27.39</v>
      </c>
      <c r="D68" s="97">
        <f t="shared" si="9"/>
        <v>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0</v>
      </c>
      <c r="AB68" s="104">
        <f t="shared" ref="AB68:AJ68" si="10">AB35*$C68</f>
        <v>0</v>
      </c>
      <c r="AC68" s="104">
        <f t="shared" si="10"/>
        <v>0</v>
      </c>
      <c r="AD68" s="104">
        <f t="shared" si="10"/>
        <v>0</v>
      </c>
      <c r="AE68" s="104">
        <f t="shared" si="10"/>
        <v>0</v>
      </c>
      <c r="AF68" s="104">
        <f t="shared" si="10"/>
        <v>0</v>
      </c>
      <c r="AG68" s="104">
        <f t="shared" si="10"/>
        <v>0</v>
      </c>
      <c r="AH68" s="104">
        <f t="shared" si="10"/>
        <v>0</v>
      </c>
      <c r="AI68" s="104">
        <f t="shared" si="10"/>
        <v>0</v>
      </c>
      <c r="AJ68" s="104">
        <f t="shared" si="10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  <c r="AN68" s="104">
        <f t="shared" si="8"/>
        <v>0</v>
      </c>
      <c r="AO68" s="104">
        <f t="shared" si="8"/>
        <v>0</v>
      </c>
      <c r="AP68" s="104">
        <f t="shared" si="8"/>
        <v>0</v>
      </c>
      <c r="AQ68" s="104">
        <f t="shared" si="8"/>
        <v>0</v>
      </c>
      <c r="AR68" s="104">
        <f t="shared" si="8"/>
        <v>0</v>
      </c>
    </row>
    <row r="69" spans="2:44">
      <c r="B69" s="96" t="s">
        <v>57</v>
      </c>
      <c r="C69" s="111">
        <v>26</v>
      </c>
      <c r="D69" s="97">
        <f t="shared" ref="D69:AJ71" si="11">D36*$C69</f>
        <v>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0</v>
      </c>
      <c r="P69" s="104">
        <f t="shared" si="11"/>
        <v>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0</v>
      </c>
      <c r="W69" s="104">
        <f t="shared" si="11"/>
        <v>0</v>
      </c>
      <c r="X69" s="104">
        <f t="shared" si="11"/>
        <v>0</v>
      </c>
      <c r="Y69" s="104">
        <f t="shared" si="11"/>
        <v>0</v>
      </c>
      <c r="Z69" s="104">
        <f t="shared" si="11"/>
        <v>0</v>
      </c>
      <c r="AA69" s="104">
        <f t="shared" si="11"/>
        <v>0</v>
      </c>
      <c r="AB69" s="104">
        <f t="shared" si="11"/>
        <v>0</v>
      </c>
      <c r="AC69" s="104">
        <f t="shared" si="11"/>
        <v>0</v>
      </c>
      <c r="AD69" s="104">
        <f t="shared" si="11"/>
        <v>0</v>
      </c>
      <c r="AE69" s="104">
        <f t="shared" si="11"/>
        <v>0</v>
      </c>
      <c r="AF69" s="104">
        <f t="shared" si="11"/>
        <v>0</v>
      </c>
      <c r="AG69" s="104">
        <f t="shared" si="11"/>
        <v>0</v>
      </c>
      <c r="AH69" s="104">
        <f t="shared" si="11"/>
        <v>0</v>
      </c>
      <c r="AI69" s="104">
        <f t="shared" si="11"/>
        <v>0</v>
      </c>
      <c r="AJ69" s="104">
        <f t="shared" si="11"/>
        <v>0</v>
      </c>
      <c r="AK69" s="104">
        <f t="shared" si="8"/>
        <v>0</v>
      </c>
      <c r="AL69" s="104">
        <f t="shared" si="8"/>
        <v>0</v>
      </c>
      <c r="AM69" s="104">
        <f t="shared" si="8"/>
        <v>0</v>
      </c>
      <c r="AN69" s="104">
        <f t="shared" si="8"/>
        <v>0</v>
      </c>
      <c r="AO69" s="104">
        <f t="shared" si="8"/>
        <v>0</v>
      </c>
      <c r="AP69" s="104">
        <f t="shared" si="8"/>
        <v>0</v>
      </c>
      <c r="AQ69" s="104">
        <f t="shared" si="8"/>
        <v>0</v>
      </c>
      <c r="AR69" s="104">
        <f t="shared" si="8"/>
        <v>0</v>
      </c>
    </row>
    <row r="70" spans="2:44">
      <c r="B70" s="96" t="s">
        <v>58</v>
      </c>
      <c r="C70" s="111">
        <v>48</v>
      </c>
      <c r="D70" s="97">
        <f t="shared" si="11"/>
        <v>0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0</v>
      </c>
      <c r="Y70" s="104">
        <f t="shared" si="11"/>
        <v>0</v>
      </c>
      <c r="Z70" s="104">
        <f t="shared" si="11"/>
        <v>0</v>
      </c>
      <c r="AA70" s="104">
        <f t="shared" si="11"/>
        <v>0</v>
      </c>
      <c r="AB70" s="104">
        <f t="shared" si="11"/>
        <v>0</v>
      </c>
      <c r="AC70" s="104">
        <f t="shared" si="11"/>
        <v>0</v>
      </c>
      <c r="AD70" s="104">
        <f t="shared" si="11"/>
        <v>0</v>
      </c>
      <c r="AE70" s="104">
        <f t="shared" si="11"/>
        <v>0</v>
      </c>
      <c r="AF70" s="104">
        <f t="shared" si="11"/>
        <v>0</v>
      </c>
      <c r="AG70" s="104">
        <f t="shared" si="11"/>
        <v>0</v>
      </c>
      <c r="AH70" s="104">
        <f t="shared" si="11"/>
        <v>0</v>
      </c>
      <c r="AI70" s="104">
        <f t="shared" si="11"/>
        <v>0</v>
      </c>
      <c r="AJ70" s="104">
        <f t="shared" si="11"/>
        <v>0</v>
      </c>
      <c r="AK70" s="104">
        <f t="shared" si="8"/>
        <v>0</v>
      </c>
      <c r="AL70" s="104">
        <f t="shared" si="8"/>
        <v>0</v>
      </c>
      <c r="AM70" s="104">
        <f t="shared" si="8"/>
        <v>0</v>
      </c>
      <c r="AN70" s="104">
        <f t="shared" si="8"/>
        <v>0</v>
      </c>
      <c r="AO70" s="104">
        <f t="shared" si="8"/>
        <v>0</v>
      </c>
      <c r="AP70" s="104">
        <f t="shared" si="8"/>
        <v>0</v>
      </c>
      <c r="AQ70" s="104">
        <f t="shared" si="8"/>
        <v>0</v>
      </c>
      <c r="AR70" s="104">
        <f t="shared" si="8"/>
        <v>0</v>
      </c>
    </row>
    <row r="71" spans="2:44">
      <c r="B71" s="96" t="s">
        <v>59</v>
      </c>
      <c r="C71" s="112">
        <v>22</v>
      </c>
      <c r="D71" s="97">
        <f t="shared" si="11"/>
        <v>1692812</v>
      </c>
      <c r="E71" s="104">
        <f t="shared" si="11"/>
        <v>0</v>
      </c>
      <c r="F71" s="104">
        <f t="shared" si="11"/>
        <v>0</v>
      </c>
      <c r="G71" s="104">
        <f t="shared" si="11"/>
        <v>0</v>
      </c>
      <c r="H71" s="104">
        <f t="shared" si="11"/>
        <v>184800</v>
      </c>
      <c r="I71" s="104">
        <f t="shared" si="11"/>
        <v>88000</v>
      </c>
      <c r="J71" s="104">
        <f t="shared" si="11"/>
        <v>0</v>
      </c>
      <c r="K71" s="104">
        <f t="shared" si="11"/>
        <v>10648</v>
      </c>
      <c r="L71" s="104">
        <f t="shared" si="11"/>
        <v>25850</v>
      </c>
      <c r="M71" s="104">
        <f t="shared" si="11"/>
        <v>18876</v>
      </c>
      <c r="N71" s="104">
        <f t="shared" si="11"/>
        <v>44726</v>
      </c>
      <c r="O71" s="104">
        <f t="shared" si="11"/>
        <v>42262</v>
      </c>
      <c r="P71" s="104">
        <f t="shared" si="11"/>
        <v>41162</v>
      </c>
      <c r="Q71" s="104">
        <f t="shared" si="11"/>
        <v>8866</v>
      </c>
      <c r="R71" s="104">
        <f t="shared" si="11"/>
        <v>14168</v>
      </c>
      <c r="S71" s="104">
        <f t="shared" si="11"/>
        <v>41008</v>
      </c>
      <c r="T71" s="104">
        <f t="shared" si="11"/>
        <v>69300</v>
      </c>
      <c r="U71" s="104">
        <f t="shared" si="11"/>
        <v>84700</v>
      </c>
      <c r="V71" s="104">
        <f t="shared" si="11"/>
        <v>25300</v>
      </c>
      <c r="W71" s="104">
        <f t="shared" si="11"/>
        <v>33308</v>
      </c>
      <c r="X71" s="104">
        <f t="shared" si="11"/>
        <v>69300</v>
      </c>
      <c r="Y71" s="104">
        <f t="shared" si="11"/>
        <v>7172</v>
      </c>
      <c r="Z71" s="104">
        <f t="shared" si="11"/>
        <v>41800</v>
      </c>
      <c r="AA71" s="104">
        <f t="shared" si="11"/>
        <v>35200</v>
      </c>
      <c r="AB71" s="104">
        <f t="shared" si="11"/>
        <v>28952</v>
      </c>
      <c r="AC71" s="104">
        <f t="shared" si="11"/>
        <v>37400</v>
      </c>
      <c r="AD71" s="104">
        <f t="shared" si="11"/>
        <v>36300</v>
      </c>
      <c r="AE71" s="104">
        <f t="shared" si="11"/>
        <v>15730</v>
      </c>
      <c r="AF71" s="104">
        <f t="shared" si="11"/>
        <v>120714</v>
      </c>
      <c r="AG71" s="104">
        <f t="shared" si="11"/>
        <v>50688</v>
      </c>
      <c r="AH71" s="104">
        <f t="shared" si="11"/>
        <v>241054</v>
      </c>
      <c r="AI71" s="104">
        <f t="shared" si="11"/>
        <v>168696</v>
      </c>
      <c r="AJ71" s="104">
        <f t="shared" si="11"/>
        <v>63228</v>
      </c>
      <c r="AK71" s="104">
        <f t="shared" si="8"/>
        <v>37444</v>
      </c>
      <c r="AL71" s="104">
        <f t="shared" si="8"/>
        <v>6160</v>
      </c>
      <c r="AM71" s="104">
        <f t="shared" si="8"/>
        <v>0</v>
      </c>
      <c r="AN71" s="104">
        <f t="shared" si="8"/>
        <v>0</v>
      </c>
      <c r="AO71" s="104">
        <f t="shared" si="8"/>
        <v>0</v>
      </c>
      <c r="AP71" s="104">
        <f t="shared" si="8"/>
        <v>0</v>
      </c>
      <c r="AQ71" s="104">
        <f t="shared" si="8"/>
        <v>0</v>
      </c>
      <c r="AR71" s="104">
        <f t="shared" si="8"/>
        <v>0</v>
      </c>
    </row>
    <row r="72" spans="2:44">
      <c r="B72" s="35" t="s">
        <v>85</v>
      </c>
      <c r="C72" s="113">
        <v>3.5</v>
      </c>
      <c r="D72" s="98">
        <f t="shared" ref="D72:AR72" si="12">D50*C72</f>
        <v>1116500</v>
      </c>
      <c r="E72" s="107">
        <f>E50*$C$72</f>
        <v>0</v>
      </c>
      <c r="F72" s="107">
        <f t="shared" si="12"/>
        <v>0</v>
      </c>
      <c r="G72" s="107">
        <f t="shared" si="12"/>
        <v>0</v>
      </c>
      <c r="H72" s="107">
        <f t="shared" si="12"/>
        <v>0</v>
      </c>
      <c r="I72" s="107">
        <f t="shared" si="12"/>
        <v>0</v>
      </c>
      <c r="J72" s="107">
        <f t="shared" si="12"/>
        <v>0</v>
      </c>
      <c r="K72" s="107">
        <f t="shared" si="12"/>
        <v>0</v>
      </c>
      <c r="L72" s="107">
        <f t="shared" si="12"/>
        <v>0</v>
      </c>
      <c r="M72" s="107">
        <f t="shared" si="12"/>
        <v>0</v>
      </c>
      <c r="N72" s="107">
        <f t="shared" si="12"/>
        <v>0</v>
      </c>
      <c r="O72" s="107">
        <f t="shared" si="12"/>
        <v>0</v>
      </c>
      <c r="P72" s="107">
        <f t="shared" si="12"/>
        <v>0</v>
      </c>
      <c r="Q72" s="107">
        <f t="shared" si="12"/>
        <v>0</v>
      </c>
      <c r="R72" s="107">
        <f t="shared" si="12"/>
        <v>0</v>
      </c>
      <c r="S72" s="107">
        <f t="shared" si="12"/>
        <v>0</v>
      </c>
      <c r="T72" s="107">
        <f t="shared" si="12"/>
        <v>0</v>
      </c>
      <c r="U72" s="107">
        <f t="shared" si="12"/>
        <v>0</v>
      </c>
      <c r="V72" s="107">
        <f t="shared" si="12"/>
        <v>0</v>
      </c>
      <c r="W72" s="107">
        <f t="shared" si="12"/>
        <v>0</v>
      </c>
      <c r="X72" s="107">
        <f t="shared" si="12"/>
        <v>0</v>
      </c>
      <c r="Y72" s="107">
        <f t="shared" si="12"/>
        <v>0</v>
      </c>
      <c r="Z72" s="107">
        <f t="shared" si="12"/>
        <v>0</v>
      </c>
      <c r="AA72" s="107">
        <f t="shared" si="12"/>
        <v>0</v>
      </c>
      <c r="AB72" s="107">
        <f t="shared" si="12"/>
        <v>0</v>
      </c>
      <c r="AC72" s="107">
        <f t="shared" si="12"/>
        <v>0</v>
      </c>
      <c r="AD72" s="107">
        <f t="shared" si="12"/>
        <v>0</v>
      </c>
      <c r="AE72" s="107">
        <f t="shared" si="12"/>
        <v>0</v>
      </c>
      <c r="AF72" s="107">
        <f t="shared" si="12"/>
        <v>0</v>
      </c>
      <c r="AG72" s="107">
        <f t="shared" si="12"/>
        <v>0</v>
      </c>
      <c r="AH72" s="107">
        <f t="shared" si="12"/>
        <v>0</v>
      </c>
      <c r="AI72" s="107">
        <f t="shared" si="12"/>
        <v>0</v>
      </c>
      <c r="AJ72" s="107">
        <f t="shared" si="12"/>
        <v>0</v>
      </c>
      <c r="AK72" s="107">
        <f t="shared" si="12"/>
        <v>0</v>
      </c>
      <c r="AL72" s="107">
        <f t="shared" si="12"/>
        <v>0</v>
      </c>
      <c r="AM72" s="107">
        <f t="shared" si="12"/>
        <v>0</v>
      </c>
      <c r="AN72" s="107">
        <f t="shared" si="12"/>
        <v>0</v>
      </c>
      <c r="AO72" s="107">
        <f t="shared" si="12"/>
        <v>0</v>
      </c>
      <c r="AP72" s="107">
        <f t="shared" si="12"/>
        <v>0</v>
      </c>
      <c r="AQ72" s="107">
        <f t="shared" si="12"/>
        <v>0</v>
      </c>
      <c r="AR72" s="107">
        <f t="shared" si="12"/>
        <v>0</v>
      </c>
    </row>
    <row r="74" spans="2:44">
      <c r="B74" s="318" t="s">
        <v>86</v>
      </c>
      <c r="C74" s="319"/>
      <c r="D74" s="108">
        <f>AVERAGEIF(E59:N59, "&gt;0")</f>
        <v>571698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6" spans="2:44">
      <c r="B76" s="12" t="s">
        <v>87</v>
      </c>
      <c r="C76" s="13">
        <v>0.31</v>
      </c>
      <c r="D76" s="231">
        <f>SUM(E76:AR76)</f>
        <v>6225098.8399999999</v>
      </c>
      <c r="E76" s="171">
        <f t="shared" ref="E76:AR76" si="13">E59*$C$76</f>
        <v>0</v>
      </c>
      <c r="F76" s="14">
        <f t="shared" si="13"/>
        <v>0</v>
      </c>
      <c r="G76" s="14">
        <f t="shared" si="13"/>
        <v>0</v>
      </c>
      <c r="H76" s="14">
        <f t="shared" si="13"/>
        <v>259139.54</v>
      </c>
      <c r="I76" s="14">
        <f t="shared" si="13"/>
        <v>81892.7</v>
      </c>
      <c r="J76" s="14">
        <f t="shared" si="13"/>
        <v>0</v>
      </c>
      <c r="K76" s="15">
        <f t="shared" si="13"/>
        <v>121061.81999999999</v>
      </c>
      <c r="L76" s="14">
        <f t="shared" si="13"/>
        <v>127031.18</v>
      </c>
      <c r="M76" s="15">
        <f t="shared" si="13"/>
        <v>228292.99</v>
      </c>
      <c r="N76" s="14">
        <f t="shared" si="13"/>
        <v>245940.05</v>
      </c>
      <c r="O76" s="14">
        <f t="shared" si="13"/>
        <v>279920.08</v>
      </c>
      <c r="P76" s="14">
        <f t="shared" si="13"/>
        <v>150947.99</v>
      </c>
      <c r="Q76" s="14">
        <f t="shared" si="13"/>
        <v>54392.29</v>
      </c>
      <c r="R76" s="14">
        <f t="shared" si="13"/>
        <v>82390.87</v>
      </c>
      <c r="S76" s="14">
        <f t="shared" si="13"/>
        <v>217553.35</v>
      </c>
      <c r="T76" s="14">
        <f t="shared" si="13"/>
        <v>237321.43</v>
      </c>
      <c r="U76" s="14">
        <f t="shared" si="13"/>
        <v>213419.81</v>
      </c>
      <c r="V76" s="14">
        <f t="shared" si="13"/>
        <v>192743.12</v>
      </c>
      <c r="W76" s="14">
        <f t="shared" si="13"/>
        <v>206949.8</v>
      </c>
      <c r="X76" s="14">
        <f t="shared" si="13"/>
        <v>185999.69</v>
      </c>
      <c r="Y76" s="14">
        <f t="shared" si="13"/>
        <v>245882.38999999998</v>
      </c>
      <c r="Z76" s="14">
        <f t="shared" si="13"/>
        <v>234798.65</v>
      </c>
      <c r="AA76" s="14">
        <f t="shared" si="13"/>
        <v>250579.20000000001</v>
      </c>
      <c r="AB76" s="14">
        <f t="shared" si="13"/>
        <v>209184.59</v>
      </c>
      <c r="AC76" s="14">
        <f t="shared" si="13"/>
        <v>134290.13999999998</v>
      </c>
      <c r="AD76" s="14">
        <f t="shared" si="13"/>
        <v>140810.06</v>
      </c>
      <c r="AE76" s="14">
        <f t="shared" si="13"/>
        <v>111564.04</v>
      </c>
      <c r="AF76" s="14">
        <f t="shared" si="13"/>
        <v>292646.51</v>
      </c>
      <c r="AG76" s="14">
        <f t="shared" si="13"/>
        <v>240447.78</v>
      </c>
      <c r="AH76" s="14">
        <f t="shared" si="13"/>
        <v>434834.21</v>
      </c>
      <c r="AI76" s="14">
        <f t="shared" si="13"/>
        <v>270358.75</v>
      </c>
      <c r="AJ76" s="14">
        <f t="shared" si="13"/>
        <v>340732.15999999997</v>
      </c>
      <c r="AK76" s="14">
        <f t="shared" si="13"/>
        <v>295793.63</v>
      </c>
      <c r="AL76" s="14">
        <f t="shared" si="13"/>
        <v>138180.01999999999</v>
      </c>
      <c r="AM76" s="14">
        <f t="shared" si="13"/>
        <v>0</v>
      </c>
      <c r="AN76" s="14">
        <f t="shared" si="13"/>
        <v>0</v>
      </c>
      <c r="AO76" s="14">
        <f t="shared" si="13"/>
        <v>0</v>
      </c>
      <c r="AP76" s="14">
        <f t="shared" si="13"/>
        <v>0</v>
      </c>
      <c r="AQ76" s="14">
        <f t="shared" si="13"/>
        <v>0</v>
      </c>
      <c r="AR76" s="14">
        <f t="shared" si="13"/>
        <v>0</v>
      </c>
    </row>
    <row r="77" spans="2:44">
      <c r="B77" s="16" t="s">
        <v>88</v>
      </c>
      <c r="C77" s="17">
        <v>73000</v>
      </c>
      <c r="D77" s="232">
        <f>SUM(E77:AR77)</f>
        <v>2920000</v>
      </c>
      <c r="E77" s="172">
        <f t="shared" ref="E77:AR77" si="14">$C$77</f>
        <v>73000</v>
      </c>
      <c r="F77" s="18">
        <f t="shared" si="14"/>
        <v>73000</v>
      </c>
      <c r="G77" s="18">
        <f t="shared" si="14"/>
        <v>73000</v>
      </c>
      <c r="H77" s="18">
        <f t="shared" si="14"/>
        <v>73000</v>
      </c>
      <c r="I77" s="18">
        <f t="shared" si="14"/>
        <v>73000</v>
      </c>
      <c r="J77" s="18">
        <f t="shared" si="14"/>
        <v>73000</v>
      </c>
      <c r="K77" s="19">
        <f t="shared" si="14"/>
        <v>73000</v>
      </c>
      <c r="L77" s="18">
        <f t="shared" si="14"/>
        <v>73000</v>
      </c>
      <c r="M77" s="19">
        <f t="shared" si="14"/>
        <v>73000</v>
      </c>
      <c r="N77" s="18">
        <f t="shared" si="14"/>
        <v>73000</v>
      </c>
      <c r="O77" s="18">
        <f t="shared" si="14"/>
        <v>73000</v>
      </c>
      <c r="P77" s="18">
        <f t="shared" si="14"/>
        <v>73000</v>
      </c>
      <c r="Q77" s="18">
        <f t="shared" si="14"/>
        <v>73000</v>
      </c>
      <c r="R77" s="18">
        <f t="shared" si="14"/>
        <v>73000</v>
      </c>
      <c r="S77" s="18">
        <f t="shared" si="14"/>
        <v>73000</v>
      </c>
      <c r="T77" s="18">
        <f t="shared" si="14"/>
        <v>73000</v>
      </c>
      <c r="U77" s="18">
        <f t="shared" si="14"/>
        <v>73000</v>
      </c>
      <c r="V77" s="18">
        <f t="shared" si="14"/>
        <v>73000</v>
      </c>
      <c r="W77" s="18">
        <f t="shared" si="14"/>
        <v>73000</v>
      </c>
      <c r="X77" s="18">
        <f t="shared" si="14"/>
        <v>73000</v>
      </c>
      <c r="Y77" s="18">
        <f t="shared" si="14"/>
        <v>73000</v>
      </c>
      <c r="Z77" s="18">
        <f t="shared" si="14"/>
        <v>73000</v>
      </c>
      <c r="AA77" s="18">
        <f t="shared" si="14"/>
        <v>73000</v>
      </c>
      <c r="AB77" s="18">
        <f t="shared" si="14"/>
        <v>73000</v>
      </c>
      <c r="AC77" s="18">
        <f t="shared" si="14"/>
        <v>73000</v>
      </c>
      <c r="AD77" s="18">
        <f t="shared" si="14"/>
        <v>73000</v>
      </c>
      <c r="AE77" s="18">
        <f t="shared" si="14"/>
        <v>73000</v>
      </c>
      <c r="AF77" s="18">
        <f t="shared" si="14"/>
        <v>73000</v>
      </c>
      <c r="AG77" s="18">
        <f t="shared" si="14"/>
        <v>73000</v>
      </c>
      <c r="AH77" s="18">
        <f t="shared" si="14"/>
        <v>73000</v>
      </c>
      <c r="AI77" s="18">
        <f t="shared" si="14"/>
        <v>73000</v>
      </c>
      <c r="AJ77" s="18">
        <f t="shared" si="14"/>
        <v>73000</v>
      </c>
      <c r="AK77" s="18">
        <f t="shared" si="14"/>
        <v>73000</v>
      </c>
      <c r="AL77" s="18">
        <f t="shared" si="14"/>
        <v>73000</v>
      </c>
      <c r="AM77" s="18">
        <f t="shared" si="14"/>
        <v>73000</v>
      </c>
      <c r="AN77" s="18">
        <f t="shared" si="14"/>
        <v>73000</v>
      </c>
      <c r="AO77" s="18">
        <f t="shared" si="14"/>
        <v>73000</v>
      </c>
      <c r="AP77" s="18">
        <f t="shared" si="14"/>
        <v>73000</v>
      </c>
      <c r="AQ77" s="18">
        <f t="shared" si="14"/>
        <v>73000</v>
      </c>
      <c r="AR77" s="18">
        <f t="shared" si="14"/>
        <v>73000</v>
      </c>
    </row>
    <row r="78" spans="2:44">
      <c r="B78" s="16" t="s">
        <v>89</v>
      </c>
      <c r="C78" s="17">
        <v>45000</v>
      </c>
      <c r="D78" s="232">
        <f>SUM(E78:AR78)</f>
        <v>1800000</v>
      </c>
      <c r="E78" s="172">
        <f t="shared" ref="E78:AR78" si="15">$C$78</f>
        <v>45000</v>
      </c>
      <c r="F78" s="18">
        <f t="shared" si="15"/>
        <v>45000</v>
      </c>
      <c r="G78" s="18">
        <f t="shared" si="15"/>
        <v>45000</v>
      </c>
      <c r="H78" s="18">
        <f t="shared" si="15"/>
        <v>45000</v>
      </c>
      <c r="I78" s="18">
        <f t="shared" si="15"/>
        <v>45000</v>
      </c>
      <c r="J78" s="18">
        <f t="shared" si="15"/>
        <v>45000</v>
      </c>
      <c r="K78" s="19">
        <f t="shared" si="15"/>
        <v>45000</v>
      </c>
      <c r="L78" s="18">
        <f t="shared" si="15"/>
        <v>45000</v>
      </c>
      <c r="M78" s="19">
        <f t="shared" si="15"/>
        <v>45000</v>
      </c>
      <c r="N78" s="18">
        <f t="shared" si="15"/>
        <v>45000</v>
      </c>
      <c r="O78" s="18">
        <f t="shared" si="15"/>
        <v>45000</v>
      </c>
      <c r="P78" s="18">
        <f t="shared" si="15"/>
        <v>45000</v>
      </c>
      <c r="Q78" s="18">
        <f t="shared" si="15"/>
        <v>45000</v>
      </c>
      <c r="R78" s="18">
        <f t="shared" si="15"/>
        <v>45000</v>
      </c>
      <c r="S78" s="18">
        <f t="shared" si="15"/>
        <v>45000</v>
      </c>
      <c r="T78" s="18">
        <f t="shared" si="15"/>
        <v>45000</v>
      </c>
      <c r="U78" s="18">
        <f t="shared" si="15"/>
        <v>45000</v>
      </c>
      <c r="V78" s="18">
        <f t="shared" si="15"/>
        <v>45000</v>
      </c>
      <c r="W78" s="18">
        <f t="shared" si="15"/>
        <v>45000</v>
      </c>
      <c r="X78" s="18">
        <f t="shared" si="15"/>
        <v>45000</v>
      </c>
      <c r="Y78" s="18">
        <f t="shared" si="15"/>
        <v>45000</v>
      </c>
      <c r="Z78" s="18">
        <f t="shared" si="15"/>
        <v>45000</v>
      </c>
      <c r="AA78" s="18">
        <f t="shared" si="15"/>
        <v>45000</v>
      </c>
      <c r="AB78" s="18">
        <f t="shared" si="15"/>
        <v>45000</v>
      </c>
      <c r="AC78" s="18">
        <f t="shared" si="15"/>
        <v>45000</v>
      </c>
      <c r="AD78" s="18">
        <f t="shared" si="15"/>
        <v>45000</v>
      </c>
      <c r="AE78" s="18">
        <f t="shared" si="15"/>
        <v>45000</v>
      </c>
      <c r="AF78" s="18">
        <f t="shared" si="15"/>
        <v>45000</v>
      </c>
      <c r="AG78" s="18">
        <f t="shared" si="15"/>
        <v>45000</v>
      </c>
      <c r="AH78" s="18">
        <f t="shared" si="15"/>
        <v>45000</v>
      </c>
      <c r="AI78" s="18">
        <f t="shared" si="15"/>
        <v>45000</v>
      </c>
      <c r="AJ78" s="18">
        <f t="shared" si="15"/>
        <v>45000</v>
      </c>
      <c r="AK78" s="18">
        <f t="shared" si="15"/>
        <v>45000</v>
      </c>
      <c r="AL78" s="18">
        <f t="shared" si="15"/>
        <v>45000</v>
      </c>
      <c r="AM78" s="18">
        <f t="shared" si="15"/>
        <v>45000</v>
      </c>
      <c r="AN78" s="18">
        <f t="shared" si="15"/>
        <v>45000</v>
      </c>
      <c r="AO78" s="18">
        <f t="shared" si="15"/>
        <v>45000</v>
      </c>
      <c r="AP78" s="18">
        <f t="shared" si="15"/>
        <v>45000</v>
      </c>
      <c r="AQ78" s="18">
        <f t="shared" si="15"/>
        <v>45000</v>
      </c>
      <c r="AR78" s="18">
        <f t="shared" si="15"/>
        <v>45000</v>
      </c>
    </row>
    <row r="79" spans="2:44">
      <c r="B79" s="20" t="s">
        <v>90</v>
      </c>
      <c r="C79" s="21">
        <v>7.1</v>
      </c>
      <c r="D79" s="233">
        <f>SUM(E79:AR79)</f>
        <v>3656500</v>
      </c>
      <c r="E79" s="173">
        <f t="shared" ref="E79:AR79" si="16">$C$79*E41</f>
        <v>0</v>
      </c>
      <c r="F79" s="23">
        <f t="shared" si="16"/>
        <v>35500</v>
      </c>
      <c r="G79" s="23">
        <f t="shared" si="16"/>
        <v>106500</v>
      </c>
      <c r="H79" s="23">
        <f t="shared" si="16"/>
        <v>106500</v>
      </c>
      <c r="I79" s="23">
        <f t="shared" si="16"/>
        <v>106500</v>
      </c>
      <c r="J79" s="23">
        <f t="shared" si="16"/>
        <v>99400</v>
      </c>
      <c r="K79" s="22">
        <f t="shared" si="16"/>
        <v>92300</v>
      </c>
      <c r="L79" s="23">
        <f t="shared" si="16"/>
        <v>113600</v>
      </c>
      <c r="M79" s="22">
        <f t="shared" si="16"/>
        <v>120700</v>
      </c>
      <c r="N79" s="23">
        <f t="shared" si="16"/>
        <v>120700</v>
      </c>
      <c r="O79" s="23">
        <f t="shared" si="16"/>
        <v>120700</v>
      </c>
      <c r="P79" s="23">
        <f t="shared" si="16"/>
        <v>127800</v>
      </c>
      <c r="Q79" s="23">
        <f t="shared" si="16"/>
        <v>120700</v>
      </c>
      <c r="R79" s="23">
        <f t="shared" si="16"/>
        <v>106500</v>
      </c>
      <c r="S79" s="23">
        <f t="shared" si="16"/>
        <v>113600</v>
      </c>
      <c r="T79" s="23">
        <f t="shared" si="16"/>
        <v>113600</v>
      </c>
      <c r="U79" s="23">
        <f t="shared" si="16"/>
        <v>113600</v>
      </c>
      <c r="V79" s="23">
        <f t="shared" si="16"/>
        <v>113600</v>
      </c>
      <c r="W79" s="23">
        <f t="shared" si="16"/>
        <v>120700</v>
      </c>
      <c r="X79" s="23">
        <f t="shared" si="16"/>
        <v>113600</v>
      </c>
      <c r="Y79" s="23">
        <f t="shared" si="16"/>
        <v>127800</v>
      </c>
      <c r="Z79" s="23">
        <f t="shared" si="16"/>
        <v>106500</v>
      </c>
      <c r="AA79" s="23">
        <f t="shared" si="16"/>
        <v>120700</v>
      </c>
      <c r="AB79" s="23">
        <f t="shared" si="16"/>
        <v>120700</v>
      </c>
      <c r="AC79" s="23">
        <f t="shared" si="16"/>
        <v>106500</v>
      </c>
      <c r="AD79" s="23">
        <f t="shared" si="16"/>
        <v>106500</v>
      </c>
      <c r="AE79" s="23">
        <f t="shared" si="16"/>
        <v>113600</v>
      </c>
      <c r="AF79" s="23">
        <f t="shared" si="16"/>
        <v>120700</v>
      </c>
      <c r="AG79" s="23">
        <f t="shared" si="16"/>
        <v>113600</v>
      </c>
      <c r="AH79" s="23">
        <f t="shared" si="16"/>
        <v>106500</v>
      </c>
      <c r="AI79" s="23">
        <f t="shared" si="16"/>
        <v>113600</v>
      </c>
      <c r="AJ79" s="23">
        <f t="shared" si="16"/>
        <v>120700</v>
      </c>
      <c r="AK79" s="23">
        <f t="shared" si="16"/>
        <v>99400</v>
      </c>
      <c r="AL79" s="23">
        <f t="shared" si="16"/>
        <v>71000</v>
      </c>
      <c r="AM79" s="23">
        <f t="shared" si="16"/>
        <v>42600</v>
      </c>
      <c r="AN79" s="23">
        <f t="shared" si="16"/>
        <v>0</v>
      </c>
      <c r="AO79" s="23">
        <f t="shared" si="16"/>
        <v>0</v>
      </c>
      <c r="AP79" s="23">
        <f t="shared" si="16"/>
        <v>0</v>
      </c>
      <c r="AQ79" s="23">
        <f t="shared" si="16"/>
        <v>0</v>
      </c>
      <c r="AR79" s="23">
        <f t="shared" si="16"/>
        <v>0</v>
      </c>
    </row>
    <row r="80" spans="2:44">
      <c r="B80" s="24" t="s">
        <v>91</v>
      </c>
      <c r="C80" s="25">
        <f>SUM(E80:N80)</f>
        <v>285129.71999999991</v>
      </c>
      <c r="D80" s="174">
        <f>D59-D76-D77-D78-D79</f>
        <v>6595865.1600000001</v>
      </c>
      <c r="E80" s="26">
        <f t="shared" ref="E80:AR80" si="17">E59-E76-E77-E78-E79</f>
        <v>-118000</v>
      </c>
      <c r="F80" s="26">
        <f t="shared" si="17"/>
        <v>-153500</v>
      </c>
      <c r="G80" s="26">
        <f t="shared" si="17"/>
        <v>-224500</v>
      </c>
      <c r="H80" s="26">
        <f t="shared" si="17"/>
        <v>352294.45999999996</v>
      </c>
      <c r="I80" s="26">
        <f t="shared" si="17"/>
        <v>-42222.700000000012</v>
      </c>
      <c r="J80" s="26">
        <f t="shared" si="17"/>
        <v>-217400</v>
      </c>
      <c r="K80" s="27">
        <f t="shared" si="17"/>
        <v>59160.179999999993</v>
      </c>
      <c r="L80" s="26">
        <f t="shared" si="17"/>
        <v>51146.820000000007</v>
      </c>
      <c r="M80" s="27">
        <f t="shared" si="17"/>
        <v>269436.01</v>
      </c>
      <c r="N80" s="26">
        <f t="shared" si="17"/>
        <v>308714.94999999995</v>
      </c>
      <c r="O80" s="26">
        <f t="shared" si="17"/>
        <v>384347.91999999993</v>
      </c>
      <c r="P80" s="26">
        <f t="shared" si="17"/>
        <v>90181.010000000009</v>
      </c>
      <c r="Q80" s="26">
        <f t="shared" si="17"/>
        <v>-117633.29000000001</v>
      </c>
      <c r="R80" s="26">
        <f t="shared" si="17"/>
        <v>-41113.869999999995</v>
      </c>
      <c r="S80" s="26">
        <f t="shared" si="17"/>
        <v>252631.65000000002</v>
      </c>
      <c r="T80" s="26">
        <f t="shared" si="17"/>
        <v>296631.57000000007</v>
      </c>
      <c r="U80" s="26">
        <f t="shared" si="17"/>
        <v>243431.19</v>
      </c>
      <c r="V80" s="26">
        <f t="shared" si="17"/>
        <v>197408.88</v>
      </c>
      <c r="W80" s="26">
        <f t="shared" si="17"/>
        <v>221930.2</v>
      </c>
      <c r="X80" s="26">
        <f t="shared" si="17"/>
        <v>182399.31</v>
      </c>
      <c r="Y80" s="26">
        <f t="shared" si="17"/>
        <v>301486.61</v>
      </c>
      <c r="Z80" s="26">
        <f t="shared" si="17"/>
        <v>298116.34999999998</v>
      </c>
      <c r="AA80" s="26">
        <f t="shared" si="17"/>
        <v>319040.80000000005</v>
      </c>
      <c r="AB80" s="26">
        <f t="shared" si="17"/>
        <v>226904.41000000003</v>
      </c>
      <c r="AC80" s="26">
        <f t="shared" si="17"/>
        <v>74403.859999999986</v>
      </c>
      <c r="AD80" s="26">
        <f t="shared" si="17"/>
        <v>88915.94</v>
      </c>
      <c r="AE80" s="26">
        <f t="shared" si="17"/>
        <v>16719.960000000021</v>
      </c>
      <c r="AF80" s="26">
        <f t="shared" si="17"/>
        <v>412674.49</v>
      </c>
      <c r="AG80" s="26">
        <f t="shared" si="17"/>
        <v>303590.21999999997</v>
      </c>
      <c r="AH80" s="26">
        <f t="shared" si="17"/>
        <v>743356.79</v>
      </c>
      <c r="AI80" s="26">
        <f t="shared" si="17"/>
        <v>370166.25</v>
      </c>
      <c r="AJ80" s="26">
        <f t="shared" si="17"/>
        <v>519703.84000000008</v>
      </c>
      <c r="AK80" s="26">
        <f t="shared" si="17"/>
        <v>440979.37</v>
      </c>
      <c r="AL80" s="26">
        <f t="shared" si="17"/>
        <v>118561.97999999998</v>
      </c>
      <c r="AM80" s="26">
        <f t="shared" si="17"/>
        <v>-160600</v>
      </c>
      <c r="AN80" s="26">
        <f t="shared" si="17"/>
        <v>-118000</v>
      </c>
      <c r="AO80" s="26">
        <f t="shared" si="17"/>
        <v>-118000</v>
      </c>
      <c r="AP80" s="26">
        <f t="shared" si="17"/>
        <v>-118000</v>
      </c>
      <c r="AQ80" s="26">
        <f t="shared" si="17"/>
        <v>-118000</v>
      </c>
      <c r="AR80" s="26">
        <f t="shared" si="17"/>
        <v>-118000</v>
      </c>
    </row>
    <row r="81" spans="2:44">
      <c r="B81" s="320" t="s">
        <v>92</v>
      </c>
      <c r="C81" s="321"/>
      <c r="D81" s="326"/>
      <c r="E81" s="29">
        <f>+E80</f>
        <v>-118000</v>
      </c>
      <c r="F81" s="29">
        <f t="shared" ref="F81:AR81" si="18">F80+E81</f>
        <v>-271500</v>
      </c>
      <c r="G81" s="29">
        <f t="shared" si="18"/>
        <v>-496000</v>
      </c>
      <c r="H81" s="29">
        <f t="shared" si="18"/>
        <v>-143705.54000000004</v>
      </c>
      <c r="I81" s="29">
        <f t="shared" si="18"/>
        <v>-185928.24000000005</v>
      </c>
      <c r="J81" s="29">
        <f t="shared" si="18"/>
        <v>-403328.24000000005</v>
      </c>
      <c r="K81" s="28">
        <f t="shared" si="18"/>
        <v>-344168.06000000006</v>
      </c>
      <c r="L81" s="29">
        <f t="shared" si="18"/>
        <v>-293021.24000000005</v>
      </c>
      <c r="M81" s="28">
        <f t="shared" si="18"/>
        <v>-23585.23000000004</v>
      </c>
      <c r="N81" s="29">
        <f t="shared" si="18"/>
        <v>285129.71999999991</v>
      </c>
      <c r="O81" s="29">
        <f t="shared" si="18"/>
        <v>669477.6399999999</v>
      </c>
      <c r="P81" s="29">
        <f t="shared" si="18"/>
        <v>759658.64999999991</v>
      </c>
      <c r="Q81" s="29">
        <f t="shared" si="18"/>
        <v>642025.35999999987</v>
      </c>
      <c r="R81" s="29">
        <f t="shared" si="18"/>
        <v>600911.48999999987</v>
      </c>
      <c r="S81" s="29">
        <f t="shared" si="18"/>
        <v>853543.1399999999</v>
      </c>
      <c r="T81" s="29">
        <f t="shared" si="18"/>
        <v>1150174.71</v>
      </c>
      <c r="U81" s="29">
        <f t="shared" si="18"/>
        <v>1393605.9</v>
      </c>
      <c r="V81" s="29">
        <f t="shared" si="18"/>
        <v>1591014.7799999998</v>
      </c>
      <c r="W81" s="29">
        <f t="shared" si="18"/>
        <v>1812944.9799999997</v>
      </c>
      <c r="X81" s="29">
        <f t="shared" si="18"/>
        <v>1995344.2899999998</v>
      </c>
      <c r="Y81" s="29">
        <f t="shared" si="18"/>
        <v>2296830.9</v>
      </c>
      <c r="Z81" s="29">
        <f t="shared" si="18"/>
        <v>2594947.25</v>
      </c>
      <c r="AA81" s="29">
        <f t="shared" si="18"/>
        <v>2913988.05</v>
      </c>
      <c r="AB81" s="29">
        <f t="shared" si="18"/>
        <v>3140892.46</v>
      </c>
      <c r="AC81" s="29">
        <f t="shared" si="18"/>
        <v>3215296.32</v>
      </c>
      <c r="AD81" s="29">
        <f t="shared" si="18"/>
        <v>3304212.26</v>
      </c>
      <c r="AE81" s="29">
        <f t="shared" si="18"/>
        <v>3320932.2199999997</v>
      </c>
      <c r="AF81" s="29">
        <f t="shared" si="18"/>
        <v>3733606.71</v>
      </c>
      <c r="AG81" s="29">
        <f t="shared" si="18"/>
        <v>4037196.9299999997</v>
      </c>
      <c r="AH81" s="29">
        <f t="shared" si="18"/>
        <v>4780553.72</v>
      </c>
      <c r="AI81" s="29">
        <f t="shared" si="18"/>
        <v>5150719.97</v>
      </c>
      <c r="AJ81" s="29">
        <f t="shared" si="18"/>
        <v>5670423.8099999996</v>
      </c>
      <c r="AK81" s="29">
        <f t="shared" si="18"/>
        <v>6111403.1799999997</v>
      </c>
      <c r="AL81" s="29">
        <f t="shared" si="18"/>
        <v>6229965.1600000001</v>
      </c>
      <c r="AM81" s="29">
        <f t="shared" si="18"/>
        <v>6069365.1600000001</v>
      </c>
      <c r="AN81" s="29">
        <f t="shared" si="18"/>
        <v>5951365.1600000001</v>
      </c>
      <c r="AO81" s="29">
        <f t="shared" si="18"/>
        <v>5833365.1600000001</v>
      </c>
      <c r="AP81" s="29">
        <f t="shared" si="18"/>
        <v>5715365.1600000001</v>
      </c>
      <c r="AQ81" s="29">
        <f t="shared" si="18"/>
        <v>5597365.1600000001</v>
      </c>
      <c r="AR81" s="29">
        <f t="shared" si="18"/>
        <v>5479365.1600000001</v>
      </c>
    </row>
    <row r="82" spans="2:44">
      <c r="D82" s="259">
        <f>D80/D59</f>
        <v>0.31116293722683053</v>
      </c>
      <c r="E82" s="259">
        <f t="shared" ref="E82:AR82" si="19">+E81/$D$59</f>
        <v>-5.5667036396429307E-3</v>
      </c>
      <c r="F82" s="259">
        <f t="shared" si="19"/>
        <v>-1.2808135916636066E-2</v>
      </c>
      <c r="G82" s="259">
        <f t="shared" si="19"/>
        <v>-2.3399025468329608E-2</v>
      </c>
      <c r="H82" s="259">
        <f t="shared" si="19"/>
        <v>-6.7793741741936694E-3</v>
      </c>
      <c r="I82" s="259">
        <f t="shared" si="19"/>
        <v>-8.7712492400034286E-3</v>
      </c>
      <c r="J82" s="259">
        <f t="shared" si="19"/>
        <v>-1.9027193064226931E-2</v>
      </c>
      <c r="K82" s="259">
        <f t="shared" si="19"/>
        <v>-1.6236284680091924E-2</v>
      </c>
      <c r="L82" s="259">
        <f t="shared" si="19"/>
        <v>-1.3823410196615975E-2</v>
      </c>
      <c r="M82" s="259">
        <f t="shared" si="19"/>
        <v>-1.1126439464645413E-3</v>
      </c>
      <c r="N82" s="259">
        <f t="shared" si="19"/>
        <v>1.3451124153342113E-2</v>
      </c>
      <c r="O82" s="259">
        <f t="shared" si="19"/>
        <v>3.1582911993623383E-2</v>
      </c>
      <c r="P82" s="259">
        <f t="shared" si="19"/>
        <v>3.583724213424775E-2</v>
      </c>
      <c r="Q82" s="259">
        <f t="shared" si="19"/>
        <v>3.0287838205551375E-2</v>
      </c>
      <c r="R82" s="259">
        <f t="shared" si="19"/>
        <v>2.8348272699036066E-2</v>
      </c>
      <c r="S82" s="259">
        <f t="shared" si="19"/>
        <v>4.0266285627375047E-2</v>
      </c>
      <c r="T82" s="259">
        <f t="shared" si="19"/>
        <v>5.4260014782900441E-2</v>
      </c>
      <c r="U82" s="259">
        <f t="shared" si="19"/>
        <v>6.5743991828456458E-2</v>
      </c>
      <c r="V82" s="259">
        <f t="shared" si="19"/>
        <v>7.5056845479251663E-2</v>
      </c>
      <c r="W82" s="259">
        <f t="shared" si="19"/>
        <v>8.5526503547782878E-2</v>
      </c>
      <c r="X82" s="259">
        <f t="shared" si="19"/>
        <v>9.4131273910879137E-2</v>
      </c>
      <c r="Y82" s="259">
        <f t="shared" si="19"/>
        <v>0.10835404178537583</v>
      </c>
      <c r="Z82" s="259">
        <f t="shared" si="19"/>
        <v>0.1224178161123425</v>
      </c>
      <c r="AA82" s="259">
        <f t="shared" si="19"/>
        <v>0.13746871087975429</v>
      </c>
      <c r="AB82" s="259">
        <f t="shared" si="19"/>
        <v>0.14817302956617828</v>
      </c>
      <c r="AC82" s="259">
        <f t="shared" si="19"/>
        <v>0.15168306548368238</v>
      </c>
      <c r="AD82" s="259">
        <f t="shared" si="19"/>
        <v>0.15587771537198977</v>
      </c>
      <c r="AE82" s="259">
        <f t="shared" si="19"/>
        <v>0.15666648708543623</v>
      </c>
      <c r="AF82" s="259">
        <f t="shared" si="19"/>
        <v>0.17613459374196838</v>
      </c>
      <c r="AG82" s="259">
        <f t="shared" si="19"/>
        <v>0.19045660037445988</v>
      </c>
      <c r="AH82" s="259">
        <f t="shared" si="19"/>
        <v>0.22552479485281823</v>
      </c>
      <c r="AI82" s="259">
        <f t="shared" si="19"/>
        <v>0.24298755596424174</v>
      </c>
      <c r="AJ82" s="259">
        <f t="shared" si="19"/>
        <v>0.26750482085970284</v>
      </c>
      <c r="AK82" s="259">
        <f t="shared" si="19"/>
        <v>0.28830822309687609</v>
      </c>
      <c r="AL82" s="259">
        <f t="shared" si="19"/>
        <v>0.29390143839848015</v>
      </c>
      <c r="AM82" s="259">
        <f t="shared" si="19"/>
        <v>0.28632506039401695</v>
      </c>
      <c r="AN82" s="259">
        <f t="shared" si="19"/>
        <v>0.28075835675437399</v>
      </c>
      <c r="AO82" s="259">
        <f t="shared" si="19"/>
        <v>0.27519165311473109</v>
      </c>
      <c r="AP82" s="259">
        <f t="shared" si="19"/>
        <v>0.26962494947508814</v>
      </c>
      <c r="AQ82" s="259">
        <f t="shared" si="19"/>
        <v>0.26405824583544524</v>
      </c>
      <c r="AR82" s="259">
        <f t="shared" si="19"/>
        <v>0.25849154219580228</v>
      </c>
    </row>
    <row r="84" spans="2:44">
      <c r="B84" s="30" t="s">
        <v>93</v>
      </c>
      <c r="C84" s="31">
        <f>D41/D26</f>
        <v>0.70208539812331894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R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7738-5A7D-4E26-BE62-CD971B4471D3}">
  <dimension ref="A2:AB84"/>
  <sheetViews>
    <sheetView topLeftCell="A5" workbookViewId="0">
      <selection activeCell="F46" sqref="F46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6" max="6" width="9.140625"/>
    <col min="7" max="7" width="9.7109375" customWidth="1"/>
    <col min="8" max="8" width="11.28515625" bestFit="1" customWidth="1"/>
  </cols>
  <sheetData>
    <row r="2" spans="2:28" ht="15.75">
      <c r="B2" s="54" t="s">
        <v>0</v>
      </c>
      <c r="C2" s="109" t="s">
        <v>1</v>
      </c>
    </row>
    <row r="3" spans="2:28" ht="15.75">
      <c r="B3" s="54" t="s">
        <v>2</v>
      </c>
      <c r="C3" s="109">
        <v>14</v>
      </c>
    </row>
    <row r="4" spans="2:28" ht="15.75">
      <c r="B4" s="54" t="s">
        <v>3</v>
      </c>
      <c r="C4" s="110" t="s">
        <v>391</v>
      </c>
    </row>
    <row r="5" spans="2:28" ht="15.75">
      <c r="B5" s="54" t="s">
        <v>4</v>
      </c>
      <c r="C5" s="110"/>
    </row>
    <row r="6" spans="2:28" ht="15.75">
      <c r="B6" s="179" t="s">
        <v>230</v>
      </c>
      <c r="C6" s="110" t="s">
        <v>392</v>
      </c>
    </row>
    <row r="7" spans="2:28" ht="15.75">
      <c r="B7" s="2"/>
      <c r="C7" s="2"/>
    </row>
    <row r="8" spans="2:28" ht="15.75">
      <c r="B8" s="54" t="s">
        <v>5</v>
      </c>
      <c r="D8" s="41" t="s">
        <v>6</v>
      </c>
      <c r="E8" s="42">
        <v>44866</v>
      </c>
      <c r="F8" s="42">
        <v>44867</v>
      </c>
      <c r="G8" s="42">
        <v>44868</v>
      </c>
      <c r="H8" s="42">
        <v>44869</v>
      </c>
      <c r="I8" s="42">
        <v>44870</v>
      </c>
      <c r="J8" s="42">
        <v>44871</v>
      </c>
      <c r="K8" s="42">
        <v>44872</v>
      </c>
      <c r="L8" s="42">
        <v>44873</v>
      </c>
      <c r="M8" s="42">
        <v>44874</v>
      </c>
      <c r="N8" s="42">
        <v>44875</v>
      </c>
      <c r="O8" s="42">
        <v>44876</v>
      </c>
      <c r="P8" s="42">
        <v>44877</v>
      </c>
      <c r="Q8" s="42">
        <v>44878</v>
      </c>
      <c r="R8" s="42">
        <v>44879</v>
      </c>
      <c r="S8" s="42">
        <v>44880</v>
      </c>
      <c r="T8" s="42">
        <v>44881</v>
      </c>
      <c r="U8" s="42">
        <v>44882</v>
      </c>
      <c r="V8" s="42">
        <v>44883</v>
      </c>
      <c r="W8" s="42">
        <v>44884</v>
      </c>
      <c r="X8" s="42">
        <v>44885</v>
      </c>
      <c r="Y8" s="42">
        <v>44886</v>
      </c>
      <c r="Z8" s="42">
        <v>44887</v>
      </c>
      <c r="AA8" s="42">
        <v>44888</v>
      </c>
      <c r="AB8" s="42">
        <v>44889</v>
      </c>
    </row>
    <row r="9" spans="2:28">
      <c r="B9" s="46" t="s">
        <v>7</v>
      </c>
      <c r="C9" s="47" t="s">
        <v>8</v>
      </c>
      <c r="D9" s="71">
        <f>SUM(E9:N9)</f>
        <v>175</v>
      </c>
      <c r="E9" s="114">
        <v>0</v>
      </c>
      <c r="F9" s="114">
        <v>0</v>
      </c>
      <c r="G9" s="114">
        <v>19</v>
      </c>
      <c r="H9" s="114">
        <v>24</v>
      </c>
      <c r="I9" s="114">
        <v>21</v>
      </c>
      <c r="J9" s="114">
        <v>24</v>
      </c>
      <c r="K9" s="114">
        <v>19</v>
      </c>
      <c r="L9" s="114">
        <v>22</v>
      </c>
      <c r="M9" s="114">
        <v>22</v>
      </c>
      <c r="N9" s="114">
        <v>24</v>
      </c>
      <c r="O9" s="114">
        <v>13</v>
      </c>
      <c r="P9" s="114">
        <v>24</v>
      </c>
      <c r="Q9" s="114">
        <v>24</v>
      </c>
      <c r="R9" s="114">
        <v>22</v>
      </c>
      <c r="S9" s="114">
        <v>0</v>
      </c>
      <c r="T9" s="114">
        <v>20</v>
      </c>
      <c r="U9" s="114">
        <v>20</v>
      </c>
      <c r="V9" s="114">
        <v>24</v>
      </c>
      <c r="W9" s="114">
        <v>15</v>
      </c>
      <c r="X9" s="114">
        <v>18</v>
      </c>
      <c r="Y9" s="114">
        <v>2.5</v>
      </c>
      <c r="Z9" s="114">
        <v>0</v>
      </c>
      <c r="AA9" s="114">
        <v>0</v>
      </c>
      <c r="AB9" s="114">
        <v>0</v>
      </c>
    </row>
    <row r="10" spans="2:28">
      <c r="B10" s="48" t="s">
        <v>9</v>
      </c>
      <c r="C10" s="38" t="s">
        <v>8</v>
      </c>
      <c r="D10" s="71">
        <f t="shared" ref="D10:D16" si="0">SUM(E10:K10)</f>
        <v>30</v>
      </c>
      <c r="E10" s="115">
        <v>0</v>
      </c>
      <c r="F10" s="115">
        <v>20</v>
      </c>
      <c r="G10" s="115">
        <v>2</v>
      </c>
      <c r="H10" s="115">
        <v>0</v>
      </c>
      <c r="I10" s="115">
        <v>3</v>
      </c>
      <c r="J10" s="115">
        <v>0</v>
      </c>
      <c r="K10" s="115">
        <v>5</v>
      </c>
      <c r="L10" s="115">
        <v>2</v>
      </c>
      <c r="M10" s="115">
        <v>2</v>
      </c>
      <c r="N10" s="115">
        <v>0</v>
      </c>
      <c r="O10" s="115">
        <v>11</v>
      </c>
      <c r="P10" s="115">
        <v>0</v>
      </c>
      <c r="Q10" s="115">
        <v>0</v>
      </c>
      <c r="R10" s="115">
        <v>2</v>
      </c>
      <c r="S10" s="115">
        <v>0</v>
      </c>
      <c r="T10" s="115">
        <v>4</v>
      </c>
      <c r="U10" s="115">
        <v>4</v>
      </c>
      <c r="V10" s="115">
        <v>0</v>
      </c>
      <c r="W10" s="115">
        <v>9</v>
      </c>
      <c r="X10" s="115">
        <v>6</v>
      </c>
      <c r="Y10" s="115">
        <v>21.5</v>
      </c>
      <c r="Z10" s="115">
        <v>0</v>
      </c>
      <c r="AA10" s="115">
        <v>0</v>
      </c>
      <c r="AB10" s="115">
        <v>0</v>
      </c>
    </row>
    <row r="11" spans="2:28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</row>
    <row r="12" spans="2:28">
      <c r="B12" s="48" t="s">
        <v>11</v>
      </c>
      <c r="C12" s="38" t="s">
        <v>8</v>
      </c>
      <c r="D12" s="71">
        <f t="shared" si="0"/>
        <v>8</v>
      </c>
      <c r="E12" s="115">
        <v>8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21.5</v>
      </c>
      <c r="AA12" s="115">
        <v>12</v>
      </c>
      <c r="AB12" s="115">
        <v>0</v>
      </c>
    </row>
    <row r="13" spans="2:28">
      <c r="B13" s="48" t="s">
        <v>12</v>
      </c>
      <c r="C13" s="38" t="s">
        <v>8</v>
      </c>
      <c r="D13" s="71">
        <f t="shared" si="0"/>
        <v>16</v>
      </c>
      <c r="E13" s="115">
        <v>12</v>
      </c>
      <c r="F13" s="115">
        <v>4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2.5</v>
      </c>
      <c r="AA13" s="115">
        <v>12</v>
      </c>
      <c r="AB13" s="115">
        <v>0</v>
      </c>
    </row>
    <row r="14" spans="2:28">
      <c r="B14" s="48" t="s">
        <v>13</v>
      </c>
      <c r="C14" s="38" t="s">
        <v>8</v>
      </c>
      <c r="D14" s="71">
        <f t="shared" si="0"/>
        <v>2</v>
      </c>
      <c r="E14" s="115">
        <v>2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</row>
    <row r="15" spans="2:28">
      <c r="B15" s="49" t="s">
        <v>14</v>
      </c>
      <c r="C15" s="40" t="s">
        <v>8</v>
      </c>
      <c r="D15" s="71">
        <f t="shared" si="0"/>
        <v>5</v>
      </c>
      <c r="E15" s="116">
        <v>2</v>
      </c>
      <c r="F15" s="116">
        <v>0</v>
      </c>
      <c r="G15" s="116">
        <v>3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2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</row>
    <row r="16" spans="2:28">
      <c r="B16" s="68" t="s">
        <v>15</v>
      </c>
      <c r="C16" s="69" t="s">
        <v>8</v>
      </c>
      <c r="D16" s="70">
        <f t="shared" si="0"/>
        <v>168</v>
      </c>
      <c r="E16" s="117">
        <f t="shared" ref="E16:AB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0</v>
      </c>
      <c r="T16" s="117">
        <f t="shared" si="1"/>
        <v>24</v>
      </c>
      <c r="U16" s="117">
        <f t="shared" si="1"/>
        <v>26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0</v>
      </c>
    </row>
    <row r="18" spans="1:28">
      <c r="B18" s="50" t="s">
        <v>16</v>
      </c>
      <c r="C18" s="50" t="s">
        <v>0</v>
      </c>
      <c r="D18" s="58">
        <f>SUM(E18:K18)</f>
        <v>0</v>
      </c>
      <c r="E18" s="127" t="s">
        <v>203</v>
      </c>
      <c r="F18" s="127" t="s">
        <v>393</v>
      </c>
      <c r="G18" s="127" t="s">
        <v>178</v>
      </c>
      <c r="H18" s="127" t="s">
        <v>178</v>
      </c>
      <c r="I18" s="127" t="s">
        <v>178</v>
      </c>
      <c r="J18" s="127" t="s">
        <v>223</v>
      </c>
      <c r="K18" s="127" t="s">
        <v>394</v>
      </c>
      <c r="L18" s="127" t="s">
        <v>394</v>
      </c>
      <c r="M18" s="127" t="s">
        <v>394</v>
      </c>
      <c r="N18" s="127" t="s">
        <v>394</v>
      </c>
      <c r="O18" s="127" t="s">
        <v>394</v>
      </c>
      <c r="P18" s="127" t="s">
        <v>395</v>
      </c>
      <c r="Q18" s="127" t="s">
        <v>202</v>
      </c>
      <c r="R18" s="127" t="s">
        <v>178</v>
      </c>
      <c r="S18" s="127" t="s">
        <v>178</v>
      </c>
      <c r="T18" s="127" t="s">
        <v>396</v>
      </c>
      <c r="U18" s="127" t="s">
        <v>397</v>
      </c>
      <c r="V18" s="127" t="s">
        <v>398</v>
      </c>
      <c r="W18" s="127" t="s">
        <v>202</v>
      </c>
      <c r="X18" s="127" t="s">
        <v>202</v>
      </c>
      <c r="Y18" s="127">
        <v>0</v>
      </c>
      <c r="Z18" s="127">
        <v>0</v>
      </c>
      <c r="AA18" s="127">
        <v>0</v>
      </c>
      <c r="AB18" s="127">
        <v>0</v>
      </c>
    </row>
    <row r="19" spans="1:28">
      <c r="B19" s="37" t="s">
        <v>31</v>
      </c>
      <c r="C19" s="37" t="s">
        <v>32</v>
      </c>
      <c r="D19" s="131">
        <f>SUM(E19:AB19)</f>
        <v>302.5</v>
      </c>
      <c r="E19" s="162">
        <v>0</v>
      </c>
      <c r="F19" s="162"/>
      <c r="G19" s="162" t="s">
        <v>254</v>
      </c>
      <c r="H19" s="162">
        <v>19</v>
      </c>
      <c r="I19" s="162">
        <v>20</v>
      </c>
      <c r="J19" s="162">
        <v>21</v>
      </c>
      <c r="K19" s="162">
        <v>13</v>
      </c>
      <c r="L19" s="162">
        <v>20</v>
      </c>
      <c r="M19" s="162">
        <v>19</v>
      </c>
      <c r="N19" s="162">
        <v>21</v>
      </c>
      <c r="O19" s="162">
        <v>11</v>
      </c>
      <c r="P19" s="162">
        <v>23</v>
      </c>
      <c r="Q19" s="162">
        <v>16</v>
      </c>
      <c r="R19" s="162">
        <v>18.5</v>
      </c>
      <c r="S19" s="162">
        <v>20.5</v>
      </c>
      <c r="T19" s="162">
        <v>15</v>
      </c>
      <c r="U19" s="162">
        <v>15</v>
      </c>
      <c r="V19" s="162">
        <v>23</v>
      </c>
      <c r="W19" s="162">
        <v>12</v>
      </c>
      <c r="X19" s="162">
        <v>13</v>
      </c>
      <c r="Y19" s="162">
        <v>2.5</v>
      </c>
      <c r="Z19" s="162">
        <v>0</v>
      </c>
      <c r="AA19" s="162">
        <v>0</v>
      </c>
      <c r="AB19" s="162">
        <v>0</v>
      </c>
    </row>
    <row r="20" spans="1:28">
      <c r="B20" s="37" t="s">
        <v>35</v>
      </c>
      <c r="C20" s="37" t="s">
        <v>36</v>
      </c>
      <c r="D20" s="131">
        <f>SUM(E20:AB20)</f>
        <v>60</v>
      </c>
      <c r="E20" s="162">
        <v>0</v>
      </c>
      <c r="F20" s="162">
        <v>0</v>
      </c>
      <c r="G20" s="162">
        <v>3</v>
      </c>
      <c r="H20" s="162">
        <v>3</v>
      </c>
      <c r="I20" s="162">
        <v>4</v>
      </c>
      <c r="J20" s="162">
        <v>4</v>
      </c>
      <c r="K20" s="162">
        <v>3</v>
      </c>
      <c r="L20" s="162">
        <v>4</v>
      </c>
      <c r="M20" s="162">
        <v>3</v>
      </c>
      <c r="N20" s="162">
        <v>3</v>
      </c>
      <c r="O20" s="162">
        <v>2</v>
      </c>
      <c r="P20" s="162">
        <v>4</v>
      </c>
      <c r="Q20" s="162">
        <v>4</v>
      </c>
      <c r="R20" s="162">
        <v>4</v>
      </c>
      <c r="S20" s="162">
        <v>3</v>
      </c>
      <c r="T20" s="162">
        <v>2</v>
      </c>
      <c r="U20" s="162">
        <v>3</v>
      </c>
      <c r="V20" s="162">
        <v>4</v>
      </c>
      <c r="W20" s="162">
        <v>3</v>
      </c>
      <c r="X20" s="162">
        <v>3</v>
      </c>
      <c r="Y20" s="162">
        <v>1</v>
      </c>
      <c r="Z20" s="162">
        <v>0</v>
      </c>
      <c r="AA20" s="162">
        <v>0</v>
      </c>
      <c r="AB20" s="162">
        <v>0</v>
      </c>
    </row>
    <row r="21" spans="1:28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 t="s">
        <v>399</v>
      </c>
      <c r="H21" s="129" t="s">
        <v>399</v>
      </c>
      <c r="I21" s="129" t="s">
        <v>399</v>
      </c>
      <c r="J21" s="129" t="s">
        <v>399</v>
      </c>
      <c r="K21" s="129" t="s">
        <v>399</v>
      </c>
      <c r="L21" s="129" t="s">
        <v>399</v>
      </c>
      <c r="M21" s="129" t="s">
        <v>399</v>
      </c>
      <c r="N21" s="129" t="s">
        <v>399</v>
      </c>
      <c r="O21" s="129" t="s">
        <v>399</v>
      </c>
      <c r="P21" s="129" t="s">
        <v>399</v>
      </c>
      <c r="Q21" s="129" t="s">
        <v>399</v>
      </c>
      <c r="R21" s="129" t="s">
        <v>399</v>
      </c>
      <c r="S21" s="129" t="s">
        <v>399</v>
      </c>
      <c r="T21" s="129" t="s">
        <v>399</v>
      </c>
      <c r="U21" s="129" t="s">
        <v>399</v>
      </c>
      <c r="V21" s="129" t="s">
        <v>399</v>
      </c>
      <c r="W21" s="129" t="s">
        <v>399</v>
      </c>
      <c r="X21" s="129" t="s">
        <v>399</v>
      </c>
      <c r="Y21" s="129" t="s">
        <v>399</v>
      </c>
      <c r="Z21" s="129">
        <v>0</v>
      </c>
      <c r="AA21" s="129">
        <v>0</v>
      </c>
      <c r="AB21" s="129">
        <v>0</v>
      </c>
    </row>
    <row r="22" spans="1:28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4" spans="1:28">
      <c r="B24" s="167" t="s">
        <v>43</v>
      </c>
      <c r="C24" s="168">
        <f>D26/D19</f>
        <v>1149.0247933884298</v>
      </c>
    </row>
    <row r="25" spans="1:28">
      <c r="D25" s="10"/>
    </row>
    <row r="26" spans="1:28">
      <c r="A26" s="312" t="s">
        <v>44</v>
      </c>
      <c r="B26" s="35" t="s">
        <v>45</v>
      </c>
      <c r="C26" s="35"/>
      <c r="D26" s="175">
        <f>SUM(E26:AB26)</f>
        <v>347580</v>
      </c>
      <c r="E26" s="75">
        <f t="shared" ref="E26:AB26" si="2">SUM(E27:E38)</f>
        <v>0</v>
      </c>
      <c r="F26" s="175">
        <f t="shared" si="2"/>
        <v>0</v>
      </c>
      <c r="G26" s="75">
        <f>SUM(G27:G38)</f>
        <v>21034</v>
      </c>
      <c r="H26" s="175">
        <f t="shared" si="2"/>
        <v>17236</v>
      </c>
      <c r="I26" s="75">
        <f t="shared" si="2"/>
        <v>19824</v>
      </c>
      <c r="J26" s="175">
        <f t="shared" si="2"/>
        <v>16769</v>
      </c>
      <c r="K26" s="75">
        <f t="shared" si="2"/>
        <v>9682</v>
      </c>
      <c r="L26" s="175">
        <f t="shared" si="2"/>
        <v>15909</v>
      </c>
      <c r="M26" s="75">
        <f t="shared" si="2"/>
        <v>19946</v>
      </c>
      <c r="N26" s="175">
        <f t="shared" si="2"/>
        <v>29278</v>
      </c>
      <c r="O26" s="75">
        <f t="shared" si="2"/>
        <v>12038</v>
      </c>
      <c r="P26" s="175">
        <f t="shared" si="2"/>
        <v>18352</v>
      </c>
      <c r="Q26" s="75">
        <f t="shared" si="2"/>
        <v>16038</v>
      </c>
      <c r="R26" s="175">
        <f t="shared" si="2"/>
        <v>15394</v>
      </c>
      <c r="S26" s="75">
        <f t="shared" si="2"/>
        <v>16155</v>
      </c>
      <c r="T26" s="175">
        <f t="shared" si="2"/>
        <v>13008</v>
      </c>
      <c r="U26" s="75">
        <f t="shared" si="2"/>
        <v>13485</v>
      </c>
      <c r="V26" s="175">
        <f t="shared" si="2"/>
        <v>23847</v>
      </c>
      <c r="W26" s="75">
        <f t="shared" si="2"/>
        <v>21953</v>
      </c>
      <c r="X26" s="175">
        <f t="shared" si="2"/>
        <v>33615</v>
      </c>
      <c r="Y26" s="75">
        <f t="shared" si="2"/>
        <v>14017</v>
      </c>
      <c r="Z26" s="175">
        <f t="shared" si="2"/>
        <v>0</v>
      </c>
      <c r="AA26" s="75">
        <f t="shared" si="2"/>
        <v>0</v>
      </c>
      <c r="AB26" s="175">
        <f t="shared" si="2"/>
        <v>0</v>
      </c>
    </row>
    <row r="27" spans="1:28">
      <c r="A27" s="313"/>
      <c r="B27" s="37" t="s">
        <v>47</v>
      </c>
      <c r="C27" s="38" t="s">
        <v>48</v>
      </c>
      <c r="D27" s="73">
        <f t="shared" ref="D27:D38" si="3">SUM(E27:AB27)</f>
        <v>230932</v>
      </c>
      <c r="E27" s="55">
        <v>0</v>
      </c>
      <c r="F27" s="55">
        <v>0</v>
      </c>
      <c r="G27" s="55">
        <v>17842</v>
      </c>
      <c r="H27" s="55">
        <v>12956</v>
      </c>
      <c r="I27" s="55">
        <v>12879</v>
      </c>
      <c r="J27" s="55">
        <v>7230</v>
      </c>
      <c r="K27" s="55">
        <v>3619</v>
      </c>
      <c r="L27" s="55">
        <v>8535</v>
      </c>
      <c r="M27" s="55">
        <v>13570</v>
      </c>
      <c r="N27" s="55">
        <v>22172</v>
      </c>
      <c r="O27" s="55">
        <v>8948</v>
      </c>
      <c r="P27" s="55">
        <v>14024</v>
      </c>
      <c r="Q27" s="55">
        <v>10628</v>
      </c>
      <c r="R27" s="55">
        <v>12181</v>
      </c>
      <c r="S27" s="55">
        <v>11312</v>
      </c>
      <c r="T27" s="55">
        <v>6576</v>
      </c>
      <c r="U27" s="55">
        <v>3898</v>
      </c>
      <c r="V27" s="55">
        <v>13820</v>
      </c>
      <c r="W27" s="55">
        <v>18938</v>
      </c>
      <c r="X27" s="55">
        <v>31804</v>
      </c>
      <c r="Y27" s="55">
        <v>0</v>
      </c>
      <c r="Z27" s="55">
        <v>0</v>
      </c>
      <c r="AA27" s="55">
        <v>0</v>
      </c>
      <c r="AB27" s="55">
        <v>0</v>
      </c>
    </row>
    <row r="28" spans="1:28">
      <c r="A28" s="313"/>
      <c r="B28" s="37" t="s">
        <v>49</v>
      </c>
      <c r="C28" s="38" t="s">
        <v>48</v>
      </c>
      <c r="D28" s="73">
        <f t="shared" si="3"/>
        <v>63073</v>
      </c>
      <c r="E28" s="55">
        <v>0</v>
      </c>
      <c r="F28" s="55">
        <v>0</v>
      </c>
      <c r="G28" s="55">
        <v>3008</v>
      </c>
      <c r="H28" s="55">
        <v>2632</v>
      </c>
      <c r="I28" s="55">
        <v>5029</v>
      </c>
      <c r="J28" s="55">
        <v>5734</v>
      </c>
      <c r="K28" s="55">
        <v>5123</v>
      </c>
      <c r="L28" s="55">
        <v>5734</v>
      </c>
      <c r="M28" s="55">
        <v>3901</v>
      </c>
      <c r="N28" s="55">
        <v>4324</v>
      </c>
      <c r="O28" s="55">
        <v>1386</v>
      </c>
      <c r="P28" s="55">
        <v>1363</v>
      </c>
      <c r="Q28" s="55">
        <v>588</v>
      </c>
      <c r="R28" s="55">
        <v>1386</v>
      </c>
      <c r="S28" s="55">
        <v>2773</v>
      </c>
      <c r="T28" s="55">
        <v>4277</v>
      </c>
      <c r="U28" s="55">
        <v>4559</v>
      </c>
      <c r="V28" s="55">
        <v>9118</v>
      </c>
      <c r="W28" s="55">
        <v>1880</v>
      </c>
      <c r="X28" s="55">
        <v>258</v>
      </c>
      <c r="Y28" s="55">
        <v>0</v>
      </c>
      <c r="Z28" s="55">
        <v>0</v>
      </c>
      <c r="AA28" s="55">
        <v>0</v>
      </c>
      <c r="AB28" s="55">
        <v>0</v>
      </c>
    </row>
    <row r="29" spans="1:28">
      <c r="A29" s="313"/>
      <c r="B29" s="37" t="s">
        <v>50</v>
      </c>
      <c r="C29" s="38" t="s">
        <v>48</v>
      </c>
      <c r="D29" s="73">
        <f t="shared" si="3"/>
        <v>188</v>
      </c>
      <c r="E29" s="55">
        <v>0</v>
      </c>
      <c r="F29" s="55">
        <v>0</v>
      </c>
      <c r="G29" s="55"/>
      <c r="H29" s="55">
        <v>141</v>
      </c>
      <c r="I29" s="55"/>
      <c r="J29" s="55">
        <v>47</v>
      </c>
      <c r="K29" s="55"/>
      <c r="L29" s="55"/>
      <c r="M29" s="55"/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/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</row>
    <row r="30" spans="1:28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</row>
    <row r="31" spans="1:28">
      <c r="A31" s="313"/>
      <c r="B31" s="37" t="s">
        <v>52</v>
      </c>
      <c r="C31" s="38" t="s">
        <v>48</v>
      </c>
      <c r="D31" s="73">
        <f t="shared" si="3"/>
        <v>14472</v>
      </c>
      <c r="E31" s="55">
        <v>0</v>
      </c>
      <c r="F31" s="55">
        <v>0</v>
      </c>
      <c r="G31" s="55"/>
      <c r="H31" s="55">
        <v>198</v>
      </c>
      <c r="I31" s="55">
        <v>108</v>
      </c>
      <c r="J31" s="55">
        <v>2214</v>
      </c>
      <c r="K31" s="55"/>
      <c r="L31" s="55">
        <v>1152</v>
      </c>
      <c r="M31" s="55">
        <v>1962</v>
      </c>
      <c r="N31" s="55">
        <v>2520</v>
      </c>
      <c r="O31" s="55">
        <v>1206</v>
      </c>
      <c r="P31" s="55">
        <v>306</v>
      </c>
      <c r="Q31" s="55">
        <v>360</v>
      </c>
      <c r="R31" s="55">
        <v>882</v>
      </c>
      <c r="S31" s="55">
        <v>972</v>
      </c>
      <c r="T31" s="55">
        <v>720</v>
      </c>
      <c r="U31" s="55">
        <v>36</v>
      </c>
      <c r="V31" s="55">
        <v>324</v>
      </c>
      <c r="W31" s="55">
        <v>576</v>
      </c>
      <c r="X31" s="55">
        <v>936</v>
      </c>
      <c r="Y31" s="55">
        <v>0</v>
      </c>
      <c r="Z31" s="55">
        <v>0</v>
      </c>
      <c r="AA31" s="55">
        <v>0</v>
      </c>
      <c r="AB31" s="55">
        <v>0</v>
      </c>
    </row>
    <row r="32" spans="1:28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</row>
    <row r="33" spans="1:28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</row>
    <row r="34" spans="1:28">
      <c r="A34" s="313"/>
      <c r="B34" s="37" t="s">
        <v>55</v>
      </c>
      <c r="C34" s="38" t="s">
        <v>48</v>
      </c>
      <c r="D34" s="73">
        <f t="shared" si="3"/>
        <v>19219</v>
      </c>
      <c r="E34" s="55">
        <v>0</v>
      </c>
      <c r="F34" s="55">
        <v>0</v>
      </c>
      <c r="G34" s="55">
        <v>84</v>
      </c>
      <c r="H34" s="55">
        <v>310</v>
      </c>
      <c r="I34" s="55">
        <v>905</v>
      </c>
      <c r="J34" s="55">
        <v>21</v>
      </c>
      <c r="K34" s="55">
        <v>0</v>
      </c>
      <c r="L34" s="55">
        <v>63</v>
      </c>
      <c r="M34" s="55">
        <v>0</v>
      </c>
      <c r="N34" s="55">
        <v>40</v>
      </c>
      <c r="O34" s="55">
        <v>208</v>
      </c>
      <c r="P34" s="55">
        <v>1785</v>
      </c>
      <c r="Q34" s="55">
        <v>3402</v>
      </c>
      <c r="R34" s="55">
        <v>525</v>
      </c>
      <c r="S34" s="55">
        <v>126</v>
      </c>
      <c r="T34" s="55">
        <v>21</v>
      </c>
      <c r="U34" s="55">
        <v>210</v>
      </c>
      <c r="V34" s="55">
        <v>105</v>
      </c>
      <c r="W34" s="55">
        <v>21</v>
      </c>
      <c r="X34" s="55">
        <v>376</v>
      </c>
      <c r="Y34" s="55">
        <v>11017</v>
      </c>
      <c r="Z34" s="55">
        <v>0</v>
      </c>
      <c r="AA34" s="55">
        <v>0</v>
      </c>
      <c r="AB34" s="55">
        <v>0</v>
      </c>
    </row>
    <row r="35" spans="1:28">
      <c r="A35" s="313"/>
      <c r="B35" s="37" t="s">
        <v>56</v>
      </c>
      <c r="C35" s="38" t="s">
        <v>48</v>
      </c>
      <c r="D35" s="73">
        <f t="shared" si="3"/>
        <v>4800</v>
      </c>
      <c r="E35" s="55">
        <v>0</v>
      </c>
      <c r="F35" s="55">
        <v>0</v>
      </c>
      <c r="G35" s="55">
        <v>0</v>
      </c>
      <c r="H35" s="55">
        <v>0</v>
      </c>
      <c r="I35" s="55">
        <v>240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540</v>
      </c>
      <c r="Q35" s="55">
        <v>860</v>
      </c>
      <c r="R35" s="55">
        <v>140</v>
      </c>
      <c r="S35" s="55">
        <v>20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3000</v>
      </c>
      <c r="Z35" s="55">
        <v>0</v>
      </c>
      <c r="AA35" s="55">
        <v>0</v>
      </c>
      <c r="AB35" s="55">
        <v>0</v>
      </c>
    </row>
    <row r="36" spans="1:28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</row>
    <row r="37" spans="1:28">
      <c r="A37" s="313"/>
      <c r="B37" s="37" t="s">
        <v>58</v>
      </c>
      <c r="C37" s="38" t="s">
        <v>48</v>
      </c>
      <c r="D37" s="73">
        <f t="shared" si="3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</row>
    <row r="38" spans="1:28">
      <c r="A38" s="314"/>
      <c r="B38" s="39" t="s">
        <v>59</v>
      </c>
      <c r="C38" s="40" t="s">
        <v>48</v>
      </c>
      <c r="D38" s="73">
        <f t="shared" si="3"/>
        <v>14896</v>
      </c>
      <c r="E38" s="55">
        <v>0</v>
      </c>
      <c r="F38" s="55">
        <v>0</v>
      </c>
      <c r="G38" s="55">
        <v>100</v>
      </c>
      <c r="H38" s="55">
        <v>999</v>
      </c>
      <c r="I38" s="55">
        <v>663</v>
      </c>
      <c r="J38" s="55">
        <v>1523</v>
      </c>
      <c r="K38" s="55">
        <v>940</v>
      </c>
      <c r="L38" s="55">
        <v>425</v>
      </c>
      <c r="M38" s="55">
        <v>513</v>
      </c>
      <c r="N38" s="55">
        <v>222</v>
      </c>
      <c r="O38" s="55">
        <v>290</v>
      </c>
      <c r="P38" s="55">
        <v>334</v>
      </c>
      <c r="Q38" s="55">
        <v>200</v>
      </c>
      <c r="R38" s="55">
        <v>280</v>
      </c>
      <c r="S38" s="55">
        <v>952</v>
      </c>
      <c r="T38" s="55">
        <v>1414</v>
      </c>
      <c r="U38" s="55">
        <v>4782</v>
      </c>
      <c r="V38" s="55">
        <v>480</v>
      </c>
      <c r="W38" s="55">
        <v>538</v>
      </c>
      <c r="X38" s="55">
        <v>241</v>
      </c>
      <c r="Y38" s="55">
        <v>0</v>
      </c>
      <c r="Z38" s="55">
        <v>0</v>
      </c>
      <c r="AA38" s="55">
        <v>0</v>
      </c>
      <c r="AB38" s="55">
        <v>0</v>
      </c>
    </row>
    <row r="39" spans="1:28">
      <c r="A39" s="164"/>
      <c r="B39" s="94" t="s">
        <v>149</v>
      </c>
      <c r="C39" s="166"/>
      <c r="D39" s="192">
        <f t="shared" ref="D39:AB39" si="4">D37/D26</f>
        <v>0</v>
      </c>
      <c r="E39" s="262" t="e">
        <f t="shared" si="4"/>
        <v>#DIV/0!</v>
      </c>
      <c r="F39" s="170" t="e">
        <f t="shared" si="4"/>
        <v>#DIV/0!</v>
      </c>
      <c r="G39" s="170">
        <f t="shared" si="4"/>
        <v>0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 t="e">
        <f t="shared" si="4"/>
        <v>#DIV/0!</v>
      </c>
      <c r="AA39" s="170" t="e">
        <f t="shared" si="4"/>
        <v>#DIV/0!</v>
      </c>
      <c r="AB39" s="170" t="e">
        <f t="shared" si="4"/>
        <v>#DIV/0!</v>
      </c>
    </row>
    <row r="40" spans="1:28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</row>
    <row r="41" spans="1:28">
      <c r="A41" s="324" t="s">
        <v>60</v>
      </c>
      <c r="B41" s="50" t="s">
        <v>61</v>
      </c>
      <c r="C41" s="91" t="s">
        <v>62</v>
      </c>
      <c r="D41" s="81">
        <f>SUM(E41:AB41)</f>
        <v>311000</v>
      </c>
      <c r="E41" s="86">
        <v>3000</v>
      </c>
      <c r="F41" s="86">
        <v>13000</v>
      </c>
      <c r="G41" s="86">
        <v>14000</v>
      </c>
      <c r="H41" s="86">
        <v>14000</v>
      </c>
      <c r="I41" s="86">
        <v>15000</v>
      </c>
      <c r="J41" s="86">
        <v>16000</v>
      </c>
      <c r="K41" s="86">
        <v>16000</v>
      </c>
      <c r="L41" s="86">
        <v>14000</v>
      </c>
      <c r="M41" s="86">
        <v>15000</v>
      </c>
      <c r="N41" s="86">
        <v>15000</v>
      </c>
      <c r="O41" s="86">
        <v>16000</v>
      </c>
      <c r="P41" s="86">
        <v>14000</v>
      </c>
      <c r="Q41" s="86">
        <v>14000</v>
      </c>
      <c r="R41" s="86">
        <v>14000</v>
      </c>
      <c r="S41" s="86">
        <v>14000</v>
      </c>
      <c r="T41" s="86">
        <v>16000</v>
      </c>
      <c r="U41" s="86">
        <v>15000</v>
      </c>
      <c r="V41" s="86">
        <v>14000</v>
      </c>
      <c r="W41" s="86">
        <v>15000</v>
      </c>
      <c r="X41" s="86">
        <v>16000</v>
      </c>
      <c r="Y41" s="86">
        <v>20000</v>
      </c>
      <c r="Z41" s="86">
        <v>8000</v>
      </c>
      <c r="AA41" s="86">
        <v>0</v>
      </c>
      <c r="AB41" s="86">
        <v>0</v>
      </c>
    </row>
    <row r="42" spans="1:28">
      <c r="A42" s="325"/>
      <c r="B42" s="39" t="s">
        <v>63</v>
      </c>
      <c r="C42" s="92" t="s">
        <v>62</v>
      </c>
      <c r="D42" s="82">
        <f>SUM(E42:AB42)</f>
        <v>600</v>
      </c>
      <c r="E42" s="87">
        <v>0</v>
      </c>
      <c r="F42" s="87">
        <v>200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100</v>
      </c>
      <c r="O42" s="87">
        <v>0</v>
      </c>
      <c r="P42" s="87">
        <v>0</v>
      </c>
      <c r="Q42" s="87">
        <v>0</v>
      </c>
      <c r="R42" s="87">
        <v>0</v>
      </c>
      <c r="S42" s="87">
        <v>200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100</v>
      </c>
      <c r="Z42" s="87">
        <v>0</v>
      </c>
      <c r="AA42" s="87">
        <v>0</v>
      </c>
      <c r="AB42" s="87">
        <v>0</v>
      </c>
    </row>
    <row r="44" spans="1:28">
      <c r="B44" s="167" t="s">
        <v>240</v>
      </c>
      <c r="C44" s="184" t="s">
        <v>241</v>
      </c>
      <c r="D44" s="187">
        <f>D41/D26</f>
        <v>0.89475804131422987</v>
      </c>
      <c r="E44" s="185" t="e">
        <f t="shared" ref="E44:AB44" si="5">E41/E26</f>
        <v>#DIV/0!</v>
      </c>
      <c r="F44" s="188" t="e">
        <f t="shared" si="5"/>
        <v>#DIV/0!</v>
      </c>
      <c r="G44" s="186">
        <f t="shared" si="5"/>
        <v>0.66558904630598081</v>
      </c>
      <c r="H44" s="188">
        <f t="shared" si="5"/>
        <v>0.81225342306799719</v>
      </c>
      <c r="I44" s="186">
        <f t="shared" si="5"/>
        <v>0.7566585956416465</v>
      </c>
      <c r="J44" s="188">
        <f t="shared" si="5"/>
        <v>0.95414157075556083</v>
      </c>
      <c r="K44" s="186">
        <f t="shared" si="5"/>
        <v>1.6525511258004544</v>
      </c>
      <c r="L44" s="188">
        <f t="shared" si="5"/>
        <v>0.88000502860016339</v>
      </c>
      <c r="M44" s="186">
        <f t="shared" si="5"/>
        <v>0.75203048230221603</v>
      </c>
      <c r="N44" s="188">
        <f t="shared" si="5"/>
        <v>0.51233007719106494</v>
      </c>
      <c r="O44" s="186">
        <f t="shared" si="5"/>
        <v>1.3291244392756272</v>
      </c>
      <c r="P44" s="188">
        <f t="shared" si="5"/>
        <v>0.76285963382737576</v>
      </c>
      <c r="Q44" s="186">
        <f t="shared" si="5"/>
        <v>0.87292679885272473</v>
      </c>
      <c r="R44" s="188">
        <f t="shared" si="5"/>
        <v>0.90944523840457325</v>
      </c>
      <c r="S44" s="186">
        <f t="shared" si="5"/>
        <v>0.86660476632621475</v>
      </c>
      <c r="T44" s="188">
        <f t="shared" si="5"/>
        <v>1.2300123001230012</v>
      </c>
      <c r="U44" s="186">
        <f t="shared" si="5"/>
        <v>1.1123470522803114</v>
      </c>
      <c r="V44" s="188">
        <f t="shared" si="5"/>
        <v>0.58707594246655759</v>
      </c>
      <c r="W44" s="186">
        <f t="shared" si="5"/>
        <v>0.68327791190270126</v>
      </c>
      <c r="X44" s="188">
        <f t="shared" si="5"/>
        <v>0.47597798601814667</v>
      </c>
      <c r="Y44" s="186">
        <f t="shared" si="5"/>
        <v>1.4268388385531854</v>
      </c>
      <c r="Z44" s="188" t="e">
        <f t="shared" si="5"/>
        <v>#DIV/0!</v>
      </c>
      <c r="AA44" s="186" t="e">
        <f t="shared" si="5"/>
        <v>#DIV/0!</v>
      </c>
      <c r="AB44" s="188" t="e">
        <f t="shared" si="5"/>
        <v>#DIV/0!</v>
      </c>
    </row>
    <row r="46" spans="1:28">
      <c r="A46" s="312" t="s">
        <v>64</v>
      </c>
      <c r="B46" s="93" t="s">
        <v>65</v>
      </c>
      <c r="C46" s="47" t="s">
        <v>8</v>
      </c>
      <c r="D46" s="181">
        <f t="shared" ref="D46:D51" si="6">SUM(E46:AB46)</f>
        <v>189</v>
      </c>
      <c r="E46" s="88">
        <v>0</v>
      </c>
      <c r="F46" s="88">
        <v>0</v>
      </c>
      <c r="G46" s="88">
        <v>9</v>
      </c>
      <c r="H46" s="88">
        <v>10</v>
      </c>
      <c r="I46" s="88">
        <v>11</v>
      </c>
      <c r="J46" s="88">
        <v>13</v>
      </c>
      <c r="K46" s="88">
        <v>13</v>
      </c>
      <c r="L46" s="88">
        <v>10</v>
      </c>
      <c r="M46" s="88">
        <v>10</v>
      </c>
      <c r="N46" s="88">
        <v>9</v>
      </c>
      <c r="O46" s="88">
        <v>13</v>
      </c>
      <c r="P46" s="88">
        <v>10</v>
      </c>
      <c r="Q46" s="88">
        <v>11</v>
      </c>
      <c r="R46" s="88">
        <v>12</v>
      </c>
      <c r="S46" s="88">
        <v>12</v>
      </c>
      <c r="T46" s="88">
        <v>16</v>
      </c>
      <c r="U46" s="88">
        <v>16</v>
      </c>
      <c r="V46" s="88">
        <v>14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</row>
    <row r="47" spans="1:28">
      <c r="A47" s="313"/>
      <c r="B47" s="94" t="s">
        <v>66</v>
      </c>
      <c r="C47" s="38" t="s">
        <v>8</v>
      </c>
      <c r="D47" s="182">
        <f t="shared" si="6"/>
        <v>186</v>
      </c>
      <c r="E47" s="89">
        <v>0</v>
      </c>
      <c r="F47" s="89">
        <v>0</v>
      </c>
      <c r="G47" s="89">
        <v>8</v>
      </c>
      <c r="H47" s="89">
        <v>8</v>
      </c>
      <c r="I47" s="89">
        <v>11</v>
      </c>
      <c r="J47" s="89">
        <v>13</v>
      </c>
      <c r="K47" s="89">
        <v>13</v>
      </c>
      <c r="L47" s="89">
        <v>10</v>
      </c>
      <c r="M47" s="89">
        <v>10</v>
      </c>
      <c r="N47" s="89">
        <v>9</v>
      </c>
      <c r="O47" s="89">
        <v>13</v>
      </c>
      <c r="P47" s="89">
        <v>10</v>
      </c>
      <c r="Q47" s="89">
        <v>11</v>
      </c>
      <c r="R47" s="89">
        <v>12</v>
      </c>
      <c r="S47" s="89">
        <v>12</v>
      </c>
      <c r="T47" s="89">
        <v>16</v>
      </c>
      <c r="U47" s="89">
        <v>16</v>
      </c>
      <c r="V47" s="89">
        <v>14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</row>
    <row r="48" spans="1:28">
      <c r="A48" s="313"/>
      <c r="B48" s="94" t="s">
        <v>67</v>
      </c>
      <c r="C48" s="38" t="s">
        <v>8</v>
      </c>
      <c r="D48" s="182">
        <f t="shared" si="6"/>
        <v>9</v>
      </c>
      <c r="E48" s="89">
        <v>0</v>
      </c>
      <c r="F48" s="89">
        <v>0</v>
      </c>
      <c r="G48" s="89">
        <v>1</v>
      </c>
      <c r="H48" s="89">
        <v>2</v>
      </c>
      <c r="I48" s="89"/>
      <c r="J48" s="89">
        <v>0</v>
      </c>
      <c r="K48" s="89">
        <v>0</v>
      </c>
      <c r="L48" s="89">
        <v>6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</row>
    <row r="49" spans="1:28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</row>
    <row r="50" spans="1:28">
      <c r="A50" s="313"/>
      <c r="B50" s="93" t="s">
        <v>69</v>
      </c>
      <c r="C50" s="91" t="s">
        <v>48</v>
      </c>
      <c r="D50" s="195">
        <f t="shared" si="6"/>
        <v>220400</v>
      </c>
      <c r="E50" s="86">
        <v>0</v>
      </c>
      <c r="F50" s="86">
        <v>0</v>
      </c>
      <c r="G50" s="86">
        <v>9400</v>
      </c>
      <c r="H50" s="86">
        <v>9400</v>
      </c>
      <c r="I50" s="86">
        <v>9400</v>
      </c>
      <c r="J50" s="86">
        <v>18400</v>
      </c>
      <c r="K50" s="86">
        <v>9000</v>
      </c>
      <c r="L50" s="86">
        <v>5000</v>
      </c>
      <c r="M50" s="86">
        <v>9000</v>
      </c>
      <c r="N50" s="86">
        <v>18000</v>
      </c>
      <c r="O50" s="86">
        <v>18000</v>
      </c>
      <c r="P50" s="86">
        <v>18000</v>
      </c>
      <c r="Q50" s="86">
        <v>18000</v>
      </c>
      <c r="R50" s="86">
        <v>18000</v>
      </c>
      <c r="S50" s="86">
        <v>1800</v>
      </c>
      <c r="T50" s="86">
        <v>9000</v>
      </c>
      <c r="U50" s="86">
        <v>9000</v>
      </c>
      <c r="V50" s="86">
        <v>5000</v>
      </c>
      <c r="W50" s="86">
        <v>9000</v>
      </c>
      <c r="X50" s="86">
        <v>27000</v>
      </c>
      <c r="Y50" s="86">
        <v>0</v>
      </c>
      <c r="Z50" s="86">
        <v>0</v>
      </c>
      <c r="AA50" s="86">
        <v>0</v>
      </c>
      <c r="AB50" s="86">
        <v>0</v>
      </c>
    </row>
    <row r="51" spans="1:28">
      <c r="A51" s="314"/>
      <c r="B51" s="95" t="s">
        <v>70</v>
      </c>
      <c r="C51" s="92" t="s">
        <v>48</v>
      </c>
      <c r="D51" s="183">
        <f t="shared" si="6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</row>
    <row r="52" spans="1:28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400</v>
      </c>
      <c r="H53" s="7" t="s">
        <v>400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</row>
    <row r="54" spans="1:28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</row>
    <row r="55" spans="1:28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401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402</v>
      </c>
      <c r="R55" s="8" t="s">
        <v>403</v>
      </c>
      <c r="S55" s="8" t="s">
        <v>75</v>
      </c>
      <c r="T55" s="8" t="s">
        <v>75</v>
      </c>
      <c r="U55" s="8" t="s">
        <v>404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</row>
    <row r="56" spans="1:28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9" t="s">
        <v>405</v>
      </c>
      <c r="H56" s="9" t="s">
        <v>405</v>
      </c>
      <c r="I56" s="8" t="s">
        <v>75</v>
      </c>
      <c r="J56" s="8" t="s">
        <v>75</v>
      </c>
      <c r="K56" s="8" t="s">
        <v>75</v>
      </c>
      <c r="L56" s="8" t="s">
        <v>406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407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</row>
    <row r="57" spans="1:28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</row>
    <row r="59" spans="1:28" ht="15.75">
      <c r="B59" s="53" t="s">
        <v>83</v>
      </c>
      <c r="C59" s="99" t="s">
        <v>84</v>
      </c>
      <c r="D59" s="100">
        <f>SUM(D60:D72)</f>
        <v>14579217</v>
      </c>
      <c r="E59" s="101">
        <f>SUM(E60:E72)</f>
        <v>0</v>
      </c>
      <c r="F59" s="101">
        <f t="shared" ref="F59:AB59" si="7">SUM(F60:F72)</f>
        <v>0</v>
      </c>
      <c r="G59" s="101">
        <f>SUM(G60:G72)</f>
        <v>966490</v>
      </c>
      <c r="H59" s="101">
        <f>SUM(H60:H72)</f>
        <v>743083</v>
      </c>
      <c r="I59" s="101">
        <f t="shared" ref="I59:Y59" si="8">SUM(I60:I72)</f>
        <v>814909.6</v>
      </c>
      <c r="J59" s="101">
        <f t="shared" si="8"/>
        <v>558363</v>
      </c>
      <c r="K59" s="101">
        <f t="shared" si="8"/>
        <v>310988</v>
      </c>
      <c r="L59" s="101">
        <f t="shared" si="8"/>
        <v>561231</v>
      </c>
      <c r="M59" s="101">
        <f t="shared" si="8"/>
        <v>791573</v>
      </c>
      <c r="N59" s="101">
        <f t="shared" si="8"/>
        <v>1255160</v>
      </c>
      <c r="O59" s="101">
        <f t="shared" si="8"/>
        <v>547166</v>
      </c>
      <c r="P59" s="101">
        <f t="shared" si="8"/>
        <v>880445.6</v>
      </c>
      <c r="Q59" s="101">
        <f t="shared" si="8"/>
        <v>788399.4</v>
      </c>
      <c r="R59" s="101">
        <f t="shared" si="8"/>
        <v>721947.6</v>
      </c>
      <c r="S59" s="101">
        <f t="shared" si="8"/>
        <v>636918.80000000005</v>
      </c>
      <c r="T59" s="101">
        <f t="shared" si="8"/>
        <v>451849</v>
      </c>
      <c r="U59" s="101">
        <f t="shared" si="8"/>
        <v>355539</v>
      </c>
      <c r="V59" s="101">
        <f t="shared" si="8"/>
        <v>878752</v>
      </c>
      <c r="W59" s="101">
        <f t="shared" si="8"/>
        <v>1003596</v>
      </c>
      <c r="X59" s="101">
        <f t="shared" si="8"/>
        <v>1679786</v>
      </c>
      <c r="Y59" s="101">
        <f t="shared" si="8"/>
        <v>633020</v>
      </c>
      <c r="Z59" s="101">
        <f t="shared" si="7"/>
        <v>0</v>
      </c>
      <c r="AA59" s="101">
        <f t="shared" si="7"/>
        <v>0</v>
      </c>
      <c r="AB59" s="101">
        <f t="shared" si="7"/>
        <v>0</v>
      </c>
    </row>
    <row r="60" spans="1:28">
      <c r="B60" s="96" t="s">
        <v>47</v>
      </c>
      <c r="C60" s="111">
        <v>49</v>
      </c>
      <c r="D60" s="97">
        <f>D27*$C60</f>
        <v>11315668</v>
      </c>
      <c r="E60" s="104">
        <f t="shared" ref="E60:F60" si="9">E27*$C60</f>
        <v>0</v>
      </c>
      <c r="F60" s="104">
        <f t="shared" si="9"/>
        <v>0</v>
      </c>
      <c r="G60" s="104">
        <f t="shared" ref="G60:Z60" si="10">G27*$C60</f>
        <v>874258</v>
      </c>
      <c r="H60" s="104">
        <f t="shared" si="10"/>
        <v>634844</v>
      </c>
      <c r="I60" s="104">
        <f t="shared" si="10"/>
        <v>631071</v>
      </c>
      <c r="J60" s="104">
        <f t="shared" si="10"/>
        <v>354270</v>
      </c>
      <c r="K60" s="104">
        <f t="shared" si="10"/>
        <v>177331</v>
      </c>
      <c r="L60" s="104">
        <f t="shared" si="10"/>
        <v>418215</v>
      </c>
      <c r="M60" s="104">
        <f t="shared" si="10"/>
        <v>664930</v>
      </c>
      <c r="N60" s="104">
        <f t="shared" si="10"/>
        <v>1086428</v>
      </c>
      <c r="O60" s="104">
        <f t="shared" si="10"/>
        <v>438452</v>
      </c>
      <c r="P60" s="104">
        <f t="shared" si="10"/>
        <v>687176</v>
      </c>
      <c r="Q60" s="104">
        <f t="shared" si="10"/>
        <v>520772</v>
      </c>
      <c r="R60" s="104">
        <f t="shared" si="10"/>
        <v>596869</v>
      </c>
      <c r="S60" s="104">
        <f t="shared" si="10"/>
        <v>554288</v>
      </c>
      <c r="T60" s="104">
        <f t="shared" si="10"/>
        <v>322224</v>
      </c>
      <c r="U60" s="104">
        <f t="shared" si="10"/>
        <v>191002</v>
      </c>
      <c r="V60" s="104">
        <f t="shared" si="10"/>
        <v>677180</v>
      </c>
      <c r="W60" s="104">
        <f t="shared" si="10"/>
        <v>927962</v>
      </c>
      <c r="X60" s="104">
        <f t="shared" si="10"/>
        <v>1558396</v>
      </c>
      <c r="Y60" s="104">
        <f t="shared" si="10"/>
        <v>0</v>
      </c>
      <c r="Z60" s="104">
        <f t="shared" si="10"/>
        <v>0</v>
      </c>
      <c r="AA60" s="104">
        <f t="shared" ref="AA60:AB60" si="11">AA27*$C60</f>
        <v>0</v>
      </c>
      <c r="AB60" s="104">
        <f t="shared" si="11"/>
        <v>0</v>
      </c>
    </row>
    <row r="61" spans="1:28">
      <c r="B61" s="96" t="s">
        <v>49</v>
      </c>
      <c r="C61" s="111">
        <v>19</v>
      </c>
      <c r="D61" s="97">
        <f>D28*$C61</f>
        <v>1198387</v>
      </c>
      <c r="E61" s="104">
        <f t="shared" ref="E61:F68" si="12">E28*$C61</f>
        <v>0</v>
      </c>
      <c r="F61" s="104">
        <f t="shared" si="12"/>
        <v>0</v>
      </c>
      <c r="G61" s="104">
        <f t="shared" ref="G61:Z61" si="13">G28*$C61</f>
        <v>57152</v>
      </c>
      <c r="H61" s="104">
        <f t="shared" si="13"/>
        <v>50008</v>
      </c>
      <c r="I61" s="104">
        <f t="shared" si="13"/>
        <v>95551</v>
      </c>
      <c r="J61" s="104">
        <f t="shared" si="13"/>
        <v>108946</v>
      </c>
      <c r="K61" s="104">
        <f t="shared" si="13"/>
        <v>97337</v>
      </c>
      <c r="L61" s="104">
        <f t="shared" si="13"/>
        <v>108946</v>
      </c>
      <c r="M61" s="104">
        <f t="shared" si="13"/>
        <v>74119</v>
      </c>
      <c r="N61" s="104">
        <f t="shared" si="13"/>
        <v>82156</v>
      </c>
      <c r="O61" s="104">
        <f t="shared" si="13"/>
        <v>26334</v>
      </c>
      <c r="P61" s="104">
        <f t="shared" si="13"/>
        <v>25897</v>
      </c>
      <c r="Q61" s="104">
        <f t="shared" si="13"/>
        <v>11172</v>
      </c>
      <c r="R61" s="104">
        <f t="shared" si="13"/>
        <v>26334</v>
      </c>
      <c r="S61" s="104">
        <f t="shared" si="13"/>
        <v>52687</v>
      </c>
      <c r="T61" s="104">
        <f t="shared" si="13"/>
        <v>81263</v>
      </c>
      <c r="U61" s="104">
        <f t="shared" si="13"/>
        <v>86621</v>
      </c>
      <c r="V61" s="104">
        <f t="shared" si="13"/>
        <v>173242</v>
      </c>
      <c r="W61" s="104">
        <f t="shared" si="13"/>
        <v>35720</v>
      </c>
      <c r="X61" s="104">
        <f t="shared" si="13"/>
        <v>4902</v>
      </c>
      <c r="Y61" s="104">
        <f t="shared" si="13"/>
        <v>0</v>
      </c>
      <c r="Z61" s="104">
        <f t="shared" si="13"/>
        <v>0</v>
      </c>
      <c r="AA61" s="104">
        <f t="shared" ref="AA61:AB61" si="14">AA28*$C61</f>
        <v>0</v>
      </c>
      <c r="AB61" s="104">
        <f t="shared" si="14"/>
        <v>0</v>
      </c>
    </row>
    <row r="62" spans="1:28">
      <c r="B62" s="96" t="s">
        <v>50</v>
      </c>
      <c r="C62" s="111">
        <v>19</v>
      </c>
      <c r="D62" s="97">
        <f>D29*$C62</f>
        <v>3572</v>
      </c>
      <c r="E62" s="104">
        <f t="shared" si="12"/>
        <v>0</v>
      </c>
      <c r="F62" s="104">
        <f t="shared" si="12"/>
        <v>0</v>
      </c>
      <c r="G62" s="104">
        <f t="shared" ref="G62:Z62" si="15">G29*$C62</f>
        <v>0</v>
      </c>
      <c r="H62" s="104">
        <f t="shared" si="15"/>
        <v>2679</v>
      </c>
      <c r="I62" s="104">
        <f t="shared" si="15"/>
        <v>0</v>
      </c>
      <c r="J62" s="104">
        <f t="shared" si="15"/>
        <v>893</v>
      </c>
      <c r="K62" s="104">
        <f t="shared" si="15"/>
        <v>0</v>
      </c>
      <c r="L62" s="104">
        <f t="shared" si="15"/>
        <v>0</v>
      </c>
      <c r="M62" s="104">
        <f t="shared" si="15"/>
        <v>0</v>
      </c>
      <c r="N62" s="104">
        <f t="shared" si="15"/>
        <v>0</v>
      </c>
      <c r="O62" s="104">
        <f t="shared" si="15"/>
        <v>0</v>
      </c>
      <c r="P62" s="104">
        <f t="shared" si="15"/>
        <v>0</v>
      </c>
      <c r="Q62" s="104">
        <f t="shared" si="15"/>
        <v>0</v>
      </c>
      <c r="R62" s="104">
        <f t="shared" si="15"/>
        <v>0</v>
      </c>
      <c r="S62" s="104">
        <f t="shared" si="15"/>
        <v>0</v>
      </c>
      <c r="T62" s="104">
        <f t="shared" si="15"/>
        <v>0</v>
      </c>
      <c r="U62" s="104">
        <f t="shared" si="15"/>
        <v>0</v>
      </c>
      <c r="V62" s="104">
        <f t="shared" si="15"/>
        <v>0</v>
      </c>
      <c r="W62" s="104">
        <f t="shared" si="15"/>
        <v>0</v>
      </c>
      <c r="X62" s="104">
        <f t="shared" si="15"/>
        <v>0</v>
      </c>
      <c r="Y62" s="104">
        <f t="shared" si="15"/>
        <v>0</v>
      </c>
      <c r="Z62" s="104">
        <f t="shared" si="15"/>
        <v>0</v>
      </c>
      <c r="AA62" s="104">
        <f t="shared" ref="AA62:AB62" si="16">AA29*$C62</f>
        <v>0</v>
      </c>
      <c r="AB62" s="104">
        <f t="shared" si="16"/>
        <v>0</v>
      </c>
    </row>
    <row r="63" spans="1:28">
      <c r="B63" s="96" t="s">
        <v>51</v>
      </c>
      <c r="C63" s="111">
        <v>15</v>
      </c>
      <c r="D63" s="97">
        <f t="shared" ref="D63" si="17">D30*$C63</f>
        <v>0</v>
      </c>
      <c r="E63" s="104">
        <f t="shared" si="12"/>
        <v>0</v>
      </c>
      <c r="F63" s="104">
        <f t="shared" si="12"/>
        <v>0</v>
      </c>
      <c r="G63" s="104">
        <f t="shared" ref="G63:Z63" si="18">G30*$C63</f>
        <v>0</v>
      </c>
      <c r="H63" s="104">
        <f t="shared" si="18"/>
        <v>0</v>
      </c>
      <c r="I63" s="104">
        <f t="shared" si="18"/>
        <v>0</v>
      </c>
      <c r="J63" s="104">
        <f t="shared" si="18"/>
        <v>0</v>
      </c>
      <c r="K63" s="104">
        <f t="shared" si="18"/>
        <v>0</v>
      </c>
      <c r="L63" s="104">
        <f t="shared" si="18"/>
        <v>0</v>
      </c>
      <c r="M63" s="104">
        <f t="shared" si="18"/>
        <v>0</v>
      </c>
      <c r="N63" s="104">
        <f t="shared" si="18"/>
        <v>0</v>
      </c>
      <c r="O63" s="104">
        <f t="shared" si="18"/>
        <v>0</v>
      </c>
      <c r="P63" s="104">
        <f t="shared" si="18"/>
        <v>0</v>
      </c>
      <c r="Q63" s="104">
        <f t="shared" si="18"/>
        <v>0</v>
      </c>
      <c r="R63" s="104">
        <f t="shared" si="18"/>
        <v>0</v>
      </c>
      <c r="S63" s="104">
        <f t="shared" si="18"/>
        <v>0</v>
      </c>
      <c r="T63" s="104">
        <f t="shared" si="18"/>
        <v>0</v>
      </c>
      <c r="U63" s="104">
        <f t="shared" si="18"/>
        <v>0</v>
      </c>
      <c r="V63" s="104">
        <f t="shared" si="18"/>
        <v>0</v>
      </c>
      <c r="W63" s="104">
        <f t="shared" si="18"/>
        <v>0</v>
      </c>
      <c r="X63" s="104">
        <f t="shared" si="18"/>
        <v>0</v>
      </c>
      <c r="Y63" s="104">
        <f t="shared" si="18"/>
        <v>0</v>
      </c>
      <c r="Z63" s="104">
        <f t="shared" si="18"/>
        <v>0</v>
      </c>
      <c r="AA63" s="104">
        <f t="shared" ref="AA63:AB63" si="19">AA30*$C63</f>
        <v>0</v>
      </c>
      <c r="AB63" s="104">
        <f t="shared" si="19"/>
        <v>0</v>
      </c>
    </row>
    <row r="64" spans="1:28">
      <c r="B64" s="96" t="s">
        <v>52</v>
      </c>
      <c r="C64" s="111">
        <v>10</v>
      </c>
      <c r="D64" s="97">
        <f>D31*$C64</f>
        <v>144720</v>
      </c>
      <c r="E64" s="104">
        <f t="shared" si="12"/>
        <v>0</v>
      </c>
      <c r="F64" s="104">
        <f t="shared" si="12"/>
        <v>0</v>
      </c>
      <c r="G64" s="104">
        <f t="shared" ref="G64:Z64" si="20">G31*$C64</f>
        <v>0</v>
      </c>
      <c r="H64" s="104">
        <f t="shared" si="20"/>
        <v>1980</v>
      </c>
      <c r="I64" s="104">
        <f t="shared" si="20"/>
        <v>1080</v>
      </c>
      <c r="J64" s="104">
        <f t="shared" si="20"/>
        <v>22140</v>
      </c>
      <c r="K64" s="104">
        <f t="shared" si="20"/>
        <v>0</v>
      </c>
      <c r="L64" s="104">
        <f t="shared" si="20"/>
        <v>11520</v>
      </c>
      <c r="M64" s="104">
        <f t="shared" si="20"/>
        <v>19620</v>
      </c>
      <c r="N64" s="104">
        <f t="shared" si="20"/>
        <v>25200</v>
      </c>
      <c r="O64" s="104">
        <f t="shared" si="20"/>
        <v>12060</v>
      </c>
      <c r="P64" s="104">
        <f t="shared" si="20"/>
        <v>3060</v>
      </c>
      <c r="Q64" s="104">
        <f t="shared" si="20"/>
        <v>3600</v>
      </c>
      <c r="R64" s="104">
        <f t="shared" si="20"/>
        <v>8820</v>
      </c>
      <c r="S64" s="104">
        <f t="shared" si="20"/>
        <v>9720</v>
      </c>
      <c r="T64" s="104">
        <f t="shared" si="20"/>
        <v>7200</v>
      </c>
      <c r="U64" s="104">
        <f t="shared" si="20"/>
        <v>360</v>
      </c>
      <c r="V64" s="104">
        <f t="shared" si="20"/>
        <v>3240</v>
      </c>
      <c r="W64" s="104">
        <f t="shared" si="20"/>
        <v>5760</v>
      </c>
      <c r="X64" s="104">
        <f t="shared" si="20"/>
        <v>9360</v>
      </c>
      <c r="Y64" s="104">
        <f t="shared" si="20"/>
        <v>0</v>
      </c>
      <c r="Z64" s="104">
        <f t="shared" si="20"/>
        <v>0</v>
      </c>
      <c r="AA64" s="104">
        <f t="shared" ref="AA64:AB64" si="21">AA31*$C64</f>
        <v>0</v>
      </c>
      <c r="AB64" s="104">
        <f t="shared" si="21"/>
        <v>0</v>
      </c>
    </row>
    <row r="65" spans="2:28">
      <c r="B65" s="96" t="s">
        <v>53</v>
      </c>
      <c r="C65" s="111">
        <v>19</v>
      </c>
      <c r="D65" s="97">
        <f t="shared" ref="D65" si="22">D32*$C65</f>
        <v>0</v>
      </c>
      <c r="E65" s="104">
        <f t="shared" si="12"/>
        <v>0</v>
      </c>
      <c r="F65" s="104">
        <f t="shared" si="12"/>
        <v>0</v>
      </c>
      <c r="G65" s="104">
        <f t="shared" ref="G65:Z65" si="23">G32*$C65</f>
        <v>0</v>
      </c>
      <c r="H65" s="104">
        <f t="shared" si="23"/>
        <v>0</v>
      </c>
      <c r="I65" s="104">
        <f t="shared" si="23"/>
        <v>0</v>
      </c>
      <c r="J65" s="104">
        <f t="shared" si="23"/>
        <v>0</v>
      </c>
      <c r="K65" s="104">
        <f t="shared" si="23"/>
        <v>0</v>
      </c>
      <c r="L65" s="104">
        <f t="shared" si="23"/>
        <v>0</v>
      </c>
      <c r="M65" s="104">
        <f t="shared" si="23"/>
        <v>0</v>
      </c>
      <c r="N65" s="104">
        <f t="shared" si="23"/>
        <v>0</v>
      </c>
      <c r="O65" s="104">
        <f t="shared" si="23"/>
        <v>0</v>
      </c>
      <c r="P65" s="104">
        <f t="shared" si="23"/>
        <v>0</v>
      </c>
      <c r="Q65" s="104">
        <f t="shared" si="23"/>
        <v>0</v>
      </c>
      <c r="R65" s="104">
        <f t="shared" si="23"/>
        <v>0</v>
      </c>
      <c r="S65" s="104">
        <f t="shared" si="23"/>
        <v>0</v>
      </c>
      <c r="T65" s="104">
        <f t="shared" si="23"/>
        <v>0</v>
      </c>
      <c r="U65" s="104">
        <f t="shared" si="23"/>
        <v>0</v>
      </c>
      <c r="V65" s="104">
        <f t="shared" si="23"/>
        <v>0</v>
      </c>
      <c r="W65" s="104">
        <f t="shared" si="23"/>
        <v>0</v>
      </c>
      <c r="X65" s="104">
        <f t="shared" si="23"/>
        <v>0</v>
      </c>
      <c r="Y65" s="104">
        <f t="shared" si="23"/>
        <v>0</v>
      </c>
      <c r="Z65" s="104">
        <f t="shared" si="23"/>
        <v>0</v>
      </c>
      <c r="AA65" s="104">
        <f t="shared" ref="AA65:AB65" si="24">AA32*$C65</f>
        <v>0</v>
      </c>
      <c r="AB65" s="104">
        <f t="shared" si="24"/>
        <v>0</v>
      </c>
    </row>
    <row r="66" spans="2:28">
      <c r="B66" s="96" t="s">
        <v>54</v>
      </c>
      <c r="C66" s="111">
        <v>10</v>
      </c>
      <c r="D66" s="97">
        <f t="shared" ref="D66" si="25">D33*$C66</f>
        <v>0</v>
      </c>
      <c r="E66" s="104">
        <f t="shared" si="12"/>
        <v>0</v>
      </c>
      <c r="F66" s="104">
        <f t="shared" si="12"/>
        <v>0</v>
      </c>
      <c r="G66" s="104">
        <f t="shared" ref="G66:Z66" si="26">G33*$C66</f>
        <v>0</v>
      </c>
      <c r="H66" s="104">
        <f t="shared" si="26"/>
        <v>0</v>
      </c>
      <c r="I66" s="104">
        <f t="shared" si="26"/>
        <v>0</v>
      </c>
      <c r="J66" s="104">
        <f t="shared" si="26"/>
        <v>0</v>
      </c>
      <c r="K66" s="104">
        <f t="shared" si="26"/>
        <v>0</v>
      </c>
      <c r="L66" s="104">
        <f t="shared" si="26"/>
        <v>0</v>
      </c>
      <c r="M66" s="104">
        <f t="shared" si="26"/>
        <v>0</v>
      </c>
      <c r="N66" s="104">
        <f t="shared" si="26"/>
        <v>0</v>
      </c>
      <c r="O66" s="104">
        <f t="shared" si="26"/>
        <v>0</v>
      </c>
      <c r="P66" s="104">
        <f t="shared" si="26"/>
        <v>0</v>
      </c>
      <c r="Q66" s="104">
        <f t="shared" si="26"/>
        <v>0</v>
      </c>
      <c r="R66" s="104">
        <f t="shared" si="26"/>
        <v>0</v>
      </c>
      <c r="S66" s="104">
        <f t="shared" si="26"/>
        <v>0</v>
      </c>
      <c r="T66" s="104">
        <f t="shared" si="26"/>
        <v>0</v>
      </c>
      <c r="U66" s="104">
        <f t="shared" si="26"/>
        <v>0</v>
      </c>
      <c r="V66" s="104">
        <f t="shared" si="26"/>
        <v>0</v>
      </c>
      <c r="W66" s="104">
        <f t="shared" si="26"/>
        <v>0</v>
      </c>
      <c r="X66" s="104">
        <f t="shared" si="26"/>
        <v>0</v>
      </c>
      <c r="Y66" s="104">
        <f t="shared" si="26"/>
        <v>0</v>
      </c>
      <c r="Z66" s="104">
        <f t="shared" si="26"/>
        <v>0</v>
      </c>
      <c r="AA66" s="104">
        <f t="shared" ref="AA66:AB66" si="27">AA33*$C66</f>
        <v>0</v>
      </c>
      <c r="AB66" s="104">
        <f t="shared" si="27"/>
        <v>0</v>
      </c>
    </row>
    <row r="67" spans="2:28">
      <c r="B67" s="96" t="s">
        <v>55</v>
      </c>
      <c r="C67" s="111">
        <v>50</v>
      </c>
      <c r="D67" s="97">
        <f t="shared" ref="D67" si="28">D34*$C67</f>
        <v>960950</v>
      </c>
      <c r="E67" s="104">
        <f t="shared" si="12"/>
        <v>0</v>
      </c>
      <c r="F67" s="104">
        <f t="shared" si="12"/>
        <v>0</v>
      </c>
      <c r="G67" s="104">
        <f t="shared" ref="G67:Z67" si="29">G34*$C67</f>
        <v>4200</v>
      </c>
      <c r="H67" s="104">
        <f t="shared" si="29"/>
        <v>15500</v>
      </c>
      <c r="I67" s="104">
        <f t="shared" si="29"/>
        <v>45250</v>
      </c>
      <c r="J67" s="104">
        <f t="shared" si="29"/>
        <v>1050</v>
      </c>
      <c r="K67" s="104">
        <f t="shared" si="29"/>
        <v>0</v>
      </c>
      <c r="L67" s="104">
        <f t="shared" si="29"/>
        <v>3150</v>
      </c>
      <c r="M67" s="104">
        <f t="shared" si="29"/>
        <v>0</v>
      </c>
      <c r="N67" s="104">
        <f t="shared" si="29"/>
        <v>2000</v>
      </c>
      <c r="O67" s="104">
        <f t="shared" si="29"/>
        <v>10400</v>
      </c>
      <c r="P67" s="104">
        <f t="shared" si="29"/>
        <v>89250</v>
      </c>
      <c r="Q67" s="104">
        <f t="shared" si="29"/>
        <v>170100</v>
      </c>
      <c r="R67" s="104">
        <f t="shared" si="29"/>
        <v>26250</v>
      </c>
      <c r="S67" s="104">
        <f t="shared" si="29"/>
        <v>6300</v>
      </c>
      <c r="T67" s="104">
        <f t="shared" si="29"/>
        <v>1050</v>
      </c>
      <c r="U67" s="104">
        <f t="shared" si="29"/>
        <v>10500</v>
      </c>
      <c r="V67" s="104">
        <f t="shared" si="29"/>
        <v>5250</v>
      </c>
      <c r="W67" s="104">
        <f t="shared" si="29"/>
        <v>1050</v>
      </c>
      <c r="X67" s="104">
        <f t="shared" si="29"/>
        <v>18800</v>
      </c>
      <c r="Y67" s="104">
        <f t="shared" si="29"/>
        <v>550850</v>
      </c>
      <c r="Z67" s="104">
        <f t="shared" si="29"/>
        <v>0</v>
      </c>
      <c r="AA67" s="104">
        <f t="shared" ref="AA67:AB67" si="30">AA34*$C67</f>
        <v>0</v>
      </c>
      <c r="AB67" s="104">
        <f t="shared" si="30"/>
        <v>0</v>
      </c>
    </row>
    <row r="68" spans="2:28">
      <c r="B68" s="96" t="s">
        <v>56</v>
      </c>
      <c r="C68" s="111">
        <v>27.39</v>
      </c>
      <c r="D68" s="97">
        <f t="shared" ref="D68" si="31">D35*$C68</f>
        <v>131472</v>
      </c>
      <c r="E68" s="104">
        <f t="shared" si="12"/>
        <v>0</v>
      </c>
      <c r="F68" s="104">
        <f t="shared" si="12"/>
        <v>0</v>
      </c>
      <c r="G68" s="104">
        <f t="shared" ref="G68:Z68" si="32">G35*$C68</f>
        <v>0</v>
      </c>
      <c r="H68" s="104">
        <f t="shared" si="32"/>
        <v>0</v>
      </c>
      <c r="I68" s="104">
        <f t="shared" si="32"/>
        <v>6573.6</v>
      </c>
      <c r="J68" s="104">
        <f t="shared" si="32"/>
        <v>0</v>
      </c>
      <c r="K68" s="104">
        <f t="shared" si="32"/>
        <v>0</v>
      </c>
      <c r="L68" s="104">
        <f t="shared" si="32"/>
        <v>0</v>
      </c>
      <c r="M68" s="104">
        <f t="shared" si="32"/>
        <v>0</v>
      </c>
      <c r="N68" s="104">
        <f t="shared" si="32"/>
        <v>0</v>
      </c>
      <c r="O68" s="104">
        <f t="shared" si="32"/>
        <v>0</v>
      </c>
      <c r="P68" s="104">
        <f t="shared" si="32"/>
        <v>14790.6</v>
      </c>
      <c r="Q68" s="104">
        <f t="shared" si="32"/>
        <v>23555.4</v>
      </c>
      <c r="R68" s="104">
        <f t="shared" si="32"/>
        <v>3834.6</v>
      </c>
      <c r="S68" s="104">
        <f t="shared" si="32"/>
        <v>547.79999999999995</v>
      </c>
      <c r="T68" s="104">
        <f t="shared" si="32"/>
        <v>0</v>
      </c>
      <c r="U68" s="104">
        <f t="shared" si="32"/>
        <v>0</v>
      </c>
      <c r="V68" s="104">
        <f t="shared" si="32"/>
        <v>0</v>
      </c>
      <c r="W68" s="104">
        <f t="shared" si="32"/>
        <v>0</v>
      </c>
      <c r="X68" s="104">
        <f t="shared" si="32"/>
        <v>0</v>
      </c>
      <c r="Y68" s="104">
        <f t="shared" si="32"/>
        <v>82170</v>
      </c>
      <c r="Z68" s="104">
        <f t="shared" si="32"/>
        <v>0</v>
      </c>
      <c r="AA68" s="104">
        <f t="shared" ref="AA68:AB68" si="33">AA35*$C68</f>
        <v>0</v>
      </c>
      <c r="AB68" s="104">
        <f t="shared" si="33"/>
        <v>0</v>
      </c>
    </row>
    <row r="69" spans="2:28">
      <c r="B69" s="96" t="s">
        <v>57</v>
      </c>
      <c r="C69" s="111">
        <v>26</v>
      </c>
      <c r="D69" s="97">
        <f t="shared" ref="D69" si="34">D36*$C69</f>
        <v>0</v>
      </c>
      <c r="E69" s="104">
        <f t="shared" ref="E69:F71" si="35">E36*$C69</f>
        <v>0</v>
      </c>
      <c r="F69" s="104">
        <f t="shared" si="35"/>
        <v>0</v>
      </c>
      <c r="G69" s="104">
        <f t="shared" ref="G69:Z69" si="36">G36*$C69</f>
        <v>0</v>
      </c>
      <c r="H69" s="104">
        <f t="shared" si="36"/>
        <v>0</v>
      </c>
      <c r="I69" s="104">
        <f t="shared" si="36"/>
        <v>0</v>
      </c>
      <c r="J69" s="104">
        <f t="shared" si="36"/>
        <v>0</v>
      </c>
      <c r="K69" s="104">
        <f t="shared" si="36"/>
        <v>0</v>
      </c>
      <c r="L69" s="104">
        <f t="shared" si="36"/>
        <v>0</v>
      </c>
      <c r="M69" s="104">
        <f t="shared" si="36"/>
        <v>0</v>
      </c>
      <c r="N69" s="104">
        <f t="shared" si="36"/>
        <v>0</v>
      </c>
      <c r="O69" s="104">
        <f t="shared" si="36"/>
        <v>0</v>
      </c>
      <c r="P69" s="104">
        <f t="shared" si="36"/>
        <v>0</v>
      </c>
      <c r="Q69" s="104">
        <f t="shared" si="36"/>
        <v>0</v>
      </c>
      <c r="R69" s="104">
        <f t="shared" si="36"/>
        <v>0</v>
      </c>
      <c r="S69" s="104">
        <f t="shared" si="36"/>
        <v>0</v>
      </c>
      <c r="T69" s="104">
        <f t="shared" si="36"/>
        <v>0</v>
      </c>
      <c r="U69" s="104">
        <f t="shared" si="36"/>
        <v>0</v>
      </c>
      <c r="V69" s="104">
        <f t="shared" si="36"/>
        <v>0</v>
      </c>
      <c r="W69" s="104">
        <f t="shared" si="36"/>
        <v>0</v>
      </c>
      <c r="X69" s="104">
        <f t="shared" si="36"/>
        <v>0</v>
      </c>
      <c r="Y69" s="104">
        <f t="shared" si="36"/>
        <v>0</v>
      </c>
      <c r="Z69" s="104">
        <f t="shared" si="36"/>
        <v>0</v>
      </c>
      <c r="AA69" s="104">
        <f t="shared" ref="AA69:AB69" si="37">AA36*$C69</f>
        <v>0</v>
      </c>
      <c r="AB69" s="104">
        <f t="shared" si="37"/>
        <v>0</v>
      </c>
    </row>
    <row r="70" spans="2:28">
      <c r="B70" s="96" t="s">
        <v>58</v>
      </c>
      <c r="C70" s="111">
        <v>48</v>
      </c>
      <c r="D70" s="97">
        <f t="shared" ref="D70" si="38">D37*$C70</f>
        <v>0</v>
      </c>
      <c r="E70" s="104">
        <f t="shared" si="35"/>
        <v>0</v>
      </c>
      <c r="F70" s="104">
        <f t="shared" si="35"/>
        <v>0</v>
      </c>
      <c r="G70" s="104">
        <f t="shared" ref="G70:Z70" si="39">G37*$C70</f>
        <v>0</v>
      </c>
      <c r="H70" s="104">
        <f t="shared" si="39"/>
        <v>0</v>
      </c>
      <c r="I70" s="104">
        <f t="shared" si="39"/>
        <v>0</v>
      </c>
      <c r="J70" s="104">
        <f t="shared" si="39"/>
        <v>0</v>
      </c>
      <c r="K70" s="104">
        <f t="shared" si="39"/>
        <v>0</v>
      </c>
      <c r="L70" s="104">
        <f t="shared" si="39"/>
        <v>0</v>
      </c>
      <c r="M70" s="104">
        <f t="shared" si="39"/>
        <v>0</v>
      </c>
      <c r="N70" s="104">
        <f t="shared" si="39"/>
        <v>0</v>
      </c>
      <c r="O70" s="104">
        <f t="shared" si="39"/>
        <v>0</v>
      </c>
      <c r="P70" s="104">
        <f t="shared" si="39"/>
        <v>0</v>
      </c>
      <c r="Q70" s="104">
        <f t="shared" si="39"/>
        <v>0</v>
      </c>
      <c r="R70" s="104">
        <f t="shared" si="39"/>
        <v>0</v>
      </c>
      <c r="S70" s="104">
        <f t="shared" si="39"/>
        <v>0</v>
      </c>
      <c r="T70" s="104">
        <f t="shared" si="39"/>
        <v>0</v>
      </c>
      <c r="U70" s="104">
        <f t="shared" si="39"/>
        <v>0</v>
      </c>
      <c r="V70" s="104">
        <f t="shared" si="39"/>
        <v>0</v>
      </c>
      <c r="W70" s="104">
        <f t="shared" si="39"/>
        <v>0</v>
      </c>
      <c r="X70" s="104">
        <f t="shared" si="39"/>
        <v>0</v>
      </c>
      <c r="Y70" s="104">
        <f t="shared" si="39"/>
        <v>0</v>
      </c>
      <c r="Z70" s="104">
        <f t="shared" si="39"/>
        <v>0</v>
      </c>
      <c r="AA70" s="104">
        <f t="shared" ref="AA70:AB70" si="40">AA37*$C70</f>
        <v>0</v>
      </c>
      <c r="AB70" s="104">
        <f t="shared" si="40"/>
        <v>0</v>
      </c>
    </row>
    <row r="71" spans="2:28">
      <c r="B71" s="96" t="s">
        <v>59</v>
      </c>
      <c r="C71" s="112">
        <v>8</v>
      </c>
      <c r="D71" s="97">
        <f t="shared" ref="D71" si="41">D38*$C71</f>
        <v>119168</v>
      </c>
      <c r="E71" s="104">
        <f t="shared" si="35"/>
        <v>0</v>
      </c>
      <c r="F71" s="104">
        <f t="shared" si="35"/>
        <v>0</v>
      </c>
      <c r="G71" s="104">
        <f t="shared" ref="G71:Z71" si="42">G38*$C71</f>
        <v>800</v>
      </c>
      <c r="H71" s="104">
        <f t="shared" si="42"/>
        <v>7992</v>
      </c>
      <c r="I71" s="104">
        <f t="shared" si="42"/>
        <v>5304</v>
      </c>
      <c r="J71" s="104">
        <f t="shared" si="42"/>
        <v>12184</v>
      </c>
      <c r="K71" s="104">
        <f t="shared" si="42"/>
        <v>7520</v>
      </c>
      <c r="L71" s="104">
        <f t="shared" si="42"/>
        <v>3400</v>
      </c>
      <c r="M71" s="104">
        <f t="shared" si="42"/>
        <v>4104</v>
      </c>
      <c r="N71" s="104">
        <f t="shared" si="42"/>
        <v>1776</v>
      </c>
      <c r="O71" s="104">
        <f t="shared" si="42"/>
        <v>2320</v>
      </c>
      <c r="P71" s="104">
        <f t="shared" si="42"/>
        <v>2672</v>
      </c>
      <c r="Q71" s="104">
        <f t="shared" si="42"/>
        <v>1600</v>
      </c>
      <c r="R71" s="104">
        <f t="shared" si="42"/>
        <v>2240</v>
      </c>
      <c r="S71" s="104">
        <f t="shared" si="42"/>
        <v>7616</v>
      </c>
      <c r="T71" s="104">
        <f t="shared" si="42"/>
        <v>11312</v>
      </c>
      <c r="U71" s="104">
        <f t="shared" si="42"/>
        <v>38256</v>
      </c>
      <c r="V71" s="104">
        <f t="shared" si="42"/>
        <v>3840</v>
      </c>
      <c r="W71" s="104">
        <f t="shared" si="42"/>
        <v>4304</v>
      </c>
      <c r="X71" s="104">
        <f t="shared" si="42"/>
        <v>1928</v>
      </c>
      <c r="Y71" s="104">
        <f t="shared" si="42"/>
        <v>0</v>
      </c>
      <c r="Z71" s="104">
        <f t="shared" si="42"/>
        <v>0</v>
      </c>
      <c r="AA71" s="104">
        <f t="shared" ref="AA71:AB71" si="43">AA38*$C71</f>
        <v>0</v>
      </c>
      <c r="AB71" s="104">
        <f t="shared" si="43"/>
        <v>0</v>
      </c>
    </row>
    <row r="72" spans="2:28">
      <c r="B72" s="35" t="s">
        <v>85</v>
      </c>
      <c r="C72" s="263">
        <v>3.2</v>
      </c>
      <c r="D72" s="264">
        <f>D50*$C72</f>
        <v>705280</v>
      </c>
      <c r="E72" s="107">
        <f>+$C$72*E50</f>
        <v>0</v>
      </c>
      <c r="F72" s="107">
        <f>+$C$72*F50</f>
        <v>0</v>
      </c>
      <c r="G72" s="107">
        <f t="shared" ref="G72:Z72" si="44">+$C$72*G50</f>
        <v>30080</v>
      </c>
      <c r="H72" s="107">
        <f t="shared" si="44"/>
        <v>30080</v>
      </c>
      <c r="I72" s="107">
        <f t="shared" si="44"/>
        <v>30080</v>
      </c>
      <c r="J72" s="107">
        <f t="shared" si="44"/>
        <v>58880</v>
      </c>
      <c r="K72" s="107">
        <f t="shared" si="44"/>
        <v>28800</v>
      </c>
      <c r="L72" s="107">
        <f t="shared" si="44"/>
        <v>16000</v>
      </c>
      <c r="M72" s="107">
        <f t="shared" si="44"/>
        <v>28800</v>
      </c>
      <c r="N72" s="107">
        <f t="shared" si="44"/>
        <v>57600</v>
      </c>
      <c r="O72" s="107">
        <f t="shared" si="44"/>
        <v>57600</v>
      </c>
      <c r="P72" s="107">
        <f t="shared" si="44"/>
        <v>57600</v>
      </c>
      <c r="Q72" s="107">
        <f t="shared" si="44"/>
        <v>57600</v>
      </c>
      <c r="R72" s="107">
        <f t="shared" si="44"/>
        <v>57600</v>
      </c>
      <c r="S72" s="107">
        <f t="shared" si="44"/>
        <v>5760</v>
      </c>
      <c r="T72" s="107">
        <f t="shared" si="44"/>
        <v>28800</v>
      </c>
      <c r="U72" s="107">
        <f t="shared" si="44"/>
        <v>28800</v>
      </c>
      <c r="V72" s="107">
        <f t="shared" si="44"/>
        <v>16000</v>
      </c>
      <c r="W72" s="107">
        <f t="shared" si="44"/>
        <v>28800</v>
      </c>
      <c r="X72" s="107">
        <f t="shared" si="44"/>
        <v>86400</v>
      </c>
      <c r="Y72" s="107">
        <f t="shared" si="44"/>
        <v>0</v>
      </c>
      <c r="Z72" s="107">
        <f t="shared" si="44"/>
        <v>0</v>
      </c>
      <c r="AA72" s="107">
        <f t="shared" ref="AA72:AB72" si="45">+$C$72*AA50</f>
        <v>0</v>
      </c>
      <c r="AB72" s="107">
        <f t="shared" si="45"/>
        <v>0</v>
      </c>
    </row>
    <row r="74" spans="2:28">
      <c r="B74" s="318" t="s">
        <v>86</v>
      </c>
      <c r="C74" s="319"/>
      <c r="D74" s="108">
        <f>AVERAGEIF(E59:N59, "&gt;0")</f>
        <v>750224.7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6" spans="2:28">
      <c r="B76" s="12" t="s">
        <v>87</v>
      </c>
      <c r="C76" s="13">
        <v>0.31</v>
      </c>
      <c r="D76" s="231">
        <f>SUM(E76:AB76)</f>
        <v>4519557.2700000005</v>
      </c>
      <c r="E76" s="171">
        <f t="shared" ref="E76" si="46">E59*$C$76</f>
        <v>0</v>
      </c>
      <c r="F76" s="14">
        <f>F59*$C$76</f>
        <v>0</v>
      </c>
      <c r="G76" s="14">
        <f>G59*$C$76</f>
        <v>299611.90000000002</v>
      </c>
      <c r="H76" s="14">
        <f t="shared" ref="H76:AB76" si="47">H59*$C$76</f>
        <v>230355.73</v>
      </c>
      <c r="I76" s="14">
        <f t="shared" si="47"/>
        <v>252621.976</v>
      </c>
      <c r="J76" s="14">
        <f t="shared" si="47"/>
        <v>173092.53</v>
      </c>
      <c r="K76" s="14">
        <f t="shared" si="47"/>
        <v>96406.28</v>
      </c>
      <c r="L76" s="14">
        <f t="shared" si="47"/>
        <v>173981.61</v>
      </c>
      <c r="M76" s="14">
        <f t="shared" si="47"/>
        <v>245387.63</v>
      </c>
      <c r="N76" s="14">
        <f t="shared" si="47"/>
        <v>389099.6</v>
      </c>
      <c r="O76" s="14">
        <f t="shared" si="47"/>
        <v>169621.46</v>
      </c>
      <c r="P76" s="14">
        <f t="shared" si="47"/>
        <v>272938.136</v>
      </c>
      <c r="Q76" s="14">
        <f t="shared" si="47"/>
        <v>244403.81400000001</v>
      </c>
      <c r="R76" s="14">
        <f t="shared" si="47"/>
        <v>223803.75599999999</v>
      </c>
      <c r="S76" s="14">
        <f t="shared" si="47"/>
        <v>197444.82800000001</v>
      </c>
      <c r="T76" s="14">
        <f t="shared" si="47"/>
        <v>140073.19</v>
      </c>
      <c r="U76" s="14">
        <f t="shared" si="47"/>
        <v>110217.09</v>
      </c>
      <c r="V76" s="14">
        <f t="shared" si="47"/>
        <v>272413.12</v>
      </c>
      <c r="W76" s="14">
        <f t="shared" si="47"/>
        <v>311114.76</v>
      </c>
      <c r="X76" s="14">
        <f t="shared" si="47"/>
        <v>520733.66</v>
      </c>
      <c r="Y76" s="14">
        <f t="shared" si="47"/>
        <v>196236.2</v>
      </c>
      <c r="Z76" s="14">
        <f t="shared" si="47"/>
        <v>0</v>
      </c>
      <c r="AA76" s="14">
        <f t="shared" si="47"/>
        <v>0</v>
      </c>
      <c r="AB76" s="14">
        <f t="shared" si="47"/>
        <v>0</v>
      </c>
    </row>
    <row r="77" spans="2:28">
      <c r="B77" s="16" t="s">
        <v>88</v>
      </c>
      <c r="C77" s="17">
        <v>73000</v>
      </c>
      <c r="D77" s="232">
        <f>SUM(E77:AB77)</f>
        <v>1752000</v>
      </c>
      <c r="E77" s="172">
        <f t="shared" ref="E77:AB77" si="48">$C$77</f>
        <v>73000</v>
      </c>
      <c r="F77" s="18">
        <f t="shared" si="48"/>
        <v>73000</v>
      </c>
      <c r="G77" s="18">
        <f t="shared" si="48"/>
        <v>73000</v>
      </c>
      <c r="H77" s="18">
        <f t="shared" si="48"/>
        <v>73000</v>
      </c>
      <c r="I77" s="18">
        <f t="shared" si="48"/>
        <v>73000</v>
      </c>
      <c r="J77" s="18">
        <f t="shared" si="48"/>
        <v>73000</v>
      </c>
      <c r="K77" s="18">
        <f t="shared" si="48"/>
        <v>73000</v>
      </c>
      <c r="L77" s="18">
        <f t="shared" si="48"/>
        <v>73000</v>
      </c>
      <c r="M77" s="18">
        <f t="shared" si="48"/>
        <v>73000</v>
      </c>
      <c r="N77" s="18">
        <f t="shared" si="48"/>
        <v>73000</v>
      </c>
      <c r="O77" s="18">
        <f t="shared" si="48"/>
        <v>73000</v>
      </c>
      <c r="P77" s="18">
        <f t="shared" si="48"/>
        <v>73000</v>
      </c>
      <c r="Q77" s="18">
        <f t="shared" si="48"/>
        <v>73000</v>
      </c>
      <c r="R77" s="18">
        <f t="shared" si="48"/>
        <v>73000</v>
      </c>
      <c r="S77" s="18">
        <f t="shared" si="48"/>
        <v>73000</v>
      </c>
      <c r="T77" s="18">
        <f t="shared" si="48"/>
        <v>73000</v>
      </c>
      <c r="U77" s="18">
        <f t="shared" si="48"/>
        <v>73000</v>
      </c>
      <c r="V77" s="18">
        <f t="shared" si="48"/>
        <v>73000</v>
      </c>
      <c r="W77" s="18">
        <f t="shared" si="48"/>
        <v>73000</v>
      </c>
      <c r="X77" s="18">
        <f t="shared" si="48"/>
        <v>73000</v>
      </c>
      <c r="Y77" s="18">
        <f t="shared" si="48"/>
        <v>73000</v>
      </c>
      <c r="Z77" s="18">
        <f t="shared" si="48"/>
        <v>73000</v>
      </c>
      <c r="AA77" s="18">
        <f t="shared" si="48"/>
        <v>73000</v>
      </c>
      <c r="AB77" s="18">
        <f t="shared" si="48"/>
        <v>73000</v>
      </c>
    </row>
    <row r="78" spans="2:28">
      <c r="B78" s="16" t="s">
        <v>89</v>
      </c>
      <c r="C78" s="17">
        <v>45000</v>
      </c>
      <c r="D78" s="232">
        <f>SUM(E78:AB78)</f>
        <v>1080000</v>
      </c>
      <c r="E78" s="172">
        <f t="shared" ref="E78:AB78" si="49">$C$78</f>
        <v>45000</v>
      </c>
      <c r="F78" s="18">
        <f t="shared" si="49"/>
        <v>45000</v>
      </c>
      <c r="G78" s="18">
        <f t="shared" si="49"/>
        <v>45000</v>
      </c>
      <c r="H78" s="18">
        <f t="shared" si="49"/>
        <v>45000</v>
      </c>
      <c r="I78" s="18">
        <f t="shared" si="49"/>
        <v>45000</v>
      </c>
      <c r="J78" s="18">
        <f t="shared" si="49"/>
        <v>45000</v>
      </c>
      <c r="K78" s="18">
        <f t="shared" si="49"/>
        <v>45000</v>
      </c>
      <c r="L78" s="18">
        <f t="shared" si="49"/>
        <v>45000</v>
      </c>
      <c r="M78" s="18">
        <f t="shared" si="49"/>
        <v>45000</v>
      </c>
      <c r="N78" s="18">
        <f t="shared" si="49"/>
        <v>45000</v>
      </c>
      <c r="O78" s="18">
        <f t="shared" si="49"/>
        <v>45000</v>
      </c>
      <c r="P78" s="18">
        <f t="shared" si="49"/>
        <v>45000</v>
      </c>
      <c r="Q78" s="18">
        <f t="shared" si="49"/>
        <v>45000</v>
      </c>
      <c r="R78" s="18">
        <f t="shared" si="49"/>
        <v>45000</v>
      </c>
      <c r="S78" s="18">
        <f t="shared" si="49"/>
        <v>45000</v>
      </c>
      <c r="T78" s="18">
        <f t="shared" si="49"/>
        <v>45000</v>
      </c>
      <c r="U78" s="18">
        <f t="shared" si="49"/>
        <v>45000</v>
      </c>
      <c r="V78" s="18">
        <f t="shared" si="49"/>
        <v>45000</v>
      </c>
      <c r="W78" s="18">
        <f t="shared" si="49"/>
        <v>45000</v>
      </c>
      <c r="X78" s="18">
        <f t="shared" si="49"/>
        <v>45000</v>
      </c>
      <c r="Y78" s="18">
        <f t="shared" si="49"/>
        <v>45000</v>
      </c>
      <c r="Z78" s="18">
        <f t="shared" si="49"/>
        <v>45000</v>
      </c>
      <c r="AA78" s="18">
        <f t="shared" si="49"/>
        <v>45000</v>
      </c>
      <c r="AB78" s="18">
        <f t="shared" si="49"/>
        <v>45000</v>
      </c>
    </row>
    <row r="79" spans="2:28">
      <c r="B79" s="20" t="s">
        <v>90</v>
      </c>
      <c r="C79" s="21">
        <v>9.67</v>
      </c>
      <c r="D79" s="233">
        <f>SUM(E79:AB79)</f>
        <v>3007370</v>
      </c>
      <c r="E79" s="173">
        <f t="shared" ref="E79:F79" si="50">$C$79*E41</f>
        <v>29010</v>
      </c>
      <c r="F79" s="23">
        <f t="shared" si="50"/>
        <v>125710</v>
      </c>
      <c r="G79" s="23">
        <f t="shared" ref="G79:AB79" si="51">$C$79*G41</f>
        <v>135380</v>
      </c>
      <c r="H79" s="23">
        <f t="shared" si="51"/>
        <v>135380</v>
      </c>
      <c r="I79" s="23">
        <f t="shared" si="51"/>
        <v>145050</v>
      </c>
      <c r="J79" s="23">
        <f t="shared" si="51"/>
        <v>154720</v>
      </c>
      <c r="K79" s="23">
        <f t="shared" si="51"/>
        <v>154720</v>
      </c>
      <c r="L79" s="23">
        <f t="shared" si="51"/>
        <v>135380</v>
      </c>
      <c r="M79" s="23">
        <f t="shared" si="51"/>
        <v>145050</v>
      </c>
      <c r="N79" s="23">
        <f t="shared" si="51"/>
        <v>145050</v>
      </c>
      <c r="O79" s="23">
        <f t="shared" si="51"/>
        <v>154720</v>
      </c>
      <c r="P79" s="23">
        <f t="shared" si="51"/>
        <v>135380</v>
      </c>
      <c r="Q79" s="23">
        <f t="shared" si="51"/>
        <v>135380</v>
      </c>
      <c r="R79" s="23">
        <f t="shared" si="51"/>
        <v>135380</v>
      </c>
      <c r="S79" s="23">
        <f t="shared" si="51"/>
        <v>135380</v>
      </c>
      <c r="T79" s="23">
        <f t="shared" si="51"/>
        <v>154720</v>
      </c>
      <c r="U79" s="23">
        <f t="shared" si="51"/>
        <v>145050</v>
      </c>
      <c r="V79" s="23">
        <f t="shared" si="51"/>
        <v>135380</v>
      </c>
      <c r="W79" s="23">
        <f t="shared" si="51"/>
        <v>145050</v>
      </c>
      <c r="X79" s="23">
        <f t="shared" si="51"/>
        <v>154720</v>
      </c>
      <c r="Y79" s="23">
        <f t="shared" si="51"/>
        <v>193400</v>
      </c>
      <c r="Z79" s="23">
        <f t="shared" si="51"/>
        <v>77360</v>
      </c>
      <c r="AA79" s="23">
        <f t="shared" si="51"/>
        <v>0</v>
      </c>
      <c r="AB79" s="23">
        <f t="shared" si="51"/>
        <v>0</v>
      </c>
    </row>
    <row r="80" spans="2:28">
      <c r="B80" s="24" t="s">
        <v>91</v>
      </c>
      <c r="C80" s="25">
        <f>SUM(E80:AB80)</f>
        <v>4220289.7300000004</v>
      </c>
      <c r="D80" s="174">
        <f>D59-D76-D77-D78-D79</f>
        <v>4220289.7300000004</v>
      </c>
      <c r="E80" s="26">
        <f t="shared" ref="E80:AB80" si="52">E59-E76-E77-E78-E79</f>
        <v>-147010</v>
      </c>
      <c r="F80" s="26">
        <f t="shared" si="52"/>
        <v>-243710</v>
      </c>
      <c r="G80" s="26">
        <f>G59-G76-G77-G78-G79</f>
        <v>413498.1</v>
      </c>
      <c r="H80" s="26">
        <f t="shared" si="52"/>
        <v>259347.27000000002</v>
      </c>
      <c r="I80" s="26">
        <f t="shared" si="52"/>
        <v>299237.62399999995</v>
      </c>
      <c r="J80" s="26">
        <f t="shared" si="52"/>
        <v>112550.46999999997</v>
      </c>
      <c r="K80" s="27">
        <f t="shared" si="52"/>
        <v>-58138.28</v>
      </c>
      <c r="L80" s="26">
        <f t="shared" si="52"/>
        <v>133869.39000000001</v>
      </c>
      <c r="M80" s="27">
        <f t="shared" si="52"/>
        <v>283135.37</v>
      </c>
      <c r="N80" s="26">
        <f t="shared" si="52"/>
        <v>603010.4</v>
      </c>
      <c r="O80" s="26">
        <f t="shared" si="52"/>
        <v>104824.54000000004</v>
      </c>
      <c r="P80" s="26">
        <f t="shared" si="52"/>
        <v>354127.46399999992</v>
      </c>
      <c r="Q80" s="26">
        <f t="shared" si="52"/>
        <v>290615.58600000001</v>
      </c>
      <c r="R80" s="26">
        <f t="shared" si="52"/>
        <v>244763.84399999998</v>
      </c>
      <c r="S80" s="26">
        <f t="shared" si="52"/>
        <v>186093.97200000007</v>
      </c>
      <c r="T80" s="26">
        <f t="shared" si="52"/>
        <v>39055.81</v>
      </c>
      <c r="U80" s="26">
        <f t="shared" si="52"/>
        <v>-17728.089999999997</v>
      </c>
      <c r="V80" s="26">
        <f t="shared" si="52"/>
        <v>352958.88</v>
      </c>
      <c r="W80" s="26">
        <f t="shared" si="52"/>
        <v>429431.24</v>
      </c>
      <c r="X80" s="26">
        <f t="shared" si="52"/>
        <v>886332.34000000008</v>
      </c>
      <c r="Y80" s="26">
        <f t="shared" si="52"/>
        <v>125383.79999999999</v>
      </c>
      <c r="Z80" s="26">
        <f t="shared" si="52"/>
        <v>-195360</v>
      </c>
      <c r="AA80" s="26">
        <f t="shared" si="52"/>
        <v>-118000</v>
      </c>
      <c r="AB80" s="26">
        <f t="shared" si="52"/>
        <v>-118000</v>
      </c>
    </row>
    <row r="81" spans="2:28">
      <c r="B81" s="320" t="s">
        <v>92</v>
      </c>
      <c r="C81" s="321"/>
      <c r="D81" s="326"/>
      <c r="E81" s="29">
        <f>+E80</f>
        <v>-147010</v>
      </c>
      <c r="F81" s="29">
        <f t="shared" ref="F81:AB81" si="53">F80+E81</f>
        <v>-390720</v>
      </c>
      <c r="G81" s="29">
        <f t="shared" si="53"/>
        <v>22778.099999999977</v>
      </c>
      <c r="H81" s="29">
        <f t="shared" si="53"/>
        <v>282125.37</v>
      </c>
      <c r="I81" s="29">
        <f t="shared" si="53"/>
        <v>581362.99399999995</v>
      </c>
      <c r="J81" s="29">
        <f t="shared" si="53"/>
        <v>693913.46399999992</v>
      </c>
      <c r="K81" s="28">
        <f t="shared" si="53"/>
        <v>635775.18399999989</v>
      </c>
      <c r="L81" s="29">
        <f t="shared" si="53"/>
        <v>769644.57399999991</v>
      </c>
      <c r="M81" s="28">
        <f t="shared" si="53"/>
        <v>1052779.9439999999</v>
      </c>
      <c r="N81" s="29">
        <f t="shared" si="53"/>
        <v>1655790.344</v>
      </c>
      <c r="O81" s="29">
        <f t="shared" si="53"/>
        <v>1760614.8840000001</v>
      </c>
      <c r="P81" s="29">
        <f t="shared" si="53"/>
        <v>2114742.3480000002</v>
      </c>
      <c r="Q81" s="29">
        <f t="shared" si="53"/>
        <v>2405357.9340000004</v>
      </c>
      <c r="R81" s="29">
        <f t="shared" si="53"/>
        <v>2650121.7780000004</v>
      </c>
      <c r="S81" s="29">
        <f t="shared" si="53"/>
        <v>2836215.7500000005</v>
      </c>
      <c r="T81" s="29">
        <f t="shared" si="53"/>
        <v>2875271.5600000005</v>
      </c>
      <c r="U81" s="29">
        <f t="shared" si="53"/>
        <v>2857543.4700000007</v>
      </c>
      <c r="V81" s="29">
        <f t="shared" si="53"/>
        <v>3210502.3500000006</v>
      </c>
      <c r="W81" s="29">
        <f t="shared" si="53"/>
        <v>3639933.5900000008</v>
      </c>
      <c r="X81" s="29">
        <f t="shared" si="53"/>
        <v>4526265.9300000006</v>
      </c>
      <c r="Y81" s="29">
        <f t="shared" si="53"/>
        <v>4651649.7300000004</v>
      </c>
      <c r="Z81" s="29">
        <f t="shared" si="53"/>
        <v>4456289.7300000004</v>
      </c>
      <c r="AA81" s="29">
        <f t="shared" si="53"/>
        <v>4338289.7300000004</v>
      </c>
      <c r="AB81" s="29">
        <f t="shared" si="53"/>
        <v>4220289.7300000004</v>
      </c>
    </row>
    <row r="82" spans="2:28">
      <c r="D82" s="258">
        <f>D80/D59</f>
        <v>0.2894730032483912</v>
      </c>
    </row>
    <row r="83" spans="2:28">
      <c r="D83" s="11"/>
    </row>
    <row r="84" spans="2:28">
      <c r="B84" s="30" t="s">
        <v>93</v>
      </c>
      <c r="C84" s="31">
        <f>D41/D26</f>
        <v>0.89475804131422987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B81 B8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5587-DAC4-499A-BBA6-31EA6095C276}">
  <dimension ref="A2:AL84"/>
  <sheetViews>
    <sheetView showGridLines="0" topLeftCell="C4" workbookViewId="0">
      <selection activeCell="C4" sqref="C4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7" max="7" width="9.7109375" customWidth="1"/>
    <col min="8" max="8" width="11.28515625" bestFit="1" customWidth="1"/>
  </cols>
  <sheetData>
    <row r="2" spans="2:38" ht="15.75">
      <c r="B2" s="54" t="s">
        <v>0</v>
      </c>
      <c r="C2" s="109" t="s">
        <v>1</v>
      </c>
    </row>
    <row r="3" spans="2:38" ht="15.75">
      <c r="B3" s="54" t="s">
        <v>2</v>
      </c>
      <c r="C3" s="109">
        <v>1</v>
      </c>
    </row>
    <row r="4" spans="2:38" ht="15.75">
      <c r="B4" s="54" t="s">
        <v>3</v>
      </c>
      <c r="C4" s="110">
        <v>45288</v>
      </c>
    </row>
    <row r="5" spans="2:38" ht="15.75">
      <c r="B5" s="54" t="s">
        <v>4</v>
      </c>
      <c r="C5" s="110"/>
    </row>
    <row r="6" spans="2:38" ht="15.75">
      <c r="B6" s="179" t="s">
        <v>230</v>
      </c>
      <c r="C6" s="110" t="s">
        <v>284</v>
      </c>
    </row>
    <row r="7" spans="2:38" ht="15.75">
      <c r="B7" s="2"/>
      <c r="C7" s="2"/>
    </row>
    <row r="8" spans="2:38" ht="15.75">
      <c r="B8" s="54" t="s">
        <v>5</v>
      </c>
      <c r="D8" s="41" t="s">
        <v>6</v>
      </c>
      <c r="E8" s="42">
        <v>45288</v>
      </c>
      <c r="F8" s="42">
        <v>45289</v>
      </c>
      <c r="G8" s="42">
        <v>45290</v>
      </c>
      <c r="H8" s="42">
        <v>45291</v>
      </c>
      <c r="I8" s="42">
        <v>45292</v>
      </c>
      <c r="J8" s="42">
        <v>45293</v>
      </c>
      <c r="K8" s="42">
        <v>45294</v>
      </c>
      <c r="L8" s="42">
        <v>45295</v>
      </c>
      <c r="M8" s="42">
        <v>45296</v>
      </c>
      <c r="N8" s="42">
        <v>45297</v>
      </c>
      <c r="O8" s="42">
        <v>45298</v>
      </c>
      <c r="P8" s="42">
        <v>45299</v>
      </c>
      <c r="Q8" s="42">
        <v>45300</v>
      </c>
      <c r="R8" s="42">
        <v>45301</v>
      </c>
      <c r="S8" s="42">
        <v>45302</v>
      </c>
      <c r="T8" s="42">
        <v>45303</v>
      </c>
      <c r="U8" s="42">
        <v>45304</v>
      </c>
      <c r="V8" s="42">
        <v>45305</v>
      </c>
      <c r="W8" s="42">
        <v>45306</v>
      </c>
      <c r="X8" s="42">
        <v>45307</v>
      </c>
      <c r="Y8" s="42">
        <v>45308</v>
      </c>
      <c r="Z8" s="42">
        <v>45309</v>
      </c>
      <c r="AA8" s="42">
        <v>45310</v>
      </c>
      <c r="AB8" s="42">
        <v>45311</v>
      </c>
      <c r="AC8" s="42">
        <v>45312</v>
      </c>
      <c r="AD8" s="42">
        <v>45313</v>
      </c>
      <c r="AE8" s="42">
        <v>45314</v>
      </c>
      <c r="AF8" s="42">
        <v>45315</v>
      </c>
      <c r="AG8" s="42">
        <v>45316</v>
      </c>
      <c r="AH8" s="42">
        <v>45317</v>
      </c>
      <c r="AI8" s="42">
        <v>45318</v>
      </c>
      <c r="AJ8" s="42">
        <v>45319</v>
      </c>
      <c r="AK8" s="42">
        <v>45320</v>
      </c>
      <c r="AL8" s="42">
        <v>45321</v>
      </c>
    </row>
    <row r="9" spans="2:38">
      <c r="B9" s="46" t="s">
        <v>7</v>
      </c>
      <c r="C9" s="47" t="s">
        <v>8</v>
      </c>
      <c r="D9" s="71">
        <f t="shared" ref="D9:D15" si="0">SUM(E9:AL9)</f>
        <v>678</v>
      </c>
      <c r="E9" s="114">
        <v>0</v>
      </c>
      <c r="F9" s="114">
        <v>6</v>
      </c>
      <c r="G9" s="114">
        <v>24</v>
      </c>
      <c r="H9" s="114">
        <v>24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24</v>
      </c>
      <c r="AI9" s="114">
        <v>0</v>
      </c>
      <c r="AJ9" s="114">
        <v>0</v>
      </c>
      <c r="AK9" s="114">
        <v>0</v>
      </c>
      <c r="AL9" s="114">
        <v>0</v>
      </c>
    </row>
    <row r="10" spans="2:38">
      <c r="B10" s="48" t="s">
        <v>9</v>
      </c>
      <c r="C10" s="38" t="s">
        <v>8</v>
      </c>
      <c r="D10" s="71">
        <f t="shared" si="0"/>
        <v>13</v>
      </c>
      <c r="E10" s="115">
        <v>0</v>
      </c>
      <c r="F10" s="115">
        <v>13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</row>
    <row r="11" spans="2:38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</row>
    <row r="12" spans="2:38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</row>
    <row r="13" spans="2:38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</row>
    <row r="14" spans="2:38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</row>
    <row r="15" spans="2:38">
      <c r="B15" s="49" t="s">
        <v>14</v>
      </c>
      <c r="C15" s="40" t="s">
        <v>8</v>
      </c>
      <c r="D15" s="71">
        <f t="shared" si="0"/>
        <v>9</v>
      </c>
      <c r="E15" s="116">
        <v>4</v>
      </c>
      <c r="F15" s="116">
        <v>5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</row>
    <row r="16" spans="2:38">
      <c r="B16" s="68" t="s">
        <v>15</v>
      </c>
      <c r="C16" s="69" t="s">
        <v>8</v>
      </c>
      <c r="D16" s="70">
        <f t="shared" ref="D16" si="1">SUM(E16:K16)</f>
        <v>148</v>
      </c>
      <c r="E16" s="117">
        <f t="shared" ref="E16:AB16" si="2">SUM(E9:E15)</f>
        <v>4</v>
      </c>
      <c r="F16" s="117">
        <f t="shared" si="2"/>
        <v>24</v>
      </c>
      <c r="G16" s="117">
        <f t="shared" si="2"/>
        <v>24</v>
      </c>
      <c r="H16" s="117">
        <f t="shared" si="2"/>
        <v>24</v>
      </c>
      <c r="I16" s="117">
        <f t="shared" si="2"/>
        <v>24</v>
      </c>
      <c r="J16" s="117">
        <f t="shared" si="2"/>
        <v>24</v>
      </c>
      <c r="K16" s="117">
        <f t="shared" si="2"/>
        <v>24</v>
      </c>
      <c r="L16" s="117">
        <f t="shared" si="2"/>
        <v>24</v>
      </c>
      <c r="M16" s="117">
        <f t="shared" si="2"/>
        <v>24</v>
      </c>
      <c r="N16" s="117">
        <f t="shared" si="2"/>
        <v>24</v>
      </c>
      <c r="O16" s="117">
        <f t="shared" si="2"/>
        <v>24</v>
      </c>
      <c r="P16" s="117">
        <f t="shared" si="2"/>
        <v>24</v>
      </c>
      <c r="Q16" s="117">
        <f t="shared" si="2"/>
        <v>24</v>
      </c>
      <c r="R16" s="117">
        <f t="shared" si="2"/>
        <v>24</v>
      </c>
      <c r="S16" s="117">
        <f t="shared" si="2"/>
        <v>24</v>
      </c>
      <c r="T16" s="117">
        <f t="shared" si="2"/>
        <v>24</v>
      </c>
      <c r="U16" s="117">
        <f t="shared" si="2"/>
        <v>24</v>
      </c>
      <c r="V16" s="117">
        <f t="shared" si="2"/>
        <v>24</v>
      </c>
      <c r="W16" s="117">
        <f t="shared" si="2"/>
        <v>24</v>
      </c>
      <c r="X16" s="117">
        <f t="shared" si="2"/>
        <v>24</v>
      </c>
      <c r="Y16" s="117">
        <f t="shared" si="2"/>
        <v>24</v>
      </c>
      <c r="Z16" s="117">
        <f t="shared" si="2"/>
        <v>24</v>
      </c>
      <c r="AA16" s="117">
        <f t="shared" si="2"/>
        <v>24</v>
      </c>
      <c r="AB16" s="117">
        <f t="shared" si="2"/>
        <v>24</v>
      </c>
      <c r="AC16" s="117">
        <f t="shared" ref="AC16:AL16" si="3">SUM(AC9:AC15)</f>
        <v>24</v>
      </c>
      <c r="AD16" s="117">
        <f t="shared" si="3"/>
        <v>24</v>
      </c>
      <c r="AE16" s="117">
        <f t="shared" si="3"/>
        <v>24</v>
      </c>
      <c r="AF16" s="117">
        <f t="shared" si="3"/>
        <v>24</v>
      </c>
      <c r="AG16" s="117">
        <f t="shared" si="3"/>
        <v>24</v>
      </c>
      <c r="AH16" s="117">
        <f t="shared" si="3"/>
        <v>24</v>
      </c>
      <c r="AI16" s="117">
        <f t="shared" si="3"/>
        <v>0</v>
      </c>
      <c r="AJ16" s="117">
        <f t="shared" si="3"/>
        <v>0</v>
      </c>
      <c r="AK16" s="117">
        <f t="shared" si="3"/>
        <v>0</v>
      </c>
      <c r="AL16" s="117">
        <f t="shared" si="3"/>
        <v>0</v>
      </c>
    </row>
    <row r="18" spans="1:38">
      <c r="B18" s="50" t="s">
        <v>16</v>
      </c>
      <c r="C18" s="50" t="s">
        <v>0</v>
      </c>
      <c r="D18" s="58">
        <f>SUM(E18:K18)</f>
        <v>0</v>
      </c>
      <c r="E18" s="226">
        <v>0</v>
      </c>
      <c r="F18" s="127" t="s">
        <v>119</v>
      </c>
      <c r="G18" s="127" t="s">
        <v>220</v>
      </c>
      <c r="H18" s="127" t="s">
        <v>408</v>
      </c>
      <c r="I18" s="127" t="s">
        <v>409</v>
      </c>
      <c r="J18" s="127" t="s">
        <v>409</v>
      </c>
      <c r="K18" s="127" t="s">
        <v>409</v>
      </c>
      <c r="L18" s="127" t="s">
        <v>409</v>
      </c>
      <c r="M18" s="127" t="s">
        <v>409</v>
      </c>
      <c r="N18" s="127" t="s">
        <v>409</v>
      </c>
      <c r="O18" s="127" t="s">
        <v>409</v>
      </c>
      <c r="P18" s="127" t="s">
        <v>409</v>
      </c>
      <c r="Q18" s="127" t="s">
        <v>409</v>
      </c>
      <c r="R18" s="127" t="s">
        <v>409</v>
      </c>
      <c r="S18" s="127" t="s">
        <v>410</v>
      </c>
      <c r="T18" s="127" t="s">
        <v>409</v>
      </c>
      <c r="U18" s="127" t="s">
        <v>409</v>
      </c>
      <c r="V18" s="127" t="s">
        <v>173</v>
      </c>
      <c r="W18" s="127" t="s">
        <v>173</v>
      </c>
      <c r="X18" s="127" t="s">
        <v>411</v>
      </c>
      <c r="Y18" s="127" t="s">
        <v>411</v>
      </c>
      <c r="Z18" s="127" t="s">
        <v>195</v>
      </c>
      <c r="AA18" s="127" t="s">
        <v>195</v>
      </c>
      <c r="AB18" s="127" t="s">
        <v>262</v>
      </c>
      <c r="AC18" s="127" t="s">
        <v>262</v>
      </c>
      <c r="AD18" s="127" t="s">
        <v>117</v>
      </c>
      <c r="AE18" s="127" t="s">
        <v>117</v>
      </c>
      <c r="AF18" s="127" t="s">
        <v>220</v>
      </c>
      <c r="AG18" s="127" t="s">
        <v>220</v>
      </c>
      <c r="AH18" s="127" t="s">
        <v>220</v>
      </c>
      <c r="AI18" s="127">
        <v>0</v>
      </c>
      <c r="AJ18" s="127">
        <v>0</v>
      </c>
      <c r="AK18" s="127">
        <v>0</v>
      </c>
      <c r="AL18" s="196">
        <v>0</v>
      </c>
    </row>
    <row r="19" spans="1:38">
      <c r="B19" s="37" t="s">
        <v>31</v>
      </c>
      <c r="C19" s="37" t="s">
        <v>32</v>
      </c>
      <c r="D19" s="131">
        <f>SUM(E19:AL19)</f>
        <v>476.8</v>
      </c>
      <c r="E19" s="126">
        <v>0</v>
      </c>
      <c r="F19" s="128">
        <v>6.5</v>
      </c>
      <c r="G19" s="128">
        <v>14</v>
      </c>
      <c r="H19" s="128">
        <v>16.5</v>
      </c>
      <c r="I19" s="128">
        <v>7</v>
      </c>
      <c r="J19" s="128">
        <v>18.5</v>
      </c>
      <c r="K19" s="128">
        <v>18.5</v>
      </c>
      <c r="L19" s="128">
        <v>20</v>
      </c>
      <c r="M19" s="128">
        <v>19.600000000000001</v>
      </c>
      <c r="N19" s="128">
        <v>20</v>
      </c>
      <c r="O19" s="128">
        <v>20.3</v>
      </c>
      <c r="P19" s="128">
        <v>10.7</v>
      </c>
      <c r="Q19" s="128">
        <v>22</v>
      </c>
      <c r="R19" s="128">
        <v>15.5</v>
      </c>
      <c r="S19" s="128">
        <v>23</v>
      </c>
      <c r="T19" s="128">
        <v>20.6</v>
      </c>
      <c r="U19" s="128">
        <v>20.6</v>
      </c>
      <c r="V19" s="128">
        <v>11.5</v>
      </c>
      <c r="W19" s="128">
        <v>20.7</v>
      </c>
      <c r="X19" s="128">
        <v>20</v>
      </c>
      <c r="Y19" s="128">
        <v>4</v>
      </c>
      <c r="Z19" s="128">
        <v>18.3</v>
      </c>
      <c r="AA19" s="128">
        <v>21.3</v>
      </c>
      <c r="AB19" s="128">
        <v>13.5</v>
      </c>
      <c r="AC19" s="128">
        <v>19</v>
      </c>
      <c r="AD19" s="128">
        <v>11</v>
      </c>
      <c r="AE19" s="128">
        <v>12.5</v>
      </c>
      <c r="AF19" s="128">
        <v>18.3</v>
      </c>
      <c r="AG19" s="128">
        <v>17.2</v>
      </c>
      <c r="AH19" s="128">
        <v>16.2</v>
      </c>
      <c r="AI19" s="128">
        <v>0</v>
      </c>
      <c r="AJ19" s="128">
        <v>0</v>
      </c>
      <c r="AK19" s="128">
        <v>0</v>
      </c>
      <c r="AL19" s="197">
        <v>0</v>
      </c>
    </row>
    <row r="20" spans="1:38">
      <c r="B20" s="37" t="s">
        <v>35</v>
      </c>
      <c r="C20" s="37" t="s">
        <v>36</v>
      </c>
      <c r="D20" s="131">
        <f>SUM(E20:AL20)</f>
        <v>80</v>
      </c>
      <c r="E20" s="126">
        <v>0</v>
      </c>
      <c r="F20" s="128">
        <v>1</v>
      </c>
      <c r="G20" s="128">
        <v>3</v>
      </c>
      <c r="H20" s="128">
        <v>4</v>
      </c>
      <c r="I20" s="128">
        <v>1</v>
      </c>
      <c r="J20" s="128">
        <v>3</v>
      </c>
      <c r="K20" s="128">
        <v>3</v>
      </c>
      <c r="L20" s="128">
        <v>3</v>
      </c>
      <c r="M20" s="128">
        <v>3</v>
      </c>
      <c r="N20" s="128">
        <v>3</v>
      </c>
      <c r="O20" s="128">
        <v>3</v>
      </c>
      <c r="P20" s="128">
        <v>2</v>
      </c>
      <c r="Q20" s="128">
        <v>3</v>
      </c>
      <c r="R20" s="128">
        <v>2</v>
      </c>
      <c r="S20" s="128">
        <v>3</v>
      </c>
      <c r="T20" s="128">
        <v>3</v>
      </c>
      <c r="U20" s="128">
        <v>3</v>
      </c>
      <c r="V20" s="128">
        <v>2</v>
      </c>
      <c r="W20" s="128">
        <v>4</v>
      </c>
      <c r="X20" s="128">
        <v>3</v>
      </c>
      <c r="Y20" s="128">
        <v>1</v>
      </c>
      <c r="Z20" s="128">
        <v>3</v>
      </c>
      <c r="AA20" s="128">
        <v>3</v>
      </c>
      <c r="AB20" s="128">
        <v>2</v>
      </c>
      <c r="AC20" s="128">
        <v>3</v>
      </c>
      <c r="AD20" s="128">
        <v>2</v>
      </c>
      <c r="AE20" s="128">
        <v>4</v>
      </c>
      <c r="AF20" s="128">
        <v>3</v>
      </c>
      <c r="AG20" s="128">
        <v>4</v>
      </c>
      <c r="AH20" s="128">
        <v>3</v>
      </c>
      <c r="AI20" s="128">
        <v>0</v>
      </c>
      <c r="AJ20" s="128">
        <v>0</v>
      </c>
      <c r="AK20" s="128">
        <v>0</v>
      </c>
      <c r="AL20" s="197">
        <v>0</v>
      </c>
    </row>
    <row r="21" spans="1:38">
      <c r="B21" s="39" t="s">
        <v>37</v>
      </c>
      <c r="C21" s="39" t="s">
        <v>38</v>
      </c>
      <c r="D21" s="67">
        <f>SUM(E21:AL21)</f>
        <v>0</v>
      </c>
      <c r="E21" s="160">
        <v>0</v>
      </c>
      <c r="F21" s="225" t="s">
        <v>40</v>
      </c>
      <c r="G21" s="225" t="s">
        <v>40</v>
      </c>
      <c r="H21" s="225" t="s">
        <v>40</v>
      </c>
      <c r="I21" s="225" t="s">
        <v>412</v>
      </c>
      <c r="J21" s="225" t="s">
        <v>412</v>
      </c>
      <c r="K21" s="225" t="s">
        <v>412</v>
      </c>
      <c r="L21" s="225" t="s">
        <v>412</v>
      </c>
      <c r="M21" s="225" t="s">
        <v>412</v>
      </c>
      <c r="N21" s="225" t="s">
        <v>412</v>
      </c>
      <c r="O21" s="225" t="s">
        <v>412</v>
      </c>
      <c r="P21" s="225" t="s">
        <v>412</v>
      </c>
      <c r="Q21" s="225" t="s">
        <v>412</v>
      </c>
      <c r="R21" s="225" t="s">
        <v>412</v>
      </c>
      <c r="S21" s="225" t="s">
        <v>412</v>
      </c>
      <c r="T21" s="225" t="s">
        <v>412</v>
      </c>
      <c r="U21" s="225" t="s">
        <v>412</v>
      </c>
      <c r="V21" s="225" t="s">
        <v>399</v>
      </c>
      <c r="W21" s="225" t="s">
        <v>413</v>
      </c>
      <c r="X21" s="225" t="s">
        <v>40</v>
      </c>
      <c r="Y21" s="225" t="s">
        <v>413</v>
      </c>
      <c r="Z21" s="225" t="s">
        <v>414</v>
      </c>
      <c r="AA21" s="225" t="s">
        <v>414</v>
      </c>
      <c r="AB21" s="225" t="s">
        <v>414</v>
      </c>
      <c r="AC21" s="225" t="s">
        <v>414</v>
      </c>
      <c r="AD21" s="225" t="s">
        <v>40</v>
      </c>
      <c r="AE21" s="225" t="s">
        <v>40</v>
      </c>
      <c r="AF21" s="225" t="s">
        <v>40</v>
      </c>
      <c r="AG21" s="225" t="s">
        <v>40</v>
      </c>
      <c r="AH21" s="225" t="s">
        <v>40</v>
      </c>
      <c r="AI21" s="225">
        <v>0</v>
      </c>
      <c r="AJ21" s="225">
        <v>0</v>
      </c>
      <c r="AK21" s="225">
        <v>0</v>
      </c>
      <c r="AL21" s="57">
        <v>0</v>
      </c>
    </row>
    <row r="22" spans="1:38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4" spans="1:38">
      <c r="B24" s="167" t="s">
        <v>43</v>
      </c>
      <c r="C24" s="168">
        <f>D26/D19</f>
        <v>1390.5264261744967</v>
      </c>
    </row>
    <row r="25" spans="1:38">
      <c r="D25" s="10"/>
    </row>
    <row r="26" spans="1:38">
      <c r="A26" s="312" t="s">
        <v>44</v>
      </c>
      <c r="B26" s="35" t="s">
        <v>45</v>
      </c>
      <c r="C26" s="35"/>
      <c r="D26" s="175">
        <f>SUM(E26:AL26)</f>
        <v>663003</v>
      </c>
      <c r="E26" s="75">
        <f t="shared" ref="E26:AB26" si="4">SUM(E27:E38)</f>
        <v>0</v>
      </c>
      <c r="F26" s="175">
        <f t="shared" si="4"/>
        <v>1135</v>
      </c>
      <c r="G26" s="75">
        <f>SUM(G27:G38)</f>
        <v>22793</v>
      </c>
      <c r="H26" s="175">
        <f t="shared" si="4"/>
        <v>20377</v>
      </c>
      <c r="I26" s="75">
        <f t="shared" si="4"/>
        <v>25475</v>
      </c>
      <c r="J26" s="175">
        <f t="shared" si="4"/>
        <v>42851</v>
      </c>
      <c r="K26" s="75">
        <f t="shared" si="4"/>
        <v>18630</v>
      </c>
      <c r="L26" s="175">
        <f t="shared" si="4"/>
        <v>21827</v>
      </c>
      <c r="M26" s="75">
        <f t="shared" si="4"/>
        <v>27347</v>
      </c>
      <c r="N26" s="175">
        <f t="shared" si="4"/>
        <v>22908</v>
      </c>
      <c r="O26" s="75">
        <f t="shared" si="4"/>
        <v>22862</v>
      </c>
      <c r="P26" s="175">
        <f t="shared" si="4"/>
        <v>8533</v>
      </c>
      <c r="Q26" s="75">
        <f t="shared" si="4"/>
        <v>36179</v>
      </c>
      <c r="R26" s="175">
        <f t="shared" si="4"/>
        <v>17114</v>
      </c>
      <c r="S26" s="75">
        <f t="shared" si="4"/>
        <v>22588</v>
      </c>
      <c r="T26" s="175">
        <f t="shared" si="4"/>
        <v>21003</v>
      </c>
      <c r="U26" s="75">
        <f t="shared" si="4"/>
        <v>16933</v>
      </c>
      <c r="V26" s="175">
        <f t="shared" si="4"/>
        <v>13505</v>
      </c>
      <c r="W26" s="75">
        <f t="shared" si="4"/>
        <v>17510</v>
      </c>
      <c r="X26" s="175">
        <f t="shared" si="4"/>
        <v>23037</v>
      </c>
      <c r="Y26" s="75">
        <f t="shared" si="4"/>
        <v>2561</v>
      </c>
      <c r="Z26" s="175">
        <f t="shared" si="4"/>
        <v>8073</v>
      </c>
      <c r="AA26" s="75">
        <f t="shared" si="4"/>
        <v>16404</v>
      </c>
      <c r="AB26" s="175">
        <f t="shared" si="4"/>
        <v>19160</v>
      </c>
      <c r="AC26" s="175">
        <f t="shared" ref="AC26:AL26" si="5">SUM(AC27:AC38)</f>
        <v>15157</v>
      </c>
      <c r="AD26" s="175">
        <f t="shared" si="5"/>
        <v>22407</v>
      </c>
      <c r="AE26" s="175">
        <f t="shared" si="5"/>
        <v>33158</v>
      </c>
      <c r="AF26" s="175">
        <f t="shared" si="5"/>
        <v>31872</v>
      </c>
      <c r="AG26" s="175">
        <f t="shared" si="5"/>
        <v>61873</v>
      </c>
      <c r="AH26" s="175">
        <f t="shared" si="5"/>
        <v>49731</v>
      </c>
      <c r="AI26" s="175">
        <f t="shared" si="5"/>
        <v>0</v>
      </c>
      <c r="AJ26" s="175">
        <f t="shared" si="5"/>
        <v>0</v>
      </c>
      <c r="AK26" s="175">
        <f t="shared" si="5"/>
        <v>0</v>
      </c>
      <c r="AL26" s="175">
        <f t="shared" si="5"/>
        <v>0</v>
      </c>
    </row>
    <row r="27" spans="1:38">
      <c r="A27" s="313"/>
      <c r="B27" s="37" t="s">
        <v>47</v>
      </c>
      <c r="C27" s="38" t="s">
        <v>48</v>
      </c>
      <c r="D27" s="73">
        <f t="shared" ref="D27:D28" si="6">SUM(E27:AL27)</f>
        <v>75529</v>
      </c>
      <c r="E27" s="55">
        <v>0</v>
      </c>
      <c r="F27" s="55">
        <v>319</v>
      </c>
      <c r="G27" s="55">
        <v>3113</v>
      </c>
      <c r="H27" s="55">
        <v>2656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7369</v>
      </c>
      <c r="W27" s="55">
        <v>9273</v>
      </c>
      <c r="X27" s="55">
        <v>12400</v>
      </c>
      <c r="Y27" s="55">
        <v>1416</v>
      </c>
      <c r="Z27" s="55">
        <v>0</v>
      </c>
      <c r="AA27" s="55">
        <v>0</v>
      </c>
      <c r="AB27" s="55">
        <v>0</v>
      </c>
      <c r="AC27" s="55">
        <v>0</v>
      </c>
      <c r="AD27" s="55">
        <v>5598</v>
      </c>
      <c r="AE27" s="55">
        <v>6513</v>
      </c>
      <c r="AF27" s="55">
        <v>10236</v>
      </c>
      <c r="AG27" s="55">
        <v>9011</v>
      </c>
      <c r="AH27" s="55">
        <v>7625</v>
      </c>
      <c r="AI27" s="55">
        <v>0</v>
      </c>
      <c r="AJ27" s="55">
        <v>0</v>
      </c>
      <c r="AK27" s="55">
        <v>0</v>
      </c>
      <c r="AL27" s="55">
        <v>0</v>
      </c>
    </row>
    <row r="28" spans="1:38">
      <c r="A28" s="313"/>
      <c r="B28" s="37" t="s">
        <v>49</v>
      </c>
      <c r="C28" s="38" t="s">
        <v>48</v>
      </c>
      <c r="D28" s="73">
        <f t="shared" si="6"/>
        <v>30936</v>
      </c>
      <c r="E28" s="55">
        <v>0</v>
      </c>
      <c r="F28" s="55">
        <v>0</v>
      </c>
      <c r="G28" s="55">
        <v>1104</v>
      </c>
      <c r="H28" s="55">
        <v>672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48</v>
      </c>
      <c r="S28" s="55">
        <v>48</v>
      </c>
      <c r="T28" s="55">
        <v>96</v>
      </c>
      <c r="U28" s="55">
        <v>120</v>
      </c>
      <c r="V28" s="55">
        <v>5376</v>
      </c>
      <c r="W28" s="55">
        <v>4056</v>
      </c>
      <c r="X28" s="55">
        <v>4992</v>
      </c>
      <c r="Y28" s="55">
        <v>912</v>
      </c>
      <c r="Z28" s="55">
        <v>0</v>
      </c>
      <c r="AA28" s="55">
        <v>120</v>
      </c>
      <c r="AB28" s="55">
        <v>24</v>
      </c>
      <c r="AC28" s="55">
        <v>0</v>
      </c>
      <c r="AD28" s="55">
        <v>2040</v>
      </c>
      <c r="AE28" s="55">
        <v>2976</v>
      </c>
      <c r="AF28" s="55">
        <v>3576</v>
      </c>
      <c r="AG28" s="55">
        <v>2280</v>
      </c>
      <c r="AH28" s="55">
        <v>2496</v>
      </c>
      <c r="AI28" s="55">
        <v>0</v>
      </c>
      <c r="AJ28" s="55">
        <v>0</v>
      </c>
      <c r="AK28" s="55">
        <v>0</v>
      </c>
      <c r="AL28" s="55">
        <v>0</v>
      </c>
    </row>
    <row r="29" spans="1:38">
      <c r="A29" s="313"/>
      <c r="B29" s="37" t="s">
        <v>50</v>
      </c>
      <c r="C29" s="38" t="s">
        <v>48</v>
      </c>
      <c r="D29" s="73">
        <f>SUM(E29:AL29)</f>
        <v>156955</v>
      </c>
      <c r="E29" s="55">
        <v>0</v>
      </c>
      <c r="F29" s="55">
        <v>592</v>
      </c>
      <c r="G29" s="55">
        <v>15826</v>
      </c>
      <c r="H29" s="55">
        <v>12032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135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12067</v>
      </c>
      <c r="AE29" s="55">
        <v>17585</v>
      </c>
      <c r="AF29" s="55">
        <v>14399</v>
      </c>
      <c r="AG29" s="55">
        <v>46961</v>
      </c>
      <c r="AH29" s="55">
        <v>37358</v>
      </c>
      <c r="AI29" s="55">
        <v>0</v>
      </c>
      <c r="AJ29" s="55">
        <v>0</v>
      </c>
      <c r="AK29" s="55">
        <v>0</v>
      </c>
      <c r="AL29" s="55">
        <v>0</v>
      </c>
    </row>
    <row r="30" spans="1:38">
      <c r="A30" s="313"/>
      <c r="B30" s="37" t="s">
        <v>51</v>
      </c>
      <c r="C30" s="38" t="s">
        <v>48</v>
      </c>
      <c r="D30" s="73">
        <f t="shared" ref="D30:D38" si="7">SUM(E30:AL30)</f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</row>
    <row r="31" spans="1:38">
      <c r="A31" s="313"/>
      <c r="B31" s="37" t="s">
        <v>52</v>
      </c>
      <c r="C31" s="38" t="s">
        <v>48</v>
      </c>
      <c r="D31" s="73">
        <f t="shared" si="7"/>
        <v>27985</v>
      </c>
      <c r="E31" s="55">
        <v>0</v>
      </c>
      <c r="F31" s="55">
        <v>180</v>
      </c>
      <c r="G31" s="55">
        <v>1044</v>
      </c>
      <c r="H31" s="55">
        <v>576</v>
      </c>
      <c r="I31" s="55">
        <v>5120</v>
      </c>
      <c r="J31" s="55">
        <v>10180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311</v>
      </c>
      <c r="W31" s="55">
        <v>488</v>
      </c>
      <c r="X31" s="55">
        <v>756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2450</v>
      </c>
      <c r="AE31" s="55">
        <v>3700</v>
      </c>
      <c r="AF31" s="55">
        <v>2720</v>
      </c>
      <c r="AG31" s="55">
        <v>380</v>
      </c>
      <c r="AH31" s="55">
        <v>80</v>
      </c>
      <c r="AI31" s="55">
        <v>0</v>
      </c>
      <c r="AJ31" s="55">
        <v>0</v>
      </c>
      <c r="AK31" s="55">
        <v>0</v>
      </c>
      <c r="AL31" s="55">
        <v>0</v>
      </c>
    </row>
    <row r="32" spans="1:38">
      <c r="A32" s="313"/>
      <c r="B32" s="37" t="s">
        <v>53</v>
      </c>
      <c r="C32" s="38" t="s">
        <v>48</v>
      </c>
      <c r="D32" s="73">
        <f t="shared" si="7"/>
        <v>350945</v>
      </c>
      <c r="E32" s="55">
        <v>0</v>
      </c>
      <c r="F32" s="55">
        <v>0</v>
      </c>
      <c r="G32" s="55">
        <v>0</v>
      </c>
      <c r="H32" s="55">
        <v>3657</v>
      </c>
      <c r="I32" s="55">
        <v>20355</v>
      </c>
      <c r="J32" s="55">
        <v>32671</v>
      </c>
      <c r="K32" s="55">
        <v>18630</v>
      </c>
      <c r="L32" s="55">
        <v>21827</v>
      </c>
      <c r="M32" s="55">
        <v>27347</v>
      </c>
      <c r="N32" s="55">
        <v>22908</v>
      </c>
      <c r="O32" s="55">
        <v>22862</v>
      </c>
      <c r="P32" s="55">
        <v>8533</v>
      </c>
      <c r="Q32" s="55">
        <v>36179</v>
      </c>
      <c r="R32" s="55">
        <v>17066</v>
      </c>
      <c r="S32" s="55">
        <v>22540</v>
      </c>
      <c r="T32" s="55">
        <v>20907</v>
      </c>
      <c r="U32" s="55">
        <v>16813</v>
      </c>
      <c r="V32" s="55">
        <v>0</v>
      </c>
      <c r="W32" s="55">
        <v>0</v>
      </c>
      <c r="X32" s="55">
        <v>0</v>
      </c>
      <c r="Y32" s="55">
        <v>0</v>
      </c>
      <c r="Z32" s="55">
        <v>8073</v>
      </c>
      <c r="AA32" s="55">
        <v>16284</v>
      </c>
      <c r="AB32" s="55">
        <v>19136</v>
      </c>
      <c r="AC32" s="55">
        <v>15157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</row>
    <row r="33" spans="1:38">
      <c r="A33" s="313"/>
      <c r="B33" s="37" t="s">
        <v>54</v>
      </c>
      <c r="C33" s="38" t="s">
        <v>48</v>
      </c>
      <c r="D33" s="73">
        <f t="shared" si="7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</row>
    <row r="34" spans="1:38">
      <c r="A34" s="313"/>
      <c r="B34" s="37" t="s">
        <v>55</v>
      </c>
      <c r="C34" s="38" t="s">
        <v>48</v>
      </c>
      <c r="D34" s="73">
        <f t="shared" si="7"/>
        <v>6377</v>
      </c>
      <c r="E34" s="55">
        <v>0</v>
      </c>
      <c r="F34" s="55">
        <v>0</v>
      </c>
      <c r="G34" s="55">
        <v>0</v>
      </c>
      <c r="H34" s="55">
        <v>275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164</v>
      </c>
      <c r="W34" s="55">
        <v>123</v>
      </c>
      <c r="X34" s="55">
        <v>3352</v>
      </c>
      <c r="Y34" s="55">
        <v>163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1492</v>
      </c>
      <c r="AF34" s="55">
        <v>308</v>
      </c>
      <c r="AG34" s="55">
        <v>500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</row>
    <row r="35" spans="1:38">
      <c r="A35" s="313"/>
      <c r="B35" s="37" t="s">
        <v>56</v>
      </c>
      <c r="C35" s="38" t="s">
        <v>48</v>
      </c>
      <c r="D35" s="73">
        <f t="shared" si="7"/>
        <v>1620</v>
      </c>
      <c r="E35" s="55">
        <v>0</v>
      </c>
      <c r="F35" s="55">
        <v>0</v>
      </c>
      <c r="G35" s="55">
        <v>0</v>
      </c>
      <c r="H35" s="55">
        <v>120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40</v>
      </c>
      <c r="W35" s="55">
        <v>20</v>
      </c>
      <c r="X35" s="55">
        <v>1020</v>
      </c>
      <c r="Y35" s="55">
        <v>20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200</v>
      </c>
      <c r="AF35" s="55">
        <v>80</v>
      </c>
      <c r="AG35" s="55">
        <v>120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</row>
    <row r="36" spans="1:38">
      <c r="A36" s="313"/>
      <c r="B36" s="37" t="s">
        <v>57</v>
      </c>
      <c r="C36" s="38" t="s">
        <v>48</v>
      </c>
      <c r="D36" s="73">
        <f t="shared" si="7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</row>
    <row r="37" spans="1:38">
      <c r="A37" s="313"/>
      <c r="B37" s="37" t="s">
        <v>58</v>
      </c>
      <c r="C37" s="38" t="s">
        <v>48</v>
      </c>
      <c r="D37" s="73">
        <f t="shared" si="7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</row>
    <row r="38" spans="1:38">
      <c r="A38" s="314"/>
      <c r="B38" s="39" t="s">
        <v>59</v>
      </c>
      <c r="C38" s="40" t="s">
        <v>48</v>
      </c>
      <c r="D38" s="73">
        <f t="shared" si="7"/>
        <v>12656</v>
      </c>
      <c r="E38" s="55">
        <v>0</v>
      </c>
      <c r="F38" s="55">
        <v>44</v>
      </c>
      <c r="G38" s="55">
        <v>1706</v>
      </c>
      <c r="H38" s="55">
        <v>389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245</v>
      </c>
      <c r="W38" s="55">
        <v>3550</v>
      </c>
      <c r="X38" s="55">
        <v>382</v>
      </c>
      <c r="Y38" s="55">
        <v>50</v>
      </c>
      <c r="Z38" s="55">
        <v>0</v>
      </c>
      <c r="AA38" s="55">
        <v>0</v>
      </c>
      <c r="AB38" s="55">
        <v>0</v>
      </c>
      <c r="AC38" s="55">
        <v>0</v>
      </c>
      <c r="AD38" s="55">
        <v>252</v>
      </c>
      <c r="AE38" s="55">
        <v>692</v>
      </c>
      <c r="AF38" s="55">
        <v>553</v>
      </c>
      <c r="AG38" s="55">
        <v>2621</v>
      </c>
      <c r="AH38" s="55">
        <v>2172</v>
      </c>
      <c r="AI38" s="55">
        <v>0</v>
      </c>
      <c r="AJ38" s="55">
        <v>0</v>
      </c>
      <c r="AK38" s="55">
        <v>0</v>
      </c>
      <c r="AL38" s="55">
        <v>0</v>
      </c>
    </row>
    <row r="39" spans="1:38">
      <c r="A39" s="164"/>
      <c r="B39" s="94" t="s">
        <v>149</v>
      </c>
      <c r="C39" s="166"/>
      <c r="D39" s="192">
        <f t="shared" ref="D39:AB39" si="8">D37/D26</f>
        <v>0</v>
      </c>
      <c r="E39" s="262" t="e">
        <f t="shared" si="8"/>
        <v>#DIV/0!</v>
      </c>
      <c r="F39" s="170">
        <f t="shared" si="8"/>
        <v>0</v>
      </c>
      <c r="G39" s="170">
        <f t="shared" si="8"/>
        <v>0</v>
      </c>
      <c r="H39" s="170">
        <f t="shared" si="8"/>
        <v>0</v>
      </c>
      <c r="I39" s="170">
        <f t="shared" si="8"/>
        <v>0</v>
      </c>
      <c r="J39" s="170">
        <f t="shared" si="8"/>
        <v>0</v>
      </c>
      <c r="K39" s="170">
        <f t="shared" si="8"/>
        <v>0</v>
      </c>
      <c r="L39" s="170">
        <f t="shared" si="8"/>
        <v>0</v>
      </c>
      <c r="M39" s="170">
        <f t="shared" si="8"/>
        <v>0</v>
      </c>
      <c r="N39" s="170">
        <f t="shared" si="8"/>
        <v>0</v>
      </c>
      <c r="O39" s="170">
        <f t="shared" si="8"/>
        <v>0</v>
      </c>
      <c r="P39" s="170">
        <f t="shared" si="8"/>
        <v>0</v>
      </c>
      <c r="Q39" s="170">
        <f t="shared" si="8"/>
        <v>0</v>
      </c>
      <c r="R39" s="170">
        <f t="shared" si="8"/>
        <v>0</v>
      </c>
      <c r="S39" s="170">
        <f t="shared" si="8"/>
        <v>0</v>
      </c>
      <c r="T39" s="170">
        <f t="shared" si="8"/>
        <v>0</v>
      </c>
      <c r="U39" s="170">
        <f t="shared" si="8"/>
        <v>0</v>
      </c>
      <c r="V39" s="170">
        <f t="shared" si="8"/>
        <v>0</v>
      </c>
      <c r="W39" s="170">
        <f t="shared" si="8"/>
        <v>0</v>
      </c>
      <c r="X39" s="170">
        <f t="shared" si="8"/>
        <v>0</v>
      </c>
      <c r="Y39" s="170">
        <f t="shared" si="8"/>
        <v>0</v>
      </c>
      <c r="Z39" s="170">
        <f t="shared" si="8"/>
        <v>0</v>
      </c>
      <c r="AA39" s="170">
        <f t="shared" si="8"/>
        <v>0</v>
      </c>
      <c r="AB39" s="170">
        <f t="shared" si="8"/>
        <v>0</v>
      </c>
      <c r="AC39" s="170">
        <f t="shared" ref="AC39:AL39" si="9">AC37/AC26</f>
        <v>0</v>
      </c>
      <c r="AD39" s="170">
        <f t="shared" si="9"/>
        <v>0</v>
      </c>
      <c r="AE39" s="170">
        <f t="shared" si="9"/>
        <v>0</v>
      </c>
      <c r="AF39" s="170">
        <f t="shared" si="9"/>
        <v>0</v>
      </c>
      <c r="AG39" s="170">
        <f t="shared" si="9"/>
        <v>0</v>
      </c>
      <c r="AH39" s="170">
        <f t="shared" si="9"/>
        <v>0</v>
      </c>
      <c r="AI39" s="170" t="e">
        <f t="shared" si="9"/>
        <v>#DIV/0!</v>
      </c>
      <c r="AJ39" s="170" t="e">
        <f t="shared" si="9"/>
        <v>#DIV/0!</v>
      </c>
      <c r="AK39" s="170" t="e">
        <f t="shared" si="9"/>
        <v>#DIV/0!</v>
      </c>
      <c r="AL39" s="170" t="e">
        <f t="shared" si="9"/>
        <v>#DIV/0!</v>
      </c>
    </row>
    <row r="40" spans="1:38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</row>
    <row r="41" spans="1:38">
      <c r="A41" s="324" t="s">
        <v>60</v>
      </c>
      <c r="B41" s="50" t="s">
        <v>61</v>
      </c>
      <c r="C41" s="91" t="s">
        <v>62</v>
      </c>
      <c r="D41" s="81">
        <f>SUM(E41:AJ41)</f>
        <v>338000</v>
      </c>
      <c r="E41" s="86">
        <v>1000</v>
      </c>
      <c r="F41" s="86">
        <v>8000</v>
      </c>
      <c r="G41" s="86">
        <v>14000</v>
      </c>
      <c r="H41" s="86">
        <v>14000</v>
      </c>
      <c r="I41" s="86">
        <v>11000</v>
      </c>
      <c r="J41" s="86">
        <v>10000</v>
      </c>
      <c r="K41" s="86">
        <v>10000</v>
      </c>
      <c r="L41" s="86">
        <v>9000</v>
      </c>
      <c r="M41" s="86">
        <v>10000</v>
      </c>
      <c r="N41" s="86">
        <v>10000</v>
      </c>
      <c r="O41" s="86">
        <v>10000</v>
      </c>
      <c r="P41" s="86">
        <v>11000</v>
      </c>
      <c r="Q41" s="86">
        <v>9000</v>
      </c>
      <c r="R41" s="86">
        <v>10000</v>
      </c>
      <c r="S41" s="86">
        <v>10000</v>
      </c>
      <c r="T41" s="86">
        <v>10000</v>
      </c>
      <c r="U41" s="86">
        <v>10000</v>
      </c>
      <c r="V41" s="86">
        <v>17000</v>
      </c>
      <c r="W41" s="86">
        <v>15000</v>
      </c>
      <c r="X41" s="86">
        <v>14000</v>
      </c>
      <c r="Y41" s="86">
        <v>14000</v>
      </c>
      <c r="Z41" s="86">
        <v>9000</v>
      </c>
      <c r="AA41" s="86">
        <v>9000</v>
      </c>
      <c r="AB41" s="86">
        <v>9000</v>
      </c>
      <c r="AC41" s="86">
        <v>9000</v>
      </c>
      <c r="AD41" s="86">
        <v>12000</v>
      </c>
      <c r="AE41" s="86">
        <v>13000</v>
      </c>
      <c r="AF41" s="86">
        <v>13000</v>
      </c>
      <c r="AG41" s="86">
        <v>13000</v>
      </c>
      <c r="AH41" s="86">
        <v>13000</v>
      </c>
      <c r="AI41" s="86">
        <v>6000</v>
      </c>
      <c r="AJ41" s="86">
        <v>5000</v>
      </c>
      <c r="AK41" s="86">
        <v>4</v>
      </c>
      <c r="AL41" s="86">
        <v>3</v>
      </c>
    </row>
    <row r="42" spans="1:38">
      <c r="A42" s="325"/>
      <c r="B42" s="39" t="s">
        <v>63</v>
      </c>
      <c r="C42" s="92" t="s">
        <v>62</v>
      </c>
      <c r="D42" s="82">
        <f>SUM(E42:AJ42)</f>
        <v>300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100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100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100</v>
      </c>
      <c r="AI42" s="87">
        <v>0</v>
      </c>
      <c r="AJ42" s="87">
        <v>0</v>
      </c>
      <c r="AK42" s="87">
        <v>0</v>
      </c>
      <c r="AL42" s="87">
        <v>200</v>
      </c>
    </row>
    <row r="44" spans="1:38">
      <c r="B44" s="167" t="s">
        <v>240</v>
      </c>
      <c r="C44" s="184" t="s">
        <v>241</v>
      </c>
      <c r="D44" s="187">
        <f>D41/D26</f>
        <v>0.50980161477399044</v>
      </c>
      <c r="E44" s="185" t="e">
        <f t="shared" ref="E44:AB44" si="10">E41/E26</f>
        <v>#DIV/0!</v>
      </c>
      <c r="F44" s="188">
        <f t="shared" si="10"/>
        <v>7.0484581497797354</v>
      </c>
      <c r="G44" s="186">
        <f t="shared" si="10"/>
        <v>0.6142236651603562</v>
      </c>
      <c r="H44" s="188">
        <f t="shared" si="10"/>
        <v>0.68704912401236684</v>
      </c>
      <c r="I44" s="186">
        <f t="shared" si="10"/>
        <v>0.43179587831207067</v>
      </c>
      <c r="J44" s="188">
        <f t="shared" si="10"/>
        <v>0.23336678257216867</v>
      </c>
      <c r="K44" s="186">
        <f t="shared" si="10"/>
        <v>0.53676865271068175</v>
      </c>
      <c r="L44" s="188">
        <f t="shared" si="10"/>
        <v>0.41233334860493881</v>
      </c>
      <c r="M44" s="186">
        <f t="shared" si="10"/>
        <v>0.36567082312502286</v>
      </c>
      <c r="N44" s="188">
        <f t="shared" si="10"/>
        <v>0.43652872359001221</v>
      </c>
      <c r="O44" s="186">
        <f t="shared" si="10"/>
        <v>0.43740705100166216</v>
      </c>
      <c r="P44" s="188">
        <f t="shared" si="10"/>
        <v>1.2891128559709364</v>
      </c>
      <c r="Q44" s="186">
        <f t="shared" si="10"/>
        <v>0.24876309461289697</v>
      </c>
      <c r="R44" s="188">
        <f t="shared" si="10"/>
        <v>0.58431693350473302</v>
      </c>
      <c r="S44" s="186">
        <f t="shared" si="10"/>
        <v>0.44271294492650964</v>
      </c>
      <c r="T44" s="188">
        <f t="shared" si="10"/>
        <v>0.4761224586963767</v>
      </c>
      <c r="U44" s="186">
        <f t="shared" si="10"/>
        <v>0.59056280635445579</v>
      </c>
      <c r="V44" s="188">
        <f t="shared" si="10"/>
        <v>1.2587930396149574</v>
      </c>
      <c r="W44" s="186">
        <f t="shared" si="10"/>
        <v>0.8566533409480297</v>
      </c>
      <c r="X44" s="188">
        <f t="shared" si="10"/>
        <v>0.60771801883925858</v>
      </c>
      <c r="Y44" s="186">
        <f t="shared" si="10"/>
        <v>5.4666146036704415</v>
      </c>
      <c r="Z44" s="188">
        <f t="shared" si="10"/>
        <v>1.1148272017837235</v>
      </c>
      <c r="AA44" s="186">
        <f t="shared" si="10"/>
        <v>0.54864667154352598</v>
      </c>
      <c r="AB44" s="188">
        <f t="shared" si="10"/>
        <v>0.46972860125260962</v>
      </c>
      <c r="AC44" s="188">
        <f t="shared" ref="AC44:AL44" si="11">AC41/AC26</f>
        <v>0.59378504981196811</v>
      </c>
      <c r="AD44" s="188">
        <f t="shared" si="11"/>
        <v>0.53554692729950459</v>
      </c>
      <c r="AE44" s="188">
        <f t="shared" si="11"/>
        <v>0.39206224742143675</v>
      </c>
      <c r="AF44" s="188">
        <f t="shared" si="11"/>
        <v>0.40788152610441769</v>
      </c>
      <c r="AG44" s="188">
        <f t="shared" si="11"/>
        <v>0.21010780146428976</v>
      </c>
      <c r="AH44" s="188">
        <f t="shared" si="11"/>
        <v>0.26140636625042729</v>
      </c>
      <c r="AI44" s="188" t="e">
        <f t="shared" si="11"/>
        <v>#DIV/0!</v>
      </c>
      <c r="AJ44" s="188" t="e">
        <f t="shared" si="11"/>
        <v>#DIV/0!</v>
      </c>
      <c r="AK44" s="188" t="e">
        <f t="shared" si="11"/>
        <v>#DIV/0!</v>
      </c>
      <c r="AL44" s="188" t="e">
        <f t="shared" si="11"/>
        <v>#DIV/0!</v>
      </c>
    </row>
    <row r="46" spans="1:38">
      <c r="A46" s="312" t="s">
        <v>64</v>
      </c>
      <c r="B46" s="93" t="s">
        <v>65</v>
      </c>
      <c r="C46" s="47" t="s">
        <v>8</v>
      </c>
      <c r="D46" s="181">
        <f t="shared" ref="D46:D51" si="12">SUM(E46:AL46)</f>
        <v>86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8</v>
      </c>
      <c r="T46" s="88">
        <v>8</v>
      </c>
      <c r="U46" s="88">
        <v>8</v>
      </c>
      <c r="V46" s="88">
        <v>8</v>
      </c>
      <c r="W46" s="88">
        <v>8</v>
      </c>
      <c r="X46" s="88">
        <v>10</v>
      </c>
      <c r="Y46" s="88">
        <v>12</v>
      </c>
      <c r="Z46" s="88">
        <v>14</v>
      </c>
      <c r="AA46" s="88">
        <v>10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</row>
    <row r="47" spans="1:38">
      <c r="A47" s="313"/>
      <c r="B47" s="94" t="s">
        <v>66</v>
      </c>
      <c r="C47" s="38" t="s">
        <v>8</v>
      </c>
      <c r="D47" s="182">
        <f t="shared" si="12"/>
        <v>86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8</v>
      </c>
      <c r="T47" s="89">
        <v>8</v>
      </c>
      <c r="U47" s="89">
        <v>8</v>
      </c>
      <c r="V47" s="89">
        <v>8</v>
      </c>
      <c r="W47" s="89">
        <v>8</v>
      </c>
      <c r="X47" s="89">
        <v>10</v>
      </c>
      <c r="Y47" s="89">
        <v>12</v>
      </c>
      <c r="Z47" s="89">
        <v>14</v>
      </c>
      <c r="AA47" s="89">
        <v>10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</row>
    <row r="48" spans="1:38">
      <c r="A48" s="313"/>
      <c r="B48" s="94" t="s">
        <v>67</v>
      </c>
      <c r="C48" s="38" t="s">
        <v>8</v>
      </c>
      <c r="D48" s="182">
        <f t="shared" si="12"/>
        <v>24</v>
      </c>
      <c r="E48" s="89">
        <v>0</v>
      </c>
      <c r="F48" s="89">
        <v>0</v>
      </c>
      <c r="G48" s="89">
        <v>0</v>
      </c>
      <c r="H48" s="89">
        <v>4</v>
      </c>
      <c r="I48" s="89">
        <v>0</v>
      </c>
      <c r="J48" s="89" t="s">
        <v>415</v>
      </c>
      <c r="K48" s="89">
        <v>0</v>
      </c>
      <c r="L48" s="89">
        <v>0</v>
      </c>
      <c r="M48" s="89">
        <v>0</v>
      </c>
      <c r="N48" s="89">
        <v>4</v>
      </c>
      <c r="O48" s="89">
        <v>4</v>
      </c>
      <c r="P48" s="89">
        <v>4</v>
      </c>
      <c r="Q48" s="89">
        <v>6</v>
      </c>
      <c r="R48" s="89">
        <v>2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</row>
    <row r="49" spans="1:38">
      <c r="A49" s="313"/>
      <c r="B49" s="95" t="s">
        <v>68</v>
      </c>
      <c r="C49" s="40" t="s">
        <v>8</v>
      </c>
      <c r="D49" s="182">
        <f t="shared" si="12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</row>
    <row r="50" spans="1:38">
      <c r="A50" s="313"/>
      <c r="B50" s="93" t="s">
        <v>69</v>
      </c>
      <c r="C50" s="91" t="s">
        <v>48</v>
      </c>
      <c r="D50" s="195">
        <f t="shared" si="12"/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6">
        <v>0</v>
      </c>
      <c r="AK50" s="86">
        <v>0</v>
      </c>
      <c r="AL50" s="86">
        <v>0</v>
      </c>
    </row>
    <row r="51" spans="1:38">
      <c r="A51" s="314"/>
      <c r="B51" s="95" t="s">
        <v>70</v>
      </c>
      <c r="C51" s="92" t="s">
        <v>48</v>
      </c>
      <c r="D51" s="199">
        <f t="shared" si="12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</row>
    <row r="52" spans="1:38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416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416</v>
      </c>
      <c r="O53" s="7" t="s">
        <v>416</v>
      </c>
      <c r="P53" s="7" t="s">
        <v>416</v>
      </c>
      <c r="Q53" s="7" t="s">
        <v>416</v>
      </c>
      <c r="R53" s="7" t="s">
        <v>416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</row>
    <row r="54" spans="1:38">
      <c r="A54" s="316"/>
      <c r="B54" s="37" t="s">
        <v>74</v>
      </c>
      <c r="C54" s="51" t="s">
        <v>75</v>
      </c>
      <c r="D54" s="8" t="s">
        <v>75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spans="1:38">
      <c r="A55" s="316"/>
      <c r="B55" s="37" t="s">
        <v>7</v>
      </c>
      <c r="C55" s="51" t="s">
        <v>75</v>
      </c>
      <c r="D55" s="8" t="s">
        <v>75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 t="s">
        <v>417</v>
      </c>
      <c r="X55" s="8"/>
      <c r="Y55" s="8" t="s">
        <v>418</v>
      </c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spans="1:38">
      <c r="A56" s="316"/>
      <c r="B56" s="37" t="s">
        <v>76</v>
      </c>
      <c r="C56" s="51" t="s">
        <v>75</v>
      </c>
      <c r="D56" s="8" t="s">
        <v>75</v>
      </c>
      <c r="E56" s="8"/>
      <c r="F56" s="8"/>
      <c r="G56" s="8"/>
      <c r="H56" s="8" t="s">
        <v>419</v>
      </c>
      <c r="I56" s="8"/>
      <c r="J56" s="8"/>
      <c r="K56" s="8"/>
      <c r="L56" s="8"/>
      <c r="M56" s="8"/>
      <c r="N56" s="8" t="s">
        <v>420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>
      <c r="A57" s="317"/>
      <c r="B57" s="39" t="s">
        <v>82</v>
      </c>
      <c r="C57" s="52" t="s">
        <v>75</v>
      </c>
      <c r="D57" s="9" t="s">
        <v>75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9" spans="1:38" ht="15.75">
      <c r="B59" s="53" t="s">
        <v>83</v>
      </c>
      <c r="C59" s="99" t="s">
        <v>84</v>
      </c>
      <c r="D59" s="100">
        <f>SUM(D60:D72)</f>
        <v>16788794.800000001</v>
      </c>
      <c r="E59" s="101">
        <f>SUM(E60:E72)</f>
        <v>0</v>
      </c>
      <c r="F59" s="101">
        <f t="shared" ref="F59:AB59" si="13">SUM(F60:F72)</f>
        <v>29031</v>
      </c>
      <c r="G59" s="101">
        <f>SUM(G60:G72)</f>
        <v>507695</v>
      </c>
      <c r="H59" s="101">
        <f>SUM(H60:H72)</f>
        <v>498253.8</v>
      </c>
      <c r="I59" s="101">
        <f t="shared" ref="I59:Y59" si="14">SUM(I60:I72)</f>
        <v>560075</v>
      </c>
      <c r="J59" s="101">
        <f t="shared" si="14"/>
        <v>918575</v>
      </c>
      <c r="K59" s="101">
        <f t="shared" si="14"/>
        <v>465750</v>
      </c>
      <c r="L59" s="101">
        <f t="shared" si="14"/>
        <v>545675</v>
      </c>
      <c r="M59" s="101">
        <f t="shared" si="14"/>
        <v>683675</v>
      </c>
      <c r="N59" s="101">
        <f t="shared" si="14"/>
        <v>572700</v>
      </c>
      <c r="O59" s="101">
        <f t="shared" si="14"/>
        <v>571550</v>
      </c>
      <c r="P59" s="101">
        <f t="shared" si="14"/>
        <v>213325</v>
      </c>
      <c r="Q59" s="101">
        <f t="shared" si="14"/>
        <v>904475</v>
      </c>
      <c r="R59" s="101">
        <f t="shared" si="14"/>
        <v>427562</v>
      </c>
      <c r="S59" s="101">
        <f t="shared" si="14"/>
        <v>564412</v>
      </c>
      <c r="T59" s="101">
        <f t="shared" si="14"/>
        <v>524499</v>
      </c>
      <c r="U59" s="101">
        <f t="shared" si="14"/>
        <v>422605</v>
      </c>
      <c r="V59" s="101">
        <f t="shared" si="14"/>
        <v>486990.6</v>
      </c>
      <c r="W59" s="101">
        <f t="shared" si="14"/>
        <v>590218.80000000005</v>
      </c>
      <c r="X59" s="101">
        <f t="shared" si="14"/>
        <v>920566.8</v>
      </c>
      <c r="Y59" s="101">
        <f t="shared" si="14"/>
        <v>95809.8</v>
      </c>
      <c r="Z59" s="101">
        <f t="shared" si="13"/>
        <v>201825</v>
      </c>
      <c r="AA59" s="101">
        <f t="shared" si="13"/>
        <v>409380</v>
      </c>
      <c r="AB59" s="101">
        <f t="shared" si="13"/>
        <v>478856</v>
      </c>
      <c r="AC59" s="101">
        <f t="shared" ref="AC59:AL59" si="15">SUM(AC60:AC72)</f>
        <v>378925</v>
      </c>
      <c r="AD59" s="101">
        <f t="shared" si="15"/>
        <v>568851</v>
      </c>
      <c r="AE59" s="101">
        <f t="shared" si="15"/>
        <v>851210</v>
      </c>
      <c r="AF59" s="101">
        <f t="shared" si="15"/>
        <v>911104.2</v>
      </c>
      <c r="AG59" s="101">
        <f t="shared" si="15"/>
        <v>1448972.8</v>
      </c>
      <c r="AH59" s="101">
        <f t="shared" si="15"/>
        <v>1167827</v>
      </c>
      <c r="AI59" s="101">
        <f t="shared" si="15"/>
        <v>0</v>
      </c>
      <c r="AJ59" s="101">
        <f t="shared" si="15"/>
        <v>0</v>
      </c>
      <c r="AK59" s="101">
        <f t="shared" si="15"/>
        <v>0</v>
      </c>
      <c r="AL59" s="101">
        <f t="shared" si="15"/>
        <v>0</v>
      </c>
    </row>
    <row r="60" spans="1:38">
      <c r="B60" s="96" t="s">
        <v>47</v>
      </c>
      <c r="C60" s="111">
        <v>49</v>
      </c>
      <c r="D60" s="97">
        <f>D27*$C60</f>
        <v>3700921</v>
      </c>
      <c r="E60" s="104">
        <f t="shared" ref="E60:AB70" si="16">E27*$C60</f>
        <v>0</v>
      </c>
      <c r="F60" s="104">
        <f t="shared" si="16"/>
        <v>15631</v>
      </c>
      <c r="G60" s="104">
        <f t="shared" si="16"/>
        <v>152537</v>
      </c>
      <c r="H60" s="104">
        <f t="shared" si="16"/>
        <v>130144</v>
      </c>
      <c r="I60" s="104">
        <f t="shared" si="16"/>
        <v>0</v>
      </c>
      <c r="J60" s="104">
        <f t="shared" si="16"/>
        <v>0</v>
      </c>
      <c r="K60" s="104">
        <f t="shared" si="16"/>
        <v>0</v>
      </c>
      <c r="L60" s="104">
        <f t="shared" si="16"/>
        <v>0</v>
      </c>
      <c r="M60" s="104">
        <f t="shared" si="16"/>
        <v>0</v>
      </c>
      <c r="N60" s="104">
        <f t="shared" si="16"/>
        <v>0</v>
      </c>
      <c r="O60" s="104">
        <f t="shared" si="16"/>
        <v>0</v>
      </c>
      <c r="P60" s="104">
        <f t="shared" si="16"/>
        <v>0</v>
      </c>
      <c r="Q60" s="104">
        <f t="shared" si="16"/>
        <v>0</v>
      </c>
      <c r="R60" s="104">
        <f t="shared" si="16"/>
        <v>0</v>
      </c>
      <c r="S60" s="104">
        <f t="shared" si="16"/>
        <v>0</v>
      </c>
      <c r="T60" s="104">
        <f t="shared" si="16"/>
        <v>0</v>
      </c>
      <c r="U60" s="104">
        <f t="shared" si="16"/>
        <v>0</v>
      </c>
      <c r="V60" s="104">
        <f t="shared" si="16"/>
        <v>361081</v>
      </c>
      <c r="W60" s="104">
        <f t="shared" si="16"/>
        <v>454377</v>
      </c>
      <c r="X60" s="104">
        <f t="shared" si="16"/>
        <v>607600</v>
      </c>
      <c r="Y60" s="104">
        <f t="shared" si="16"/>
        <v>69384</v>
      </c>
      <c r="Z60" s="104">
        <f t="shared" si="16"/>
        <v>0</v>
      </c>
      <c r="AA60" s="104">
        <f t="shared" si="16"/>
        <v>0</v>
      </c>
      <c r="AB60" s="104">
        <f t="shared" si="16"/>
        <v>0</v>
      </c>
      <c r="AC60" s="104">
        <f t="shared" ref="AC60:AL69" si="17">AC27*$C60</f>
        <v>0</v>
      </c>
      <c r="AD60" s="104">
        <f t="shared" si="17"/>
        <v>274302</v>
      </c>
      <c r="AE60" s="104">
        <f t="shared" si="17"/>
        <v>319137</v>
      </c>
      <c r="AF60" s="104">
        <f t="shared" si="17"/>
        <v>501564</v>
      </c>
      <c r="AG60" s="104">
        <f t="shared" si="17"/>
        <v>441539</v>
      </c>
      <c r="AH60" s="104">
        <f t="shared" si="17"/>
        <v>373625</v>
      </c>
      <c r="AI60" s="104">
        <f t="shared" si="17"/>
        <v>0</v>
      </c>
      <c r="AJ60" s="104">
        <f t="shared" si="17"/>
        <v>0</v>
      </c>
      <c r="AK60" s="104">
        <f t="shared" si="17"/>
        <v>0</v>
      </c>
      <c r="AL60" s="104">
        <f t="shared" si="17"/>
        <v>0</v>
      </c>
    </row>
    <row r="61" spans="1:38">
      <c r="B61" s="96" t="s">
        <v>49</v>
      </c>
      <c r="C61" s="111">
        <v>19</v>
      </c>
      <c r="D61" s="97">
        <f>D28*$C61</f>
        <v>587784</v>
      </c>
      <c r="E61" s="104">
        <f t="shared" si="16"/>
        <v>0</v>
      </c>
      <c r="F61" s="104">
        <f t="shared" si="16"/>
        <v>0</v>
      </c>
      <c r="G61" s="104">
        <f t="shared" si="16"/>
        <v>20976</v>
      </c>
      <c r="H61" s="104">
        <f t="shared" si="16"/>
        <v>12768</v>
      </c>
      <c r="I61" s="104">
        <f t="shared" si="16"/>
        <v>0</v>
      </c>
      <c r="J61" s="104">
        <f t="shared" si="16"/>
        <v>0</v>
      </c>
      <c r="K61" s="104">
        <f t="shared" si="16"/>
        <v>0</v>
      </c>
      <c r="L61" s="104">
        <f t="shared" si="16"/>
        <v>0</v>
      </c>
      <c r="M61" s="104">
        <f t="shared" si="16"/>
        <v>0</v>
      </c>
      <c r="N61" s="104">
        <f t="shared" si="16"/>
        <v>0</v>
      </c>
      <c r="O61" s="104">
        <f t="shared" si="16"/>
        <v>0</v>
      </c>
      <c r="P61" s="104">
        <f t="shared" si="16"/>
        <v>0</v>
      </c>
      <c r="Q61" s="104">
        <f t="shared" si="16"/>
        <v>0</v>
      </c>
      <c r="R61" s="104">
        <f t="shared" si="16"/>
        <v>912</v>
      </c>
      <c r="S61" s="104">
        <f t="shared" si="16"/>
        <v>912</v>
      </c>
      <c r="T61" s="104">
        <f t="shared" si="16"/>
        <v>1824</v>
      </c>
      <c r="U61" s="104">
        <f t="shared" si="16"/>
        <v>2280</v>
      </c>
      <c r="V61" s="104">
        <f t="shared" si="16"/>
        <v>102144</v>
      </c>
      <c r="W61" s="104">
        <f t="shared" si="16"/>
        <v>77064</v>
      </c>
      <c r="X61" s="104">
        <f t="shared" si="16"/>
        <v>94848</v>
      </c>
      <c r="Y61" s="104">
        <f t="shared" si="16"/>
        <v>17328</v>
      </c>
      <c r="Z61" s="104">
        <f t="shared" si="16"/>
        <v>0</v>
      </c>
      <c r="AA61" s="104">
        <f t="shared" si="16"/>
        <v>2280</v>
      </c>
      <c r="AB61" s="104">
        <f t="shared" si="16"/>
        <v>456</v>
      </c>
      <c r="AC61" s="104">
        <f t="shared" si="17"/>
        <v>0</v>
      </c>
      <c r="AD61" s="104">
        <f t="shared" si="17"/>
        <v>38760</v>
      </c>
      <c r="AE61" s="104">
        <f t="shared" si="17"/>
        <v>56544</v>
      </c>
      <c r="AF61" s="104">
        <f t="shared" si="17"/>
        <v>67944</v>
      </c>
      <c r="AG61" s="104">
        <f t="shared" si="17"/>
        <v>43320</v>
      </c>
      <c r="AH61" s="104">
        <f t="shared" si="17"/>
        <v>47424</v>
      </c>
      <c r="AI61" s="104">
        <f t="shared" si="17"/>
        <v>0</v>
      </c>
      <c r="AJ61" s="104">
        <f t="shared" si="17"/>
        <v>0</v>
      </c>
      <c r="AK61" s="104">
        <f t="shared" si="17"/>
        <v>0</v>
      </c>
      <c r="AL61" s="104">
        <f t="shared" si="17"/>
        <v>0</v>
      </c>
    </row>
    <row r="62" spans="1:38">
      <c r="B62" s="96" t="s">
        <v>50</v>
      </c>
      <c r="C62" s="111">
        <v>19</v>
      </c>
      <c r="D62" s="97">
        <f>D29*$C62</f>
        <v>2982145</v>
      </c>
      <c r="E62" s="104">
        <f t="shared" si="16"/>
        <v>0</v>
      </c>
      <c r="F62" s="104">
        <f t="shared" si="16"/>
        <v>11248</v>
      </c>
      <c r="G62" s="104">
        <f t="shared" si="16"/>
        <v>300694</v>
      </c>
      <c r="H62" s="104">
        <f t="shared" si="16"/>
        <v>228608</v>
      </c>
      <c r="I62" s="104">
        <f t="shared" si="16"/>
        <v>0</v>
      </c>
      <c r="J62" s="104">
        <f t="shared" si="16"/>
        <v>0</v>
      </c>
      <c r="K62" s="104">
        <f t="shared" si="16"/>
        <v>0</v>
      </c>
      <c r="L62" s="104">
        <f t="shared" si="16"/>
        <v>0</v>
      </c>
      <c r="M62" s="104">
        <f t="shared" si="16"/>
        <v>0</v>
      </c>
      <c r="N62" s="104">
        <f t="shared" si="16"/>
        <v>0</v>
      </c>
      <c r="O62" s="104">
        <f t="shared" si="16"/>
        <v>0</v>
      </c>
      <c r="P62" s="104">
        <f t="shared" si="16"/>
        <v>0</v>
      </c>
      <c r="Q62" s="104">
        <f t="shared" si="16"/>
        <v>0</v>
      </c>
      <c r="R62" s="104">
        <f t="shared" si="16"/>
        <v>0</v>
      </c>
      <c r="S62" s="104">
        <f t="shared" si="16"/>
        <v>0</v>
      </c>
      <c r="T62" s="104">
        <f t="shared" si="16"/>
        <v>0</v>
      </c>
      <c r="U62" s="104">
        <f t="shared" si="16"/>
        <v>0</v>
      </c>
      <c r="V62" s="104">
        <f t="shared" si="16"/>
        <v>0</v>
      </c>
      <c r="W62" s="104">
        <f t="shared" si="16"/>
        <v>0</v>
      </c>
      <c r="X62" s="104">
        <f t="shared" si="16"/>
        <v>2565</v>
      </c>
      <c r="Y62" s="104">
        <f t="shared" si="16"/>
        <v>0</v>
      </c>
      <c r="Z62" s="104">
        <f t="shared" si="16"/>
        <v>0</v>
      </c>
      <c r="AA62" s="104">
        <f t="shared" si="16"/>
        <v>0</v>
      </c>
      <c r="AB62" s="104">
        <f t="shared" si="16"/>
        <v>0</v>
      </c>
      <c r="AC62" s="104">
        <f t="shared" si="17"/>
        <v>0</v>
      </c>
      <c r="AD62" s="104">
        <f t="shared" si="17"/>
        <v>229273</v>
      </c>
      <c r="AE62" s="104">
        <f t="shared" si="17"/>
        <v>334115</v>
      </c>
      <c r="AF62" s="104">
        <f t="shared" si="17"/>
        <v>273581</v>
      </c>
      <c r="AG62" s="104">
        <f t="shared" si="17"/>
        <v>892259</v>
      </c>
      <c r="AH62" s="104">
        <f t="shared" si="17"/>
        <v>709802</v>
      </c>
      <c r="AI62" s="104">
        <f t="shared" si="17"/>
        <v>0</v>
      </c>
      <c r="AJ62" s="104">
        <f t="shared" si="17"/>
        <v>0</v>
      </c>
      <c r="AK62" s="104">
        <f t="shared" si="17"/>
        <v>0</v>
      </c>
      <c r="AL62" s="104">
        <f t="shared" si="17"/>
        <v>0</v>
      </c>
    </row>
    <row r="63" spans="1:38">
      <c r="B63" s="96" t="s">
        <v>51</v>
      </c>
      <c r="C63" s="111">
        <v>15</v>
      </c>
      <c r="D63" s="97">
        <f t="shared" ref="D63" si="18">D30*$C63</f>
        <v>0</v>
      </c>
      <c r="E63" s="104">
        <f t="shared" si="16"/>
        <v>0</v>
      </c>
      <c r="F63" s="104">
        <f t="shared" si="16"/>
        <v>0</v>
      </c>
      <c r="G63" s="104">
        <f t="shared" si="16"/>
        <v>0</v>
      </c>
      <c r="H63" s="104">
        <f t="shared" si="16"/>
        <v>0</v>
      </c>
      <c r="I63" s="104">
        <f t="shared" si="16"/>
        <v>0</v>
      </c>
      <c r="J63" s="104">
        <f t="shared" si="16"/>
        <v>0</v>
      </c>
      <c r="K63" s="104">
        <f t="shared" si="16"/>
        <v>0</v>
      </c>
      <c r="L63" s="104">
        <f t="shared" si="16"/>
        <v>0</v>
      </c>
      <c r="M63" s="104">
        <f t="shared" si="16"/>
        <v>0</v>
      </c>
      <c r="N63" s="104">
        <f t="shared" si="16"/>
        <v>0</v>
      </c>
      <c r="O63" s="104">
        <f t="shared" si="16"/>
        <v>0</v>
      </c>
      <c r="P63" s="104">
        <f t="shared" si="16"/>
        <v>0</v>
      </c>
      <c r="Q63" s="104">
        <f t="shared" si="16"/>
        <v>0</v>
      </c>
      <c r="R63" s="104">
        <f t="shared" si="16"/>
        <v>0</v>
      </c>
      <c r="S63" s="104">
        <f t="shared" si="16"/>
        <v>0</v>
      </c>
      <c r="T63" s="104">
        <f t="shared" si="16"/>
        <v>0</v>
      </c>
      <c r="U63" s="104">
        <f t="shared" si="16"/>
        <v>0</v>
      </c>
      <c r="V63" s="104">
        <f t="shared" si="16"/>
        <v>0</v>
      </c>
      <c r="W63" s="104">
        <f t="shared" si="16"/>
        <v>0</v>
      </c>
      <c r="X63" s="104">
        <f t="shared" si="16"/>
        <v>0</v>
      </c>
      <c r="Y63" s="104">
        <f t="shared" si="16"/>
        <v>0</v>
      </c>
      <c r="Z63" s="104">
        <f t="shared" si="16"/>
        <v>0</v>
      </c>
      <c r="AA63" s="104">
        <f t="shared" si="16"/>
        <v>0</v>
      </c>
      <c r="AB63" s="104">
        <f t="shared" si="16"/>
        <v>0</v>
      </c>
      <c r="AC63" s="104">
        <f t="shared" si="17"/>
        <v>0</v>
      </c>
      <c r="AD63" s="104">
        <f t="shared" si="17"/>
        <v>0</v>
      </c>
      <c r="AE63" s="104">
        <f t="shared" si="17"/>
        <v>0</v>
      </c>
      <c r="AF63" s="104">
        <f t="shared" si="17"/>
        <v>0</v>
      </c>
      <c r="AG63" s="104">
        <f t="shared" si="17"/>
        <v>0</v>
      </c>
      <c r="AH63" s="104">
        <f t="shared" si="17"/>
        <v>0</v>
      </c>
      <c r="AI63" s="104">
        <f t="shared" si="17"/>
        <v>0</v>
      </c>
      <c r="AJ63" s="104">
        <f t="shared" si="17"/>
        <v>0</v>
      </c>
      <c r="AK63" s="104">
        <f t="shared" si="17"/>
        <v>0</v>
      </c>
      <c r="AL63" s="104">
        <f t="shared" si="17"/>
        <v>0</v>
      </c>
    </row>
    <row r="64" spans="1:38">
      <c r="B64" s="96" t="s">
        <v>52</v>
      </c>
      <c r="C64" s="111">
        <v>10</v>
      </c>
      <c r="D64" s="97">
        <f>D31*$C64</f>
        <v>279850</v>
      </c>
      <c r="E64" s="104">
        <f t="shared" si="16"/>
        <v>0</v>
      </c>
      <c r="F64" s="104">
        <f t="shared" si="16"/>
        <v>1800</v>
      </c>
      <c r="G64" s="104">
        <f t="shared" si="16"/>
        <v>10440</v>
      </c>
      <c r="H64" s="104">
        <f t="shared" si="16"/>
        <v>5760</v>
      </c>
      <c r="I64" s="104">
        <f t="shared" si="16"/>
        <v>51200</v>
      </c>
      <c r="J64" s="104">
        <f t="shared" si="16"/>
        <v>101800</v>
      </c>
      <c r="K64" s="104">
        <f t="shared" si="16"/>
        <v>0</v>
      </c>
      <c r="L64" s="104">
        <f t="shared" si="16"/>
        <v>0</v>
      </c>
      <c r="M64" s="104">
        <f t="shared" si="16"/>
        <v>0</v>
      </c>
      <c r="N64" s="104">
        <f t="shared" si="16"/>
        <v>0</v>
      </c>
      <c r="O64" s="104">
        <f t="shared" si="16"/>
        <v>0</v>
      </c>
      <c r="P64" s="104">
        <f t="shared" si="16"/>
        <v>0</v>
      </c>
      <c r="Q64" s="104">
        <f t="shared" si="16"/>
        <v>0</v>
      </c>
      <c r="R64" s="104">
        <f t="shared" si="16"/>
        <v>0</v>
      </c>
      <c r="S64" s="104">
        <f t="shared" si="16"/>
        <v>0</v>
      </c>
      <c r="T64" s="104">
        <f t="shared" si="16"/>
        <v>0</v>
      </c>
      <c r="U64" s="104">
        <f t="shared" si="16"/>
        <v>0</v>
      </c>
      <c r="V64" s="104">
        <f t="shared" si="16"/>
        <v>3110</v>
      </c>
      <c r="W64" s="104">
        <f t="shared" si="16"/>
        <v>4880</v>
      </c>
      <c r="X64" s="104">
        <f t="shared" si="16"/>
        <v>7560</v>
      </c>
      <c r="Y64" s="104">
        <f t="shared" si="16"/>
        <v>0</v>
      </c>
      <c r="Z64" s="104">
        <f t="shared" si="16"/>
        <v>0</v>
      </c>
      <c r="AA64" s="104">
        <f t="shared" si="16"/>
        <v>0</v>
      </c>
      <c r="AB64" s="104">
        <f t="shared" si="16"/>
        <v>0</v>
      </c>
      <c r="AC64" s="104">
        <f t="shared" si="17"/>
        <v>0</v>
      </c>
      <c r="AD64" s="104">
        <f t="shared" si="17"/>
        <v>24500</v>
      </c>
      <c r="AE64" s="104">
        <f t="shared" si="17"/>
        <v>37000</v>
      </c>
      <c r="AF64" s="104">
        <f t="shared" si="17"/>
        <v>27200</v>
      </c>
      <c r="AG64" s="104">
        <f t="shared" si="17"/>
        <v>3800</v>
      </c>
      <c r="AH64" s="104">
        <f t="shared" si="17"/>
        <v>800</v>
      </c>
      <c r="AI64" s="104">
        <f t="shared" si="17"/>
        <v>0</v>
      </c>
      <c r="AJ64" s="104">
        <f t="shared" si="17"/>
        <v>0</v>
      </c>
      <c r="AK64" s="104">
        <f t="shared" si="17"/>
        <v>0</v>
      </c>
      <c r="AL64" s="104">
        <f t="shared" si="17"/>
        <v>0</v>
      </c>
    </row>
    <row r="65" spans="2:38">
      <c r="B65" s="96" t="s">
        <v>53</v>
      </c>
      <c r="C65" s="111">
        <v>25</v>
      </c>
      <c r="D65" s="97">
        <f t="shared" ref="D65:S71" si="19">D32*$C65</f>
        <v>8773625</v>
      </c>
      <c r="E65" s="104">
        <f t="shared" si="16"/>
        <v>0</v>
      </c>
      <c r="F65" s="104">
        <f t="shared" si="16"/>
        <v>0</v>
      </c>
      <c r="G65" s="104">
        <f t="shared" si="16"/>
        <v>0</v>
      </c>
      <c r="H65" s="104">
        <f t="shared" si="16"/>
        <v>91425</v>
      </c>
      <c r="I65" s="104">
        <f t="shared" si="16"/>
        <v>508875</v>
      </c>
      <c r="J65" s="104">
        <f t="shared" si="16"/>
        <v>816775</v>
      </c>
      <c r="K65" s="104">
        <f t="shared" si="16"/>
        <v>465750</v>
      </c>
      <c r="L65" s="104">
        <f t="shared" si="16"/>
        <v>545675</v>
      </c>
      <c r="M65" s="104">
        <f t="shared" si="16"/>
        <v>683675</v>
      </c>
      <c r="N65" s="104">
        <f t="shared" si="16"/>
        <v>572700</v>
      </c>
      <c r="O65" s="104">
        <f t="shared" si="16"/>
        <v>571550</v>
      </c>
      <c r="P65" s="104">
        <f t="shared" si="16"/>
        <v>213325</v>
      </c>
      <c r="Q65" s="104">
        <f t="shared" si="16"/>
        <v>904475</v>
      </c>
      <c r="R65" s="104">
        <f t="shared" si="16"/>
        <v>426650</v>
      </c>
      <c r="S65" s="104">
        <f t="shared" si="16"/>
        <v>563500</v>
      </c>
      <c r="T65" s="104">
        <f t="shared" si="16"/>
        <v>522675</v>
      </c>
      <c r="U65" s="104">
        <f t="shared" si="16"/>
        <v>420325</v>
      </c>
      <c r="V65" s="104">
        <f t="shared" si="16"/>
        <v>0</v>
      </c>
      <c r="W65" s="104">
        <f t="shared" si="16"/>
        <v>0</v>
      </c>
      <c r="X65" s="104">
        <f t="shared" si="16"/>
        <v>0</v>
      </c>
      <c r="Y65" s="104">
        <f t="shared" si="16"/>
        <v>0</v>
      </c>
      <c r="Z65" s="104">
        <f t="shared" si="16"/>
        <v>201825</v>
      </c>
      <c r="AA65" s="104">
        <f t="shared" si="16"/>
        <v>407100</v>
      </c>
      <c r="AB65" s="104">
        <f t="shared" si="16"/>
        <v>478400</v>
      </c>
      <c r="AC65" s="104">
        <f t="shared" si="17"/>
        <v>378925</v>
      </c>
      <c r="AD65" s="104">
        <f t="shared" si="17"/>
        <v>0</v>
      </c>
      <c r="AE65" s="104">
        <f t="shared" si="17"/>
        <v>0</v>
      </c>
      <c r="AF65" s="104">
        <f t="shared" si="17"/>
        <v>0</v>
      </c>
      <c r="AG65" s="104">
        <f t="shared" si="17"/>
        <v>0</v>
      </c>
      <c r="AH65" s="104">
        <f t="shared" si="17"/>
        <v>0</v>
      </c>
      <c r="AI65" s="104">
        <f t="shared" si="17"/>
        <v>0</v>
      </c>
      <c r="AJ65" s="104">
        <f t="shared" si="17"/>
        <v>0</v>
      </c>
      <c r="AK65" s="104">
        <f t="shared" si="17"/>
        <v>0</v>
      </c>
      <c r="AL65" s="104">
        <f t="shared" si="17"/>
        <v>0</v>
      </c>
    </row>
    <row r="66" spans="2:38">
      <c r="B66" s="96" t="s">
        <v>54</v>
      </c>
      <c r="C66" s="111">
        <v>10</v>
      </c>
      <c r="D66" s="97">
        <f t="shared" si="19"/>
        <v>0</v>
      </c>
      <c r="E66" s="104">
        <f t="shared" si="16"/>
        <v>0</v>
      </c>
      <c r="F66" s="104">
        <f t="shared" si="16"/>
        <v>0</v>
      </c>
      <c r="G66" s="104">
        <f t="shared" si="16"/>
        <v>0</v>
      </c>
      <c r="H66" s="104">
        <f t="shared" si="16"/>
        <v>0</v>
      </c>
      <c r="I66" s="104">
        <f t="shared" si="16"/>
        <v>0</v>
      </c>
      <c r="J66" s="104">
        <f t="shared" si="16"/>
        <v>0</v>
      </c>
      <c r="K66" s="104">
        <f t="shared" si="16"/>
        <v>0</v>
      </c>
      <c r="L66" s="104">
        <f t="shared" si="16"/>
        <v>0</v>
      </c>
      <c r="M66" s="104">
        <f t="shared" si="16"/>
        <v>0</v>
      </c>
      <c r="N66" s="104">
        <f t="shared" si="16"/>
        <v>0</v>
      </c>
      <c r="O66" s="104">
        <f t="shared" si="16"/>
        <v>0</v>
      </c>
      <c r="P66" s="104">
        <f t="shared" si="16"/>
        <v>0</v>
      </c>
      <c r="Q66" s="104">
        <f t="shared" si="16"/>
        <v>0</v>
      </c>
      <c r="R66" s="104">
        <f t="shared" si="16"/>
        <v>0</v>
      </c>
      <c r="S66" s="104">
        <f t="shared" si="16"/>
        <v>0</v>
      </c>
      <c r="T66" s="104">
        <f t="shared" si="16"/>
        <v>0</v>
      </c>
      <c r="U66" s="104">
        <f t="shared" si="16"/>
        <v>0</v>
      </c>
      <c r="V66" s="104">
        <f t="shared" si="16"/>
        <v>0</v>
      </c>
      <c r="W66" s="104">
        <f t="shared" si="16"/>
        <v>0</v>
      </c>
      <c r="X66" s="104">
        <f t="shared" si="16"/>
        <v>0</v>
      </c>
      <c r="Y66" s="104">
        <f t="shared" si="16"/>
        <v>0</v>
      </c>
      <c r="Z66" s="104">
        <f t="shared" si="16"/>
        <v>0</v>
      </c>
      <c r="AA66" s="104">
        <f t="shared" si="16"/>
        <v>0</v>
      </c>
      <c r="AB66" s="104">
        <f t="shared" si="16"/>
        <v>0</v>
      </c>
      <c r="AC66" s="104">
        <f t="shared" si="17"/>
        <v>0</v>
      </c>
      <c r="AD66" s="104">
        <f t="shared" si="17"/>
        <v>0</v>
      </c>
      <c r="AE66" s="104">
        <f t="shared" si="17"/>
        <v>0</v>
      </c>
      <c r="AF66" s="104">
        <f t="shared" si="17"/>
        <v>0</v>
      </c>
      <c r="AG66" s="104">
        <f t="shared" si="17"/>
        <v>0</v>
      </c>
      <c r="AH66" s="104">
        <f t="shared" si="17"/>
        <v>0</v>
      </c>
      <c r="AI66" s="104">
        <f t="shared" si="17"/>
        <v>0</v>
      </c>
      <c r="AJ66" s="104">
        <f t="shared" si="17"/>
        <v>0</v>
      </c>
      <c r="AK66" s="104">
        <f t="shared" si="17"/>
        <v>0</v>
      </c>
      <c r="AL66" s="104">
        <f t="shared" si="17"/>
        <v>0</v>
      </c>
    </row>
    <row r="67" spans="2:38">
      <c r="B67" s="96" t="s">
        <v>55</v>
      </c>
      <c r="C67" s="111">
        <v>50</v>
      </c>
      <c r="D67" s="97">
        <f t="shared" si="19"/>
        <v>318850</v>
      </c>
      <c r="E67" s="104">
        <f t="shared" si="16"/>
        <v>0</v>
      </c>
      <c r="F67" s="104">
        <f t="shared" si="16"/>
        <v>0</v>
      </c>
      <c r="G67" s="104">
        <f t="shared" si="16"/>
        <v>0</v>
      </c>
      <c r="H67" s="104">
        <f t="shared" si="16"/>
        <v>13750</v>
      </c>
      <c r="I67" s="104">
        <f t="shared" si="16"/>
        <v>0</v>
      </c>
      <c r="J67" s="104">
        <f t="shared" si="16"/>
        <v>0</v>
      </c>
      <c r="K67" s="104">
        <f t="shared" si="16"/>
        <v>0</v>
      </c>
      <c r="L67" s="104">
        <f t="shared" si="16"/>
        <v>0</v>
      </c>
      <c r="M67" s="104">
        <f t="shared" si="16"/>
        <v>0</v>
      </c>
      <c r="N67" s="104">
        <f t="shared" si="16"/>
        <v>0</v>
      </c>
      <c r="O67" s="104">
        <f t="shared" si="16"/>
        <v>0</v>
      </c>
      <c r="P67" s="104">
        <f t="shared" si="16"/>
        <v>0</v>
      </c>
      <c r="Q67" s="104">
        <f t="shared" si="16"/>
        <v>0</v>
      </c>
      <c r="R67" s="104">
        <f t="shared" si="16"/>
        <v>0</v>
      </c>
      <c r="S67" s="104">
        <f t="shared" si="16"/>
        <v>0</v>
      </c>
      <c r="T67" s="104">
        <f t="shared" si="16"/>
        <v>0</v>
      </c>
      <c r="U67" s="104">
        <f t="shared" si="16"/>
        <v>0</v>
      </c>
      <c r="V67" s="104">
        <f t="shared" si="16"/>
        <v>8200</v>
      </c>
      <c r="W67" s="104">
        <f t="shared" si="16"/>
        <v>6150</v>
      </c>
      <c r="X67" s="104">
        <f t="shared" si="16"/>
        <v>167600</v>
      </c>
      <c r="Y67" s="104">
        <f t="shared" si="16"/>
        <v>8150</v>
      </c>
      <c r="Z67" s="104">
        <f t="shared" si="16"/>
        <v>0</v>
      </c>
      <c r="AA67" s="104">
        <f t="shared" si="16"/>
        <v>0</v>
      </c>
      <c r="AB67" s="104">
        <f t="shared" si="16"/>
        <v>0</v>
      </c>
      <c r="AC67" s="104">
        <f t="shared" si="17"/>
        <v>0</v>
      </c>
      <c r="AD67" s="104">
        <f t="shared" si="17"/>
        <v>0</v>
      </c>
      <c r="AE67" s="104">
        <f t="shared" si="17"/>
        <v>74600</v>
      </c>
      <c r="AF67" s="104">
        <f t="shared" si="17"/>
        <v>15400</v>
      </c>
      <c r="AG67" s="104">
        <f t="shared" si="17"/>
        <v>25000</v>
      </c>
      <c r="AH67" s="104">
        <f t="shared" si="17"/>
        <v>0</v>
      </c>
      <c r="AI67" s="104">
        <f t="shared" si="17"/>
        <v>0</v>
      </c>
      <c r="AJ67" s="104">
        <f t="shared" si="17"/>
        <v>0</v>
      </c>
      <c r="AK67" s="104">
        <f t="shared" si="17"/>
        <v>0</v>
      </c>
      <c r="AL67" s="104">
        <f t="shared" si="17"/>
        <v>0</v>
      </c>
    </row>
    <row r="68" spans="2:38">
      <c r="B68" s="96" t="s">
        <v>56</v>
      </c>
      <c r="C68" s="111">
        <v>27.39</v>
      </c>
      <c r="D68" s="97">
        <f t="shared" si="19"/>
        <v>44371.8</v>
      </c>
      <c r="E68" s="104">
        <f t="shared" si="16"/>
        <v>0</v>
      </c>
      <c r="F68" s="104">
        <f t="shared" si="16"/>
        <v>0</v>
      </c>
      <c r="G68" s="104">
        <f t="shared" si="16"/>
        <v>0</v>
      </c>
      <c r="H68" s="104">
        <f t="shared" si="16"/>
        <v>3286.8</v>
      </c>
      <c r="I68" s="104">
        <f t="shared" si="16"/>
        <v>0</v>
      </c>
      <c r="J68" s="104">
        <f t="shared" si="16"/>
        <v>0</v>
      </c>
      <c r="K68" s="104">
        <f t="shared" si="16"/>
        <v>0</v>
      </c>
      <c r="L68" s="104">
        <f t="shared" si="16"/>
        <v>0</v>
      </c>
      <c r="M68" s="104">
        <f t="shared" si="16"/>
        <v>0</v>
      </c>
      <c r="N68" s="104">
        <f t="shared" si="16"/>
        <v>0</v>
      </c>
      <c r="O68" s="104">
        <f t="shared" si="16"/>
        <v>0</v>
      </c>
      <c r="P68" s="104">
        <f t="shared" si="16"/>
        <v>0</v>
      </c>
      <c r="Q68" s="104">
        <f t="shared" si="16"/>
        <v>0</v>
      </c>
      <c r="R68" s="104">
        <f t="shared" si="16"/>
        <v>0</v>
      </c>
      <c r="S68" s="104">
        <f t="shared" si="16"/>
        <v>0</v>
      </c>
      <c r="T68" s="104">
        <f t="shared" si="16"/>
        <v>0</v>
      </c>
      <c r="U68" s="104">
        <f t="shared" si="16"/>
        <v>0</v>
      </c>
      <c r="V68" s="104">
        <f t="shared" si="16"/>
        <v>1095.5999999999999</v>
      </c>
      <c r="W68" s="104">
        <f t="shared" si="16"/>
        <v>547.79999999999995</v>
      </c>
      <c r="X68" s="104">
        <f t="shared" si="16"/>
        <v>27937.8</v>
      </c>
      <c r="Y68" s="104">
        <f t="shared" si="16"/>
        <v>547.79999999999995</v>
      </c>
      <c r="Z68" s="104">
        <f t="shared" si="16"/>
        <v>0</v>
      </c>
      <c r="AA68" s="104">
        <f t="shared" si="16"/>
        <v>0</v>
      </c>
      <c r="AB68" s="104">
        <f t="shared" si="16"/>
        <v>0</v>
      </c>
      <c r="AC68" s="104">
        <f t="shared" si="17"/>
        <v>0</v>
      </c>
      <c r="AD68" s="104">
        <f t="shared" si="17"/>
        <v>0</v>
      </c>
      <c r="AE68" s="104">
        <f t="shared" si="17"/>
        <v>5478</v>
      </c>
      <c r="AF68" s="104">
        <f t="shared" si="17"/>
        <v>2191.1999999999998</v>
      </c>
      <c r="AG68" s="104">
        <f t="shared" si="17"/>
        <v>3286.8</v>
      </c>
      <c r="AH68" s="104">
        <f t="shared" si="17"/>
        <v>0</v>
      </c>
      <c r="AI68" s="104">
        <f t="shared" si="17"/>
        <v>0</v>
      </c>
      <c r="AJ68" s="104">
        <f t="shared" si="17"/>
        <v>0</v>
      </c>
      <c r="AK68" s="104">
        <f t="shared" si="17"/>
        <v>0</v>
      </c>
      <c r="AL68" s="104">
        <f t="shared" si="17"/>
        <v>0</v>
      </c>
    </row>
    <row r="69" spans="2:38">
      <c r="B69" s="96" t="s">
        <v>57</v>
      </c>
      <c r="C69" s="111">
        <v>26</v>
      </c>
      <c r="D69" s="97">
        <f t="shared" si="19"/>
        <v>0</v>
      </c>
      <c r="E69" s="104">
        <f t="shared" si="16"/>
        <v>0</v>
      </c>
      <c r="F69" s="104">
        <f t="shared" si="16"/>
        <v>0</v>
      </c>
      <c r="G69" s="104">
        <f t="shared" si="16"/>
        <v>0</v>
      </c>
      <c r="H69" s="104">
        <f t="shared" si="16"/>
        <v>0</v>
      </c>
      <c r="I69" s="104">
        <f t="shared" si="16"/>
        <v>0</v>
      </c>
      <c r="J69" s="104">
        <f t="shared" si="16"/>
        <v>0</v>
      </c>
      <c r="K69" s="104">
        <f t="shared" si="16"/>
        <v>0</v>
      </c>
      <c r="L69" s="104">
        <f t="shared" si="16"/>
        <v>0</v>
      </c>
      <c r="M69" s="104">
        <f t="shared" si="16"/>
        <v>0</v>
      </c>
      <c r="N69" s="104">
        <f t="shared" si="16"/>
        <v>0</v>
      </c>
      <c r="O69" s="104">
        <f t="shared" si="16"/>
        <v>0</v>
      </c>
      <c r="P69" s="104">
        <f t="shared" si="16"/>
        <v>0</v>
      </c>
      <c r="Q69" s="104">
        <f t="shared" si="16"/>
        <v>0</v>
      </c>
      <c r="R69" s="104">
        <f t="shared" si="16"/>
        <v>0</v>
      </c>
      <c r="S69" s="104">
        <f t="shared" si="16"/>
        <v>0</v>
      </c>
      <c r="T69" s="104">
        <f t="shared" si="16"/>
        <v>0</v>
      </c>
      <c r="U69" s="104">
        <f t="shared" si="16"/>
        <v>0</v>
      </c>
      <c r="V69" s="104">
        <f t="shared" si="16"/>
        <v>0</v>
      </c>
      <c r="W69" s="104">
        <f t="shared" si="16"/>
        <v>0</v>
      </c>
      <c r="X69" s="104">
        <f t="shared" si="16"/>
        <v>0</v>
      </c>
      <c r="Y69" s="104">
        <f t="shared" si="16"/>
        <v>0</v>
      </c>
      <c r="Z69" s="104">
        <f t="shared" si="16"/>
        <v>0</v>
      </c>
      <c r="AA69" s="104">
        <f t="shared" si="16"/>
        <v>0</v>
      </c>
      <c r="AB69" s="104">
        <f t="shared" si="16"/>
        <v>0</v>
      </c>
      <c r="AC69" s="104">
        <f t="shared" si="17"/>
        <v>0</v>
      </c>
      <c r="AD69" s="104">
        <f t="shared" si="17"/>
        <v>0</v>
      </c>
      <c r="AE69" s="104">
        <f t="shared" si="17"/>
        <v>0</v>
      </c>
      <c r="AF69" s="104">
        <f t="shared" si="17"/>
        <v>0</v>
      </c>
      <c r="AG69" s="104">
        <f t="shared" si="17"/>
        <v>0</v>
      </c>
      <c r="AH69" s="104">
        <f t="shared" si="17"/>
        <v>0</v>
      </c>
      <c r="AI69" s="104">
        <f t="shared" si="17"/>
        <v>0</v>
      </c>
      <c r="AJ69" s="104">
        <f t="shared" si="17"/>
        <v>0</v>
      </c>
      <c r="AK69" s="104">
        <f t="shared" si="17"/>
        <v>0</v>
      </c>
      <c r="AL69" s="104">
        <f t="shared" si="17"/>
        <v>0</v>
      </c>
    </row>
    <row r="70" spans="2:38">
      <c r="B70" s="96" t="s">
        <v>58</v>
      </c>
      <c r="C70" s="111">
        <v>48</v>
      </c>
      <c r="D70" s="97">
        <f t="shared" si="19"/>
        <v>0</v>
      </c>
      <c r="E70" s="104">
        <f t="shared" si="16"/>
        <v>0</v>
      </c>
      <c r="F70" s="104">
        <f t="shared" si="16"/>
        <v>0</v>
      </c>
      <c r="G70" s="104">
        <f t="shared" si="16"/>
        <v>0</v>
      </c>
      <c r="H70" s="104">
        <f t="shared" si="16"/>
        <v>0</v>
      </c>
      <c r="I70" s="104">
        <f t="shared" si="16"/>
        <v>0</v>
      </c>
      <c r="J70" s="104">
        <f t="shared" si="16"/>
        <v>0</v>
      </c>
      <c r="K70" s="104">
        <f t="shared" si="16"/>
        <v>0</v>
      </c>
      <c r="L70" s="104">
        <f t="shared" si="16"/>
        <v>0</v>
      </c>
      <c r="M70" s="104">
        <f t="shared" si="16"/>
        <v>0</v>
      </c>
      <c r="N70" s="104">
        <f t="shared" si="16"/>
        <v>0</v>
      </c>
      <c r="O70" s="104">
        <f t="shared" si="16"/>
        <v>0</v>
      </c>
      <c r="P70" s="104">
        <f t="shared" si="16"/>
        <v>0</v>
      </c>
      <c r="Q70" s="104">
        <f t="shared" si="16"/>
        <v>0</v>
      </c>
      <c r="R70" s="104">
        <f t="shared" si="16"/>
        <v>0</v>
      </c>
      <c r="S70" s="104">
        <f t="shared" si="16"/>
        <v>0</v>
      </c>
      <c r="T70" s="104">
        <f t="shared" ref="T70:AB71" si="20">T37*$C70</f>
        <v>0</v>
      </c>
      <c r="U70" s="104">
        <f t="shared" si="20"/>
        <v>0</v>
      </c>
      <c r="V70" s="104">
        <f t="shared" si="20"/>
        <v>0</v>
      </c>
      <c r="W70" s="104">
        <f t="shared" si="20"/>
        <v>0</v>
      </c>
      <c r="X70" s="104">
        <f t="shared" si="20"/>
        <v>0</v>
      </c>
      <c r="Y70" s="104">
        <f t="shared" si="20"/>
        <v>0</v>
      </c>
      <c r="Z70" s="104">
        <f t="shared" si="20"/>
        <v>0</v>
      </c>
      <c r="AA70" s="104">
        <f t="shared" si="20"/>
        <v>0</v>
      </c>
      <c r="AB70" s="104">
        <f t="shared" si="20"/>
        <v>0</v>
      </c>
      <c r="AC70" s="104">
        <f t="shared" ref="AC70:AL70" si="21">AC37*$C70</f>
        <v>0</v>
      </c>
      <c r="AD70" s="104">
        <f t="shared" si="21"/>
        <v>0</v>
      </c>
      <c r="AE70" s="104">
        <f t="shared" si="21"/>
        <v>0</v>
      </c>
      <c r="AF70" s="104">
        <f t="shared" si="21"/>
        <v>0</v>
      </c>
      <c r="AG70" s="104">
        <f t="shared" si="21"/>
        <v>0</v>
      </c>
      <c r="AH70" s="104">
        <f t="shared" si="21"/>
        <v>0</v>
      </c>
      <c r="AI70" s="104">
        <f t="shared" si="21"/>
        <v>0</v>
      </c>
      <c r="AJ70" s="104">
        <f t="shared" si="21"/>
        <v>0</v>
      </c>
      <c r="AK70" s="104">
        <f t="shared" si="21"/>
        <v>0</v>
      </c>
      <c r="AL70" s="104">
        <f t="shared" si="21"/>
        <v>0</v>
      </c>
    </row>
    <row r="71" spans="2:38">
      <c r="B71" s="96" t="s">
        <v>59</v>
      </c>
      <c r="C71" s="112">
        <v>8</v>
      </c>
      <c r="D71" s="97">
        <f t="shared" si="19"/>
        <v>101248</v>
      </c>
      <c r="E71" s="104">
        <f t="shared" si="19"/>
        <v>0</v>
      </c>
      <c r="F71" s="104">
        <f t="shared" si="19"/>
        <v>352</v>
      </c>
      <c r="G71" s="104">
        <f t="shared" si="19"/>
        <v>13648</v>
      </c>
      <c r="H71" s="104">
        <f t="shared" si="19"/>
        <v>3112</v>
      </c>
      <c r="I71" s="104">
        <f t="shared" si="19"/>
        <v>0</v>
      </c>
      <c r="J71" s="104">
        <f t="shared" si="19"/>
        <v>0</v>
      </c>
      <c r="K71" s="104">
        <f t="shared" si="19"/>
        <v>0</v>
      </c>
      <c r="L71" s="104">
        <f t="shared" si="19"/>
        <v>0</v>
      </c>
      <c r="M71" s="104">
        <f t="shared" si="19"/>
        <v>0</v>
      </c>
      <c r="N71" s="104">
        <f t="shared" si="19"/>
        <v>0</v>
      </c>
      <c r="O71" s="104">
        <f t="shared" si="19"/>
        <v>0</v>
      </c>
      <c r="P71" s="104">
        <f t="shared" si="19"/>
        <v>0</v>
      </c>
      <c r="Q71" s="104">
        <f t="shared" si="19"/>
        <v>0</v>
      </c>
      <c r="R71" s="104">
        <f t="shared" si="19"/>
        <v>0</v>
      </c>
      <c r="S71" s="104">
        <f t="shared" si="19"/>
        <v>0</v>
      </c>
      <c r="T71" s="104">
        <f t="shared" si="20"/>
        <v>0</v>
      </c>
      <c r="U71" s="104">
        <f t="shared" si="20"/>
        <v>0</v>
      </c>
      <c r="V71" s="104">
        <f t="shared" si="20"/>
        <v>1960</v>
      </c>
      <c r="W71" s="104">
        <f t="shared" si="20"/>
        <v>28400</v>
      </c>
      <c r="X71" s="104">
        <f t="shared" si="20"/>
        <v>3056</v>
      </c>
      <c r="Y71" s="104">
        <f t="shared" si="20"/>
        <v>400</v>
      </c>
      <c r="Z71" s="104">
        <f t="shared" si="20"/>
        <v>0</v>
      </c>
      <c r="AA71" s="104">
        <f t="shared" si="20"/>
        <v>0</v>
      </c>
      <c r="AB71" s="104">
        <f t="shared" si="20"/>
        <v>0</v>
      </c>
      <c r="AC71" s="104">
        <f t="shared" ref="AC71:AL71" si="22">AC38*$C71</f>
        <v>0</v>
      </c>
      <c r="AD71" s="104">
        <f t="shared" si="22"/>
        <v>2016</v>
      </c>
      <c r="AE71" s="104">
        <f t="shared" si="22"/>
        <v>5536</v>
      </c>
      <c r="AF71" s="104">
        <f t="shared" si="22"/>
        <v>4424</v>
      </c>
      <c r="AG71" s="104">
        <f t="shared" si="22"/>
        <v>20968</v>
      </c>
      <c r="AH71" s="104">
        <f t="shared" si="22"/>
        <v>17376</v>
      </c>
      <c r="AI71" s="104">
        <f t="shared" si="22"/>
        <v>0</v>
      </c>
      <c r="AJ71" s="104">
        <f t="shared" si="22"/>
        <v>0</v>
      </c>
      <c r="AK71" s="104">
        <f t="shared" si="22"/>
        <v>0</v>
      </c>
      <c r="AL71" s="104">
        <f t="shared" si="22"/>
        <v>0</v>
      </c>
    </row>
    <row r="72" spans="2:38">
      <c r="B72" s="35" t="s">
        <v>85</v>
      </c>
      <c r="C72" s="263">
        <v>3.2</v>
      </c>
      <c r="D72" s="264">
        <f>D50*$C72</f>
        <v>0</v>
      </c>
      <c r="E72" s="107">
        <f>+$C$72*E50</f>
        <v>0</v>
      </c>
      <c r="F72" s="107">
        <f>+$C$72*F50</f>
        <v>0</v>
      </c>
      <c r="G72" s="107">
        <v>9400</v>
      </c>
      <c r="H72" s="107">
        <v>9400</v>
      </c>
      <c r="I72" s="107">
        <f t="shared" ref="I72:AB72" si="23">+$C$72*I50</f>
        <v>0</v>
      </c>
      <c r="J72" s="107">
        <f t="shared" si="23"/>
        <v>0</v>
      </c>
      <c r="K72" s="107">
        <f t="shared" si="23"/>
        <v>0</v>
      </c>
      <c r="L72" s="107">
        <f t="shared" si="23"/>
        <v>0</v>
      </c>
      <c r="M72" s="107">
        <f t="shared" si="23"/>
        <v>0</v>
      </c>
      <c r="N72" s="107">
        <f t="shared" si="23"/>
        <v>0</v>
      </c>
      <c r="O72" s="107">
        <f t="shared" si="23"/>
        <v>0</v>
      </c>
      <c r="P72" s="107">
        <f t="shared" si="23"/>
        <v>0</v>
      </c>
      <c r="Q72" s="107">
        <f t="shared" si="23"/>
        <v>0</v>
      </c>
      <c r="R72" s="107">
        <f t="shared" si="23"/>
        <v>0</v>
      </c>
      <c r="S72" s="107">
        <f t="shared" si="23"/>
        <v>0</v>
      </c>
      <c r="T72" s="107">
        <f t="shared" si="23"/>
        <v>0</v>
      </c>
      <c r="U72" s="107">
        <f t="shared" si="23"/>
        <v>0</v>
      </c>
      <c r="V72" s="107">
        <v>9400</v>
      </c>
      <c r="W72" s="107">
        <v>18800</v>
      </c>
      <c r="X72" s="107">
        <v>9400</v>
      </c>
      <c r="Y72" s="107">
        <f t="shared" si="23"/>
        <v>0</v>
      </c>
      <c r="Z72" s="107">
        <f t="shared" si="23"/>
        <v>0</v>
      </c>
      <c r="AA72" s="107">
        <f t="shared" si="23"/>
        <v>0</v>
      </c>
      <c r="AB72" s="107">
        <f t="shared" si="23"/>
        <v>0</v>
      </c>
      <c r="AC72" s="107">
        <f t="shared" ref="AC72:AL72" si="24">+$C$72*AC50</f>
        <v>0</v>
      </c>
      <c r="AD72" s="107">
        <f t="shared" si="24"/>
        <v>0</v>
      </c>
      <c r="AE72" s="107">
        <v>18800</v>
      </c>
      <c r="AF72" s="107">
        <v>18800</v>
      </c>
      <c r="AG72" s="107">
        <v>18800</v>
      </c>
      <c r="AH72" s="107">
        <v>18800</v>
      </c>
      <c r="AI72" s="107">
        <f t="shared" si="24"/>
        <v>0</v>
      </c>
      <c r="AJ72" s="107">
        <f t="shared" si="24"/>
        <v>0</v>
      </c>
      <c r="AK72" s="107">
        <f t="shared" si="24"/>
        <v>0</v>
      </c>
      <c r="AL72" s="107">
        <f t="shared" si="24"/>
        <v>0</v>
      </c>
    </row>
    <row r="74" spans="2:38">
      <c r="B74" s="318" t="s">
        <v>86</v>
      </c>
      <c r="C74" s="319"/>
      <c r="D74" s="108">
        <f>AVERAGEIF(E59:N59, "&gt;0")</f>
        <v>531269.97777777771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6" spans="2:38">
      <c r="B76" s="12" t="s">
        <v>87</v>
      </c>
      <c r="C76" s="13">
        <v>0.31</v>
      </c>
      <c r="D76" s="231">
        <f>SUM(E76:AL76)</f>
        <v>5245322.3880000003</v>
      </c>
      <c r="E76" s="171">
        <f t="shared" ref="E76" si="25">E59*$C$76</f>
        <v>0</v>
      </c>
      <c r="F76" s="14">
        <f>F59*$C$76</f>
        <v>8999.61</v>
      </c>
      <c r="G76" s="14">
        <f>G59*$C$76</f>
        <v>157385.45000000001</v>
      </c>
      <c r="H76" s="14">
        <f t="shared" ref="H76:AB76" si="26">H59*$C$76</f>
        <v>154458.67799999999</v>
      </c>
      <c r="I76" s="14">
        <f t="shared" si="26"/>
        <v>173623.25</v>
      </c>
      <c r="J76" s="14">
        <f t="shared" si="26"/>
        <v>284758.25</v>
      </c>
      <c r="K76" s="14">
        <f t="shared" si="26"/>
        <v>144382.5</v>
      </c>
      <c r="L76" s="14">
        <f t="shared" si="26"/>
        <v>169159.25</v>
      </c>
      <c r="M76" s="14">
        <f t="shared" si="26"/>
        <v>211939.25</v>
      </c>
      <c r="N76" s="14">
        <f t="shared" si="26"/>
        <v>177537</v>
      </c>
      <c r="O76" s="14">
        <f t="shared" si="26"/>
        <v>177180.5</v>
      </c>
      <c r="P76" s="14">
        <f t="shared" si="26"/>
        <v>66130.75</v>
      </c>
      <c r="Q76" s="14">
        <f t="shared" si="26"/>
        <v>280387.25</v>
      </c>
      <c r="R76" s="14">
        <f t="shared" si="26"/>
        <v>132544.22</v>
      </c>
      <c r="S76" s="14">
        <f t="shared" si="26"/>
        <v>174967.72</v>
      </c>
      <c r="T76" s="14">
        <f t="shared" si="26"/>
        <v>162594.69</v>
      </c>
      <c r="U76" s="14">
        <f t="shared" si="26"/>
        <v>131007.55</v>
      </c>
      <c r="V76" s="14">
        <f t="shared" si="26"/>
        <v>150967.08599999998</v>
      </c>
      <c r="W76" s="14">
        <f t="shared" si="26"/>
        <v>182967.82800000001</v>
      </c>
      <c r="X76" s="14">
        <f t="shared" si="26"/>
        <v>285375.70799999998</v>
      </c>
      <c r="Y76" s="14">
        <f t="shared" si="26"/>
        <v>29701.038</v>
      </c>
      <c r="Z76" s="14">
        <f t="shared" si="26"/>
        <v>62565.75</v>
      </c>
      <c r="AA76" s="14">
        <f t="shared" si="26"/>
        <v>126907.8</v>
      </c>
      <c r="AB76" s="14">
        <f t="shared" si="26"/>
        <v>148445.35999999999</v>
      </c>
      <c r="AC76" s="14">
        <f t="shared" ref="AC76:AL76" si="27">AC59*$C$76</f>
        <v>117466.75</v>
      </c>
      <c r="AD76" s="14">
        <f t="shared" si="27"/>
        <v>176343.81</v>
      </c>
      <c r="AE76" s="14">
        <f t="shared" si="27"/>
        <v>263875.09999999998</v>
      </c>
      <c r="AF76" s="14">
        <f t="shared" si="27"/>
        <v>282442.30199999997</v>
      </c>
      <c r="AG76" s="14">
        <f t="shared" si="27"/>
        <v>449181.56800000003</v>
      </c>
      <c r="AH76" s="14">
        <f t="shared" si="27"/>
        <v>362026.37</v>
      </c>
      <c r="AI76" s="14">
        <f t="shared" si="27"/>
        <v>0</v>
      </c>
      <c r="AJ76" s="14">
        <f t="shared" si="27"/>
        <v>0</v>
      </c>
      <c r="AK76" s="14">
        <f t="shared" si="27"/>
        <v>0</v>
      </c>
      <c r="AL76" s="14">
        <f t="shared" si="27"/>
        <v>0</v>
      </c>
    </row>
    <row r="77" spans="2:38">
      <c r="B77" s="16" t="s">
        <v>88</v>
      </c>
      <c r="C77" s="17">
        <v>73000</v>
      </c>
      <c r="D77" s="232">
        <f>SUM(E77:AL77)</f>
        <v>2482000</v>
      </c>
      <c r="E77" s="172">
        <f t="shared" ref="E77:AL77" si="28">$C$77</f>
        <v>73000</v>
      </c>
      <c r="F77" s="18">
        <f t="shared" si="28"/>
        <v>73000</v>
      </c>
      <c r="G77" s="18">
        <f t="shared" si="28"/>
        <v>73000</v>
      </c>
      <c r="H77" s="18">
        <f t="shared" si="28"/>
        <v>73000</v>
      </c>
      <c r="I77" s="18">
        <f t="shared" si="28"/>
        <v>73000</v>
      </c>
      <c r="J77" s="18">
        <f t="shared" si="28"/>
        <v>73000</v>
      </c>
      <c r="K77" s="18">
        <f t="shared" si="28"/>
        <v>73000</v>
      </c>
      <c r="L77" s="18">
        <f t="shared" si="28"/>
        <v>73000</v>
      </c>
      <c r="M77" s="18">
        <f t="shared" si="28"/>
        <v>73000</v>
      </c>
      <c r="N77" s="18">
        <f t="shared" si="28"/>
        <v>73000</v>
      </c>
      <c r="O77" s="18">
        <f t="shared" si="28"/>
        <v>73000</v>
      </c>
      <c r="P77" s="18">
        <f t="shared" si="28"/>
        <v>73000</v>
      </c>
      <c r="Q77" s="18">
        <f t="shared" si="28"/>
        <v>73000</v>
      </c>
      <c r="R77" s="18">
        <f t="shared" si="28"/>
        <v>73000</v>
      </c>
      <c r="S77" s="18">
        <f t="shared" si="28"/>
        <v>73000</v>
      </c>
      <c r="T77" s="18">
        <f t="shared" si="28"/>
        <v>73000</v>
      </c>
      <c r="U77" s="18">
        <f t="shared" si="28"/>
        <v>73000</v>
      </c>
      <c r="V77" s="18">
        <f t="shared" si="28"/>
        <v>73000</v>
      </c>
      <c r="W77" s="18">
        <f t="shared" si="28"/>
        <v>73000</v>
      </c>
      <c r="X77" s="18">
        <f t="shared" si="28"/>
        <v>73000</v>
      </c>
      <c r="Y77" s="18">
        <f t="shared" si="28"/>
        <v>73000</v>
      </c>
      <c r="Z77" s="18">
        <f t="shared" si="28"/>
        <v>73000</v>
      </c>
      <c r="AA77" s="18">
        <f t="shared" si="28"/>
        <v>73000</v>
      </c>
      <c r="AB77" s="18">
        <f t="shared" si="28"/>
        <v>73000</v>
      </c>
      <c r="AC77" s="18">
        <f t="shared" si="28"/>
        <v>73000</v>
      </c>
      <c r="AD77" s="18">
        <f t="shared" si="28"/>
        <v>73000</v>
      </c>
      <c r="AE77" s="18">
        <f t="shared" si="28"/>
        <v>73000</v>
      </c>
      <c r="AF77" s="18">
        <f t="shared" si="28"/>
        <v>73000</v>
      </c>
      <c r="AG77" s="18">
        <f t="shared" si="28"/>
        <v>73000</v>
      </c>
      <c r="AH77" s="18">
        <f t="shared" si="28"/>
        <v>73000</v>
      </c>
      <c r="AI77" s="18">
        <f t="shared" si="28"/>
        <v>73000</v>
      </c>
      <c r="AJ77" s="18">
        <f t="shared" si="28"/>
        <v>73000</v>
      </c>
      <c r="AK77" s="18">
        <f t="shared" si="28"/>
        <v>73000</v>
      </c>
      <c r="AL77" s="18">
        <f t="shared" si="28"/>
        <v>73000</v>
      </c>
    </row>
    <row r="78" spans="2:38">
      <c r="B78" s="16" t="s">
        <v>89</v>
      </c>
      <c r="C78" s="17">
        <v>45000</v>
      </c>
      <c r="D78" s="232">
        <f>SUM(E78:AL78)</f>
        <v>1530000</v>
      </c>
      <c r="E78" s="172">
        <f t="shared" ref="E78:AL78" si="29">$C$78</f>
        <v>45000</v>
      </c>
      <c r="F78" s="18">
        <f t="shared" si="29"/>
        <v>45000</v>
      </c>
      <c r="G78" s="18">
        <f t="shared" si="29"/>
        <v>45000</v>
      </c>
      <c r="H78" s="18">
        <f t="shared" si="29"/>
        <v>45000</v>
      </c>
      <c r="I78" s="18">
        <f t="shared" si="29"/>
        <v>45000</v>
      </c>
      <c r="J78" s="18">
        <f t="shared" si="29"/>
        <v>45000</v>
      </c>
      <c r="K78" s="18">
        <f t="shared" si="29"/>
        <v>45000</v>
      </c>
      <c r="L78" s="18">
        <f t="shared" si="29"/>
        <v>45000</v>
      </c>
      <c r="M78" s="18">
        <f t="shared" si="29"/>
        <v>45000</v>
      </c>
      <c r="N78" s="18">
        <f t="shared" si="29"/>
        <v>45000</v>
      </c>
      <c r="O78" s="18">
        <f t="shared" si="29"/>
        <v>45000</v>
      </c>
      <c r="P78" s="18">
        <f t="shared" si="29"/>
        <v>45000</v>
      </c>
      <c r="Q78" s="18">
        <f t="shared" si="29"/>
        <v>45000</v>
      </c>
      <c r="R78" s="18">
        <f t="shared" si="29"/>
        <v>45000</v>
      </c>
      <c r="S78" s="18">
        <f t="shared" si="29"/>
        <v>45000</v>
      </c>
      <c r="T78" s="18">
        <f t="shared" si="29"/>
        <v>45000</v>
      </c>
      <c r="U78" s="18">
        <f t="shared" si="29"/>
        <v>45000</v>
      </c>
      <c r="V78" s="18">
        <f t="shared" si="29"/>
        <v>45000</v>
      </c>
      <c r="W78" s="18">
        <f t="shared" si="29"/>
        <v>45000</v>
      </c>
      <c r="X78" s="18">
        <f t="shared" si="29"/>
        <v>45000</v>
      </c>
      <c r="Y78" s="18">
        <f t="shared" si="29"/>
        <v>45000</v>
      </c>
      <c r="Z78" s="18">
        <f t="shared" si="29"/>
        <v>45000</v>
      </c>
      <c r="AA78" s="18">
        <f t="shared" si="29"/>
        <v>45000</v>
      </c>
      <c r="AB78" s="18">
        <f t="shared" si="29"/>
        <v>45000</v>
      </c>
      <c r="AC78" s="18">
        <f t="shared" si="29"/>
        <v>45000</v>
      </c>
      <c r="AD78" s="18">
        <f t="shared" si="29"/>
        <v>45000</v>
      </c>
      <c r="AE78" s="18">
        <f t="shared" si="29"/>
        <v>45000</v>
      </c>
      <c r="AF78" s="18">
        <f t="shared" si="29"/>
        <v>45000</v>
      </c>
      <c r="AG78" s="18">
        <f t="shared" si="29"/>
        <v>45000</v>
      </c>
      <c r="AH78" s="18">
        <f t="shared" si="29"/>
        <v>45000</v>
      </c>
      <c r="AI78" s="18">
        <f t="shared" si="29"/>
        <v>45000</v>
      </c>
      <c r="AJ78" s="18">
        <f t="shared" si="29"/>
        <v>45000</v>
      </c>
      <c r="AK78" s="18">
        <f t="shared" si="29"/>
        <v>45000</v>
      </c>
      <c r="AL78" s="18">
        <f t="shared" si="29"/>
        <v>45000</v>
      </c>
    </row>
    <row r="79" spans="2:38">
      <c r="B79" s="20" t="s">
        <v>90</v>
      </c>
      <c r="C79" s="21">
        <v>9.67</v>
      </c>
      <c r="D79" s="233">
        <f>SUM(E79:AL79)</f>
        <v>3268527.69</v>
      </c>
      <c r="E79" s="173">
        <f t="shared" ref="E79:AB79" si="30">$C$79*E41</f>
        <v>9670</v>
      </c>
      <c r="F79" s="23">
        <f t="shared" si="30"/>
        <v>77360</v>
      </c>
      <c r="G79" s="23">
        <f t="shared" si="30"/>
        <v>135380</v>
      </c>
      <c r="H79" s="23">
        <f t="shared" si="30"/>
        <v>135380</v>
      </c>
      <c r="I79" s="23">
        <f t="shared" si="30"/>
        <v>106370</v>
      </c>
      <c r="J79" s="23">
        <f t="shared" si="30"/>
        <v>96700</v>
      </c>
      <c r="K79" s="23">
        <f t="shared" si="30"/>
        <v>96700</v>
      </c>
      <c r="L79" s="23">
        <f t="shared" si="30"/>
        <v>87030</v>
      </c>
      <c r="M79" s="23">
        <f t="shared" si="30"/>
        <v>96700</v>
      </c>
      <c r="N79" s="23">
        <f t="shared" si="30"/>
        <v>96700</v>
      </c>
      <c r="O79" s="23">
        <f t="shared" si="30"/>
        <v>96700</v>
      </c>
      <c r="P79" s="23">
        <f t="shared" si="30"/>
        <v>106370</v>
      </c>
      <c r="Q79" s="23">
        <f t="shared" si="30"/>
        <v>87030</v>
      </c>
      <c r="R79" s="23">
        <f t="shared" si="30"/>
        <v>96700</v>
      </c>
      <c r="S79" s="23">
        <f t="shared" si="30"/>
        <v>96700</v>
      </c>
      <c r="T79" s="23">
        <f t="shared" si="30"/>
        <v>96700</v>
      </c>
      <c r="U79" s="23">
        <f t="shared" si="30"/>
        <v>96700</v>
      </c>
      <c r="V79" s="23">
        <f t="shared" si="30"/>
        <v>164390</v>
      </c>
      <c r="W79" s="23">
        <f t="shared" si="30"/>
        <v>145050</v>
      </c>
      <c r="X79" s="23">
        <f t="shared" si="30"/>
        <v>135380</v>
      </c>
      <c r="Y79" s="23">
        <f t="shared" si="30"/>
        <v>135380</v>
      </c>
      <c r="Z79" s="23">
        <f t="shared" si="30"/>
        <v>87030</v>
      </c>
      <c r="AA79" s="23">
        <f t="shared" si="30"/>
        <v>87030</v>
      </c>
      <c r="AB79" s="23">
        <f t="shared" si="30"/>
        <v>87030</v>
      </c>
      <c r="AC79" s="23">
        <f t="shared" ref="AC79:AL79" si="31">$C$79*AC41</f>
        <v>87030</v>
      </c>
      <c r="AD79" s="23">
        <f t="shared" si="31"/>
        <v>116040</v>
      </c>
      <c r="AE79" s="23">
        <f t="shared" si="31"/>
        <v>125710</v>
      </c>
      <c r="AF79" s="23">
        <f t="shared" si="31"/>
        <v>125710</v>
      </c>
      <c r="AG79" s="23">
        <f t="shared" si="31"/>
        <v>125710</v>
      </c>
      <c r="AH79" s="23">
        <f t="shared" si="31"/>
        <v>125710</v>
      </c>
      <c r="AI79" s="23">
        <f t="shared" si="31"/>
        <v>58020</v>
      </c>
      <c r="AJ79" s="23">
        <f t="shared" si="31"/>
        <v>48350</v>
      </c>
      <c r="AK79" s="23">
        <f t="shared" si="31"/>
        <v>38.68</v>
      </c>
      <c r="AL79" s="23">
        <f t="shared" si="31"/>
        <v>29.009999999999998</v>
      </c>
    </row>
    <row r="80" spans="2:38">
      <c r="B80" s="24" t="s">
        <v>91</v>
      </c>
      <c r="C80" s="25">
        <f>SUM(E80:AB80)</f>
        <v>2711338.3120000008</v>
      </c>
      <c r="D80" s="174">
        <f>D59-D76-D77-D78-D79</f>
        <v>4262944.722000001</v>
      </c>
      <c r="E80" s="26">
        <f t="shared" ref="E80:AB80" si="32">E59-E76-E77-E78-E79</f>
        <v>-127670</v>
      </c>
      <c r="F80" s="26">
        <f t="shared" si="32"/>
        <v>-175328.61</v>
      </c>
      <c r="G80" s="26">
        <f>G59-G76-G77-G78-G79</f>
        <v>96929.549999999988</v>
      </c>
      <c r="H80" s="26">
        <f t="shared" si="32"/>
        <v>90415.121999999974</v>
      </c>
      <c r="I80" s="26">
        <f t="shared" si="32"/>
        <v>162081.75</v>
      </c>
      <c r="J80" s="26">
        <f t="shared" si="32"/>
        <v>419116.75</v>
      </c>
      <c r="K80" s="27">
        <f t="shared" si="32"/>
        <v>106667.5</v>
      </c>
      <c r="L80" s="26">
        <f t="shared" si="32"/>
        <v>171485.75</v>
      </c>
      <c r="M80" s="27">
        <f t="shared" si="32"/>
        <v>257035.75</v>
      </c>
      <c r="N80" s="26">
        <f t="shared" si="32"/>
        <v>180463</v>
      </c>
      <c r="O80" s="26">
        <f t="shared" si="32"/>
        <v>179669.5</v>
      </c>
      <c r="P80" s="26">
        <f t="shared" si="32"/>
        <v>-77175.75</v>
      </c>
      <c r="Q80" s="26">
        <f t="shared" si="32"/>
        <v>419057.75</v>
      </c>
      <c r="R80" s="26">
        <f t="shared" si="32"/>
        <v>80317.780000000028</v>
      </c>
      <c r="S80" s="26">
        <f t="shared" si="32"/>
        <v>174744.28000000003</v>
      </c>
      <c r="T80" s="26">
        <f t="shared" si="32"/>
        <v>147204.31</v>
      </c>
      <c r="U80" s="26">
        <f t="shared" si="32"/>
        <v>76897.450000000012</v>
      </c>
      <c r="V80" s="26">
        <f t="shared" si="32"/>
        <v>53633.513999999966</v>
      </c>
      <c r="W80" s="26">
        <f t="shared" si="32"/>
        <v>144200.97200000007</v>
      </c>
      <c r="X80" s="26">
        <f t="shared" si="32"/>
        <v>381811.09200000006</v>
      </c>
      <c r="Y80" s="26">
        <f t="shared" si="32"/>
        <v>-187271.23800000001</v>
      </c>
      <c r="Z80" s="26">
        <f t="shared" si="32"/>
        <v>-65770.75</v>
      </c>
      <c r="AA80" s="26">
        <f t="shared" si="32"/>
        <v>77442.200000000012</v>
      </c>
      <c r="AB80" s="26">
        <f t="shared" si="32"/>
        <v>125380.64000000001</v>
      </c>
      <c r="AC80" s="26">
        <f t="shared" ref="AC80:AL80" si="33">AC59-AC76-AC77-AC78-AC79</f>
        <v>56428.25</v>
      </c>
      <c r="AD80" s="26">
        <f t="shared" si="33"/>
        <v>158467.19</v>
      </c>
      <c r="AE80" s="26">
        <f t="shared" si="33"/>
        <v>343624.9</v>
      </c>
      <c r="AF80" s="26">
        <f t="shared" si="33"/>
        <v>384951.89800000004</v>
      </c>
      <c r="AG80" s="26">
        <f t="shared" si="33"/>
        <v>756081.23200000008</v>
      </c>
      <c r="AH80" s="26">
        <f t="shared" si="33"/>
        <v>562090.63</v>
      </c>
      <c r="AI80" s="26">
        <f t="shared" si="33"/>
        <v>-176020</v>
      </c>
      <c r="AJ80" s="26">
        <f t="shared" si="33"/>
        <v>-166350</v>
      </c>
      <c r="AK80" s="26">
        <f t="shared" si="33"/>
        <v>-118038.68</v>
      </c>
      <c r="AL80" s="26">
        <f t="shared" si="33"/>
        <v>-118029.01</v>
      </c>
    </row>
    <row r="81" spans="2:38">
      <c r="B81" s="320" t="s">
        <v>92</v>
      </c>
      <c r="C81" s="321"/>
      <c r="D81" s="326"/>
      <c r="E81" s="29">
        <f>+E80</f>
        <v>-127670</v>
      </c>
      <c r="F81" s="29">
        <f t="shared" ref="F81:AB81" si="34">F80+E81</f>
        <v>-302998.61</v>
      </c>
      <c r="G81" s="29">
        <f t="shared" si="34"/>
        <v>-206069.06</v>
      </c>
      <c r="H81" s="29">
        <f t="shared" si="34"/>
        <v>-115653.93800000002</v>
      </c>
      <c r="I81" s="29">
        <f t="shared" si="34"/>
        <v>46427.811999999976</v>
      </c>
      <c r="J81" s="29">
        <f t="shared" si="34"/>
        <v>465544.56199999998</v>
      </c>
      <c r="K81" s="28">
        <f t="shared" si="34"/>
        <v>572212.06199999992</v>
      </c>
      <c r="L81" s="29">
        <f t="shared" si="34"/>
        <v>743697.81199999992</v>
      </c>
      <c r="M81" s="28">
        <f t="shared" si="34"/>
        <v>1000733.5619999999</v>
      </c>
      <c r="N81" s="29">
        <f t="shared" si="34"/>
        <v>1181196.5619999999</v>
      </c>
      <c r="O81" s="29">
        <f t="shared" si="34"/>
        <v>1360866.0619999999</v>
      </c>
      <c r="P81" s="29">
        <f t="shared" si="34"/>
        <v>1283690.3119999999</v>
      </c>
      <c r="Q81" s="29">
        <f t="shared" si="34"/>
        <v>1702748.0619999999</v>
      </c>
      <c r="R81" s="29">
        <f t="shared" si="34"/>
        <v>1783065.8419999999</v>
      </c>
      <c r="S81" s="29">
        <f t="shared" si="34"/>
        <v>1957810.122</v>
      </c>
      <c r="T81" s="29">
        <f t="shared" si="34"/>
        <v>2105014.432</v>
      </c>
      <c r="U81" s="29">
        <f t="shared" si="34"/>
        <v>2181911.8820000002</v>
      </c>
      <c r="V81" s="29">
        <f t="shared" si="34"/>
        <v>2235545.3960000002</v>
      </c>
      <c r="W81" s="29">
        <f t="shared" si="34"/>
        <v>2379746.3680000002</v>
      </c>
      <c r="X81" s="29">
        <f t="shared" si="34"/>
        <v>2761557.4600000004</v>
      </c>
      <c r="Y81" s="29">
        <f t="shared" si="34"/>
        <v>2574286.2220000005</v>
      </c>
      <c r="Z81" s="29">
        <f t="shared" si="34"/>
        <v>2508515.4720000005</v>
      </c>
      <c r="AA81" s="29">
        <f t="shared" si="34"/>
        <v>2585957.6720000007</v>
      </c>
      <c r="AB81" s="29">
        <f t="shared" si="34"/>
        <v>2711338.3120000008</v>
      </c>
      <c r="AC81" s="29">
        <f t="shared" ref="AC81" si="35">AC80+AB81</f>
        <v>2767766.5620000008</v>
      </c>
      <c r="AD81" s="29">
        <f t="shared" ref="AD81" si="36">AD80+AC81</f>
        <v>2926233.7520000008</v>
      </c>
      <c r="AE81" s="29">
        <f t="shared" ref="AE81" si="37">AE80+AD81</f>
        <v>3269858.6520000007</v>
      </c>
      <c r="AF81" s="29">
        <f t="shared" ref="AF81" si="38">AF80+AE81</f>
        <v>3654810.5500000007</v>
      </c>
      <c r="AG81" s="29">
        <f t="shared" ref="AG81" si="39">AG80+AF81</f>
        <v>4410891.7820000006</v>
      </c>
      <c r="AH81" s="29">
        <f t="shared" ref="AH81" si="40">AH80+AG81</f>
        <v>4972982.4120000005</v>
      </c>
      <c r="AI81" s="29">
        <f t="shared" ref="AI81" si="41">AI80+AH81</f>
        <v>4796962.4120000005</v>
      </c>
      <c r="AJ81" s="29">
        <f t="shared" ref="AJ81" si="42">AJ80+AI81</f>
        <v>4630612.4120000005</v>
      </c>
      <c r="AK81" s="29">
        <f t="shared" ref="AK81" si="43">AK80+AJ81</f>
        <v>4512573.7320000008</v>
      </c>
      <c r="AL81" s="29">
        <f t="shared" ref="AL81" si="44">AL80+AK81</f>
        <v>4394544.722000001</v>
      </c>
    </row>
    <row r="82" spans="2:38">
      <c r="D82" s="258">
        <f>D80/D59</f>
        <v>0.25391606561300045</v>
      </c>
    </row>
    <row r="83" spans="2:38">
      <c r="D83" s="11"/>
    </row>
    <row r="84" spans="2:38">
      <c r="B84" s="30" t="s">
        <v>93</v>
      </c>
      <c r="C84" s="31">
        <f>D41/D26</f>
        <v>0.50980161477399044</v>
      </c>
    </row>
  </sheetData>
  <mergeCells count="6">
    <mergeCell ref="B81:D81"/>
    <mergeCell ref="A26:A38"/>
    <mergeCell ref="A41:A42"/>
    <mergeCell ref="A46:A51"/>
    <mergeCell ref="A53:A57"/>
    <mergeCell ref="B74:C74"/>
  </mergeCells>
  <conditionalFormatting sqref="E81:AL81 B8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BF56-1E3C-40EC-BAAE-64EF6F09BBE2}">
  <dimension ref="A2:AL84"/>
  <sheetViews>
    <sheetView topLeftCell="A18" workbookViewId="0">
      <selection activeCell="D24" sqref="D24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7" max="7" width="9.7109375" customWidth="1"/>
    <col min="8" max="8" width="11.28515625" bestFit="1" customWidth="1"/>
  </cols>
  <sheetData>
    <row r="2" spans="2:38" ht="15.75">
      <c r="B2" s="54" t="s">
        <v>0</v>
      </c>
      <c r="C2" s="109" t="s">
        <v>1</v>
      </c>
    </row>
    <row r="3" spans="2:38" ht="15.75">
      <c r="B3" s="54" t="s">
        <v>2</v>
      </c>
      <c r="C3" s="109">
        <v>2</v>
      </c>
    </row>
    <row r="4" spans="2:38" ht="15.75">
      <c r="B4" s="54" t="s">
        <v>3</v>
      </c>
      <c r="C4" s="110">
        <v>45321</v>
      </c>
    </row>
    <row r="5" spans="2:38" ht="15.75">
      <c r="B5" s="54" t="s">
        <v>4</v>
      </c>
      <c r="C5" s="110"/>
    </row>
    <row r="6" spans="2:38" ht="15.75">
      <c r="B6" s="179" t="s">
        <v>230</v>
      </c>
      <c r="C6" s="110" t="s">
        <v>421</v>
      </c>
    </row>
    <row r="7" spans="2:38" ht="15.75">
      <c r="B7" s="2"/>
      <c r="C7" s="2"/>
    </row>
    <row r="8" spans="2:38" ht="15.75">
      <c r="B8" s="54" t="s">
        <v>5</v>
      </c>
      <c r="D8" s="41" t="s">
        <v>6</v>
      </c>
      <c r="E8" s="42">
        <v>45321</v>
      </c>
      <c r="F8" s="42">
        <v>45322</v>
      </c>
      <c r="G8" s="42">
        <v>45323</v>
      </c>
      <c r="H8" s="42">
        <v>45324</v>
      </c>
      <c r="I8" s="42">
        <v>45325</v>
      </c>
      <c r="J8" s="42">
        <v>45326</v>
      </c>
      <c r="K8" s="42">
        <v>45327</v>
      </c>
      <c r="L8" s="42">
        <v>45328</v>
      </c>
      <c r="M8" s="42">
        <v>45329</v>
      </c>
      <c r="N8" s="42">
        <v>45330</v>
      </c>
      <c r="O8" s="42">
        <v>45331</v>
      </c>
      <c r="P8" s="42">
        <v>45332</v>
      </c>
      <c r="Q8" s="42">
        <v>45333</v>
      </c>
      <c r="R8" s="42">
        <v>45334</v>
      </c>
      <c r="S8" s="42">
        <v>45335</v>
      </c>
      <c r="T8" s="42">
        <v>45336</v>
      </c>
      <c r="U8" s="42">
        <v>45337</v>
      </c>
      <c r="V8" s="42">
        <v>45338</v>
      </c>
      <c r="W8" s="42">
        <v>45339</v>
      </c>
      <c r="X8" s="42">
        <v>45340</v>
      </c>
      <c r="Y8" s="42">
        <v>45341</v>
      </c>
      <c r="Z8" s="42">
        <v>45342</v>
      </c>
      <c r="AA8" s="42">
        <v>45343</v>
      </c>
      <c r="AB8" s="42">
        <v>45344</v>
      </c>
      <c r="AC8" s="42">
        <v>45345</v>
      </c>
      <c r="AD8" s="42">
        <v>45346</v>
      </c>
      <c r="AE8" s="42">
        <v>45347</v>
      </c>
      <c r="AF8" s="42">
        <v>45348</v>
      </c>
      <c r="AG8" s="42">
        <v>45349</v>
      </c>
      <c r="AH8" s="42">
        <v>45350</v>
      </c>
      <c r="AI8" s="42">
        <v>45351</v>
      </c>
      <c r="AJ8" s="42">
        <v>45352</v>
      </c>
      <c r="AK8" s="42">
        <v>45353</v>
      </c>
      <c r="AL8" s="42">
        <v>45354</v>
      </c>
    </row>
    <row r="9" spans="2:38">
      <c r="B9" s="46" t="s">
        <v>7</v>
      </c>
      <c r="C9" s="47" t="s">
        <v>8</v>
      </c>
      <c r="D9" s="71">
        <f t="shared" ref="D9:D10" si="0">SUM(E9:AL9)</f>
        <v>321</v>
      </c>
      <c r="E9" s="114">
        <v>0</v>
      </c>
      <c r="F9" s="114">
        <v>6</v>
      </c>
      <c r="G9" s="114">
        <v>6</v>
      </c>
      <c r="H9" s="114">
        <v>10</v>
      </c>
      <c r="I9" s="114">
        <v>10</v>
      </c>
      <c r="J9" s="114">
        <v>19</v>
      </c>
      <c r="K9" s="114">
        <v>16</v>
      </c>
      <c r="L9" s="114">
        <v>14</v>
      </c>
      <c r="M9" s="114">
        <v>15</v>
      </c>
      <c r="N9" s="114">
        <v>15</v>
      </c>
      <c r="O9" s="114">
        <v>19</v>
      </c>
      <c r="P9" s="114">
        <v>17</v>
      </c>
      <c r="Q9" s="114">
        <v>15</v>
      </c>
      <c r="R9" s="114">
        <v>13</v>
      </c>
      <c r="S9" s="114">
        <v>17</v>
      </c>
      <c r="T9" s="114">
        <v>8</v>
      </c>
      <c r="U9" s="114">
        <v>19</v>
      </c>
      <c r="V9" s="114">
        <v>10</v>
      </c>
      <c r="W9" s="114">
        <v>10</v>
      </c>
      <c r="X9" s="114">
        <v>14</v>
      </c>
      <c r="Y9" s="114">
        <v>9</v>
      </c>
      <c r="Z9" s="114">
        <v>15</v>
      </c>
      <c r="AA9" s="114">
        <v>17</v>
      </c>
      <c r="AB9" s="114">
        <v>15</v>
      </c>
      <c r="AC9" s="114">
        <v>12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</row>
    <row r="10" spans="2:38">
      <c r="B10" s="48" t="s">
        <v>9</v>
      </c>
      <c r="C10" s="38" t="s">
        <v>8</v>
      </c>
      <c r="D10" s="71">
        <f t="shared" si="0"/>
        <v>53</v>
      </c>
      <c r="E10" s="115">
        <v>18</v>
      </c>
      <c r="F10" s="115">
        <v>18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3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12</v>
      </c>
      <c r="U10" s="115">
        <v>2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</row>
    <row r="11" spans="2:38">
      <c r="B11" s="48" t="s">
        <v>10</v>
      </c>
      <c r="C11" s="38" t="s">
        <v>8</v>
      </c>
      <c r="D11" s="71">
        <f>SUM(E11:AL11)</f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</row>
    <row r="12" spans="2:38">
      <c r="B12" s="48" t="s">
        <v>11</v>
      </c>
      <c r="C12" s="38" t="s">
        <v>8</v>
      </c>
      <c r="D12" s="71">
        <f t="shared" ref="D12:D15" si="1">SUM(E12:AL12)</f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</row>
    <row r="13" spans="2:38">
      <c r="B13" s="48" t="s">
        <v>12</v>
      </c>
      <c r="C13" s="38" t="s">
        <v>8</v>
      </c>
      <c r="D13" s="71">
        <f t="shared" si="1"/>
        <v>2</v>
      </c>
      <c r="E13" s="115">
        <v>2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</row>
    <row r="14" spans="2:38">
      <c r="B14" s="48" t="s">
        <v>13</v>
      </c>
      <c r="C14" s="38" t="s">
        <v>8</v>
      </c>
      <c r="D14" s="71">
        <f t="shared" si="1"/>
        <v>4</v>
      </c>
      <c r="E14" s="115">
        <v>4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</row>
    <row r="15" spans="2:38">
      <c r="B15" s="49" t="s">
        <v>14</v>
      </c>
      <c r="C15" s="40" t="s">
        <v>8</v>
      </c>
      <c r="D15" s="71">
        <f t="shared" si="1"/>
        <v>219</v>
      </c>
      <c r="E15" s="116">
        <v>0</v>
      </c>
      <c r="F15" s="116">
        <v>0</v>
      </c>
      <c r="G15" s="116">
        <v>18</v>
      </c>
      <c r="H15" s="116">
        <v>14</v>
      </c>
      <c r="I15" s="116">
        <v>14</v>
      </c>
      <c r="J15" s="116">
        <v>5</v>
      </c>
      <c r="K15" s="116">
        <v>8</v>
      </c>
      <c r="L15" s="116">
        <v>10</v>
      </c>
      <c r="M15" s="116">
        <v>6</v>
      </c>
      <c r="N15" s="116">
        <v>9</v>
      </c>
      <c r="O15" s="116">
        <v>4</v>
      </c>
      <c r="P15" s="116">
        <v>7</v>
      </c>
      <c r="Q15" s="116">
        <v>9</v>
      </c>
      <c r="R15" s="116">
        <v>11</v>
      </c>
      <c r="S15" s="116">
        <v>7</v>
      </c>
      <c r="T15" s="116">
        <v>4</v>
      </c>
      <c r="U15" s="116">
        <v>3</v>
      </c>
      <c r="V15" s="116">
        <v>14</v>
      </c>
      <c r="W15" s="116">
        <v>14</v>
      </c>
      <c r="X15" s="116">
        <v>10</v>
      </c>
      <c r="Y15" s="116">
        <v>15</v>
      </c>
      <c r="Z15" s="116">
        <v>9</v>
      </c>
      <c r="AA15" s="116">
        <v>7</v>
      </c>
      <c r="AB15" s="116">
        <v>9</v>
      </c>
      <c r="AC15" s="116">
        <v>12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</row>
    <row r="16" spans="2:38">
      <c r="B16" s="68" t="s">
        <v>15</v>
      </c>
      <c r="C16" s="69" t="s">
        <v>8</v>
      </c>
      <c r="D16" s="70">
        <f t="shared" ref="D16" si="2">SUM(E16:K16)</f>
        <v>168</v>
      </c>
      <c r="E16" s="117">
        <f t="shared" ref="E16:AL16" si="3">SUM(E9:E15)</f>
        <v>24</v>
      </c>
      <c r="F16" s="117">
        <f t="shared" si="3"/>
        <v>24</v>
      </c>
      <c r="G16" s="117">
        <f t="shared" si="3"/>
        <v>24</v>
      </c>
      <c r="H16" s="117">
        <f t="shared" si="3"/>
        <v>24</v>
      </c>
      <c r="I16" s="117">
        <f t="shared" si="3"/>
        <v>24</v>
      </c>
      <c r="J16" s="117">
        <f t="shared" si="3"/>
        <v>24</v>
      </c>
      <c r="K16" s="117">
        <f t="shared" si="3"/>
        <v>24</v>
      </c>
      <c r="L16" s="117">
        <f t="shared" si="3"/>
        <v>24</v>
      </c>
      <c r="M16" s="117">
        <f t="shared" si="3"/>
        <v>24</v>
      </c>
      <c r="N16" s="117">
        <f t="shared" si="3"/>
        <v>24</v>
      </c>
      <c r="O16" s="117">
        <f t="shared" si="3"/>
        <v>23</v>
      </c>
      <c r="P16" s="117">
        <f t="shared" si="3"/>
        <v>24</v>
      </c>
      <c r="Q16" s="117">
        <f t="shared" si="3"/>
        <v>24</v>
      </c>
      <c r="R16" s="117">
        <f t="shared" si="3"/>
        <v>24</v>
      </c>
      <c r="S16" s="117">
        <f t="shared" si="3"/>
        <v>24</v>
      </c>
      <c r="T16" s="117">
        <f t="shared" si="3"/>
        <v>24</v>
      </c>
      <c r="U16" s="117">
        <f t="shared" si="3"/>
        <v>24</v>
      </c>
      <c r="V16" s="117">
        <f t="shared" si="3"/>
        <v>24</v>
      </c>
      <c r="W16" s="117">
        <f t="shared" si="3"/>
        <v>24</v>
      </c>
      <c r="X16" s="117">
        <f t="shared" si="3"/>
        <v>24</v>
      </c>
      <c r="Y16" s="117">
        <f t="shared" si="3"/>
        <v>24</v>
      </c>
      <c r="Z16" s="117">
        <f t="shared" si="3"/>
        <v>24</v>
      </c>
      <c r="AA16" s="117">
        <f t="shared" si="3"/>
        <v>24</v>
      </c>
      <c r="AB16" s="117">
        <f t="shared" si="3"/>
        <v>24</v>
      </c>
      <c r="AC16" s="117">
        <f t="shared" si="3"/>
        <v>24</v>
      </c>
      <c r="AD16" s="117">
        <f t="shared" si="3"/>
        <v>0</v>
      </c>
      <c r="AE16" s="117">
        <f t="shared" si="3"/>
        <v>0</v>
      </c>
      <c r="AF16" s="117">
        <f t="shared" si="3"/>
        <v>0</v>
      </c>
      <c r="AG16" s="117">
        <f t="shared" si="3"/>
        <v>0</v>
      </c>
      <c r="AH16" s="117">
        <f t="shared" si="3"/>
        <v>0</v>
      </c>
      <c r="AI16" s="117">
        <f t="shared" si="3"/>
        <v>0</v>
      </c>
      <c r="AJ16" s="117">
        <f t="shared" si="3"/>
        <v>0</v>
      </c>
      <c r="AK16" s="117">
        <f t="shared" si="3"/>
        <v>0</v>
      </c>
      <c r="AL16" s="117">
        <f t="shared" si="3"/>
        <v>0</v>
      </c>
    </row>
    <row r="18" spans="1:38">
      <c r="B18" s="50" t="s">
        <v>16</v>
      </c>
      <c r="C18" s="50" t="s">
        <v>0</v>
      </c>
      <c r="D18" s="58">
        <f>SUM(E18:K18)</f>
        <v>0</v>
      </c>
      <c r="E18" s="226">
        <v>0</v>
      </c>
      <c r="F18" s="127">
        <v>0</v>
      </c>
      <c r="G18" s="127">
        <v>0</v>
      </c>
      <c r="H18" s="127" t="s">
        <v>422</v>
      </c>
      <c r="I18" s="127" t="s">
        <v>422</v>
      </c>
      <c r="J18" s="127" t="s">
        <v>423</v>
      </c>
      <c r="K18" s="127" t="s">
        <v>423</v>
      </c>
      <c r="L18" s="127" t="s">
        <v>285</v>
      </c>
      <c r="M18" s="127" t="s">
        <v>423</v>
      </c>
      <c r="N18" s="127" t="s">
        <v>345</v>
      </c>
      <c r="O18" s="127" t="s">
        <v>119</v>
      </c>
      <c r="P18" s="127" t="s">
        <v>119</v>
      </c>
      <c r="Q18" s="127" t="s">
        <v>285</v>
      </c>
      <c r="R18" s="127" t="s">
        <v>424</v>
      </c>
      <c r="S18" s="127" t="s">
        <v>425</v>
      </c>
      <c r="T18" s="127" t="s">
        <v>426</v>
      </c>
      <c r="U18" s="127" t="s">
        <v>427</v>
      </c>
      <c r="V18" s="127" t="s">
        <v>427</v>
      </c>
      <c r="W18" s="127" t="s">
        <v>427</v>
      </c>
      <c r="X18" s="127" t="s">
        <v>428</v>
      </c>
      <c r="Y18" s="127" t="s">
        <v>429</v>
      </c>
      <c r="Z18" s="127" t="s">
        <v>429</v>
      </c>
      <c r="AA18" s="127" t="s">
        <v>428</v>
      </c>
      <c r="AB18" s="127" t="s">
        <v>428</v>
      </c>
      <c r="AC18" s="127" t="s">
        <v>428</v>
      </c>
      <c r="AD18" s="127">
        <v>0</v>
      </c>
      <c r="AE18" s="127">
        <v>0</v>
      </c>
      <c r="AF18" s="127">
        <v>0</v>
      </c>
      <c r="AG18" s="127">
        <v>0</v>
      </c>
      <c r="AH18" s="127">
        <v>0</v>
      </c>
      <c r="AI18" s="127">
        <v>0</v>
      </c>
      <c r="AJ18" s="127">
        <v>0</v>
      </c>
      <c r="AK18" s="127">
        <v>0</v>
      </c>
      <c r="AL18" s="196">
        <v>0</v>
      </c>
    </row>
    <row r="19" spans="1:38">
      <c r="B19" s="37" t="s">
        <v>31</v>
      </c>
      <c r="C19" s="37" t="s">
        <v>32</v>
      </c>
      <c r="D19" s="131">
        <f>SUM(E19:AB19)</f>
        <v>270</v>
      </c>
      <c r="E19" s="126">
        <v>0</v>
      </c>
      <c r="F19" s="128">
        <v>6</v>
      </c>
      <c r="G19" s="128" t="s">
        <v>430</v>
      </c>
      <c r="H19" s="128">
        <v>10</v>
      </c>
      <c r="I19" s="128">
        <v>10</v>
      </c>
      <c r="J19" s="128">
        <v>19</v>
      </c>
      <c r="K19" s="128">
        <v>16</v>
      </c>
      <c r="L19" s="128">
        <v>0</v>
      </c>
      <c r="M19" s="128">
        <v>15</v>
      </c>
      <c r="N19" s="128">
        <v>15</v>
      </c>
      <c r="O19" s="128">
        <v>19</v>
      </c>
      <c r="P19" s="128">
        <v>17</v>
      </c>
      <c r="Q19" s="128">
        <v>15</v>
      </c>
      <c r="R19" s="128">
        <v>13</v>
      </c>
      <c r="S19" s="128">
        <v>17</v>
      </c>
      <c r="T19" s="128">
        <v>8</v>
      </c>
      <c r="U19" s="128">
        <v>0</v>
      </c>
      <c r="V19" s="128">
        <v>10</v>
      </c>
      <c r="W19" s="128">
        <v>10</v>
      </c>
      <c r="X19" s="128">
        <v>14</v>
      </c>
      <c r="Y19" s="128">
        <v>9</v>
      </c>
      <c r="Z19" s="128">
        <v>15</v>
      </c>
      <c r="AA19" s="128">
        <v>17</v>
      </c>
      <c r="AB19" s="128">
        <v>15</v>
      </c>
      <c r="AC19" s="128">
        <v>12</v>
      </c>
      <c r="AD19" s="128">
        <v>0</v>
      </c>
      <c r="AE19" s="128">
        <v>0</v>
      </c>
      <c r="AF19" s="128">
        <v>0</v>
      </c>
      <c r="AG19" s="128">
        <v>0</v>
      </c>
      <c r="AH19" s="128">
        <v>0</v>
      </c>
      <c r="AI19" s="128">
        <v>0</v>
      </c>
      <c r="AJ19" s="128">
        <v>0</v>
      </c>
      <c r="AK19" s="128">
        <v>0</v>
      </c>
      <c r="AL19" s="197">
        <v>0</v>
      </c>
    </row>
    <row r="20" spans="1:38">
      <c r="B20" s="37" t="s">
        <v>35</v>
      </c>
      <c r="C20" s="37" t="s">
        <v>36</v>
      </c>
      <c r="D20" s="131">
        <f>SUM(E20:AB20)</f>
        <v>56</v>
      </c>
      <c r="E20" s="126">
        <v>0</v>
      </c>
      <c r="F20" s="128">
        <v>1</v>
      </c>
      <c r="G20" s="128">
        <v>2</v>
      </c>
      <c r="H20" s="128">
        <v>2</v>
      </c>
      <c r="I20" s="128">
        <v>2</v>
      </c>
      <c r="J20" s="128">
        <v>3</v>
      </c>
      <c r="K20" s="128">
        <v>4</v>
      </c>
      <c r="L20" s="128">
        <v>3</v>
      </c>
      <c r="M20" s="128">
        <v>3</v>
      </c>
      <c r="N20" s="128">
        <v>3</v>
      </c>
      <c r="O20" s="128">
        <v>4</v>
      </c>
      <c r="P20" s="128">
        <v>3</v>
      </c>
      <c r="Q20" s="128">
        <v>3</v>
      </c>
      <c r="R20" s="128">
        <v>3</v>
      </c>
      <c r="S20" s="128">
        <v>0</v>
      </c>
      <c r="T20" s="128">
        <v>0</v>
      </c>
      <c r="U20" s="128">
        <v>3</v>
      </c>
      <c r="V20" s="128">
        <v>3</v>
      </c>
      <c r="W20" s="128">
        <v>2</v>
      </c>
      <c r="X20" s="128">
        <v>2</v>
      </c>
      <c r="Y20" s="128">
        <v>2</v>
      </c>
      <c r="Z20" s="128">
        <v>3</v>
      </c>
      <c r="AA20" s="128">
        <v>3</v>
      </c>
      <c r="AB20" s="128">
        <v>2</v>
      </c>
      <c r="AC20" s="128">
        <v>2</v>
      </c>
      <c r="AD20" s="128">
        <v>0</v>
      </c>
      <c r="AE20" s="128">
        <v>0</v>
      </c>
      <c r="AF20" s="128">
        <v>0</v>
      </c>
      <c r="AG20" s="128">
        <v>0</v>
      </c>
      <c r="AH20" s="128">
        <v>0</v>
      </c>
      <c r="AI20" s="128">
        <v>0</v>
      </c>
      <c r="AJ20" s="128">
        <v>0</v>
      </c>
      <c r="AK20" s="128">
        <v>0</v>
      </c>
      <c r="AL20" s="197">
        <v>0</v>
      </c>
    </row>
    <row r="21" spans="1:38">
      <c r="B21" s="39" t="s">
        <v>37</v>
      </c>
      <c r="C21" s="39" t="s">
        <v>38</v>
      </c>
      <c r="D21" s="67">
        <f>SUM(E21:K21)</f>
        <v>0</v>
      </c>
      <c r="E21" s="160">
        <v>0</v>
      </c>
      <c r="F21" s="225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  <c r="R21" s="225">
        <v>0</v>
      </c>
      <c r="S21" s="225">
        <v>0</v>
      </c>
      <c r="T21" s="225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225">
        <v>0</v>
      </c>
      <c r="AA21" s="225">
        <v>0</v>
      </c>
      <c r="AB21" s="225">
        <v>0</v>
      </c>
      <c r="AC21" s="22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25">
        <v>0</v>
      </c>
      <c r="AJ21" s="225">
        <v>0</v>
      </c>
      <c r="AK21" s="225">
        <v>0</v>
      </c>
      <c r="AL21" s="57">
        <v>0</v>
      </c>
    </row>
    <row r="22" spans="1:38">
      <c r="B22" s="39" t="s">
        <v>41</v>
      </c>
      <c r="C22" s="39" t="s">
        <v>42</v>
      </c>
      <c r="D22" s="130"/>
      <c r="E22" s="57"/>
      <c r="F22" s="57">
        <v>6</v>
      </c>
      <c r="G22" s="57">
        <v>6</v>
      </c>
      <c r="H22" s="57">
        <v>7</v>
      </c>
      <c r="I22" s="57">
        <v>7</v>
      </c>
      <c r="J22" s="57">
        <v>7</v>
      </c>
      <c r="K22" s="57">
        <v>7</v>
      </c>
      <c r="L22" s="57">
        <v>6</v>
      </c>
      <c r="M22" s="57">
        <v>6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4" spans="1:38">
      <c r="B24" s="167" t="s">
        <v>43</v>
      </c>
      <c r="C24" s="168">
        <f>D26/D19</f>
        <v>2655.114814814815</v>
      </c>
    </row>
    <row r="25" spans="1:38">
      <c r="D25" s="10"/>
    </row>
    <row r="26" spans="1:38">
      <c r="A26" s="312" t="s">
        <v>44</v>
      </c>
      <c r="B26" s="35" t="s">
        <v>45</v>
      </c>
      <c r="C26" s="35"/>
      <c r="D26" s="175">
        <f>SUM(E26:AL26)</f>
        <v>716881</v>
      </c>
      <c r="E26" s="75">
        <f t="shared" ref="E26:AL26" si="4">SUM(E27:E38)</f>
        <v>0</v>
      </c>
      <c r="F26" s="175">
        <f t="shared" si="4"/>
        <v>16833</v>
      </c>
      <c r="G26" s="75">
        <f>SUM(G27:G38)</f>
        <v>24687</v>
      </c>
      <c r="H26" s="175">
        <f t="shared" si="4"/>
        <v>17628</v>
      </c>
      <c r="I26" s="75">
        <f t="shared" si="4"/>
        <v>26869</v>
      </c>
      <c r="J26" s="175">
        <f t="shared" si="4"/>
        <v>25206</v>
      </c>
      <c r="K26" s="75">
        <f t="shared" si="4"/>
        <v>43683</v>
      </c>
      <c r="L26" s="175">
        <f t="shared" si="4"/>
        <v>31306</v>
      </c>
      <c r="M26" s="75">
        <f t="shared" si="4"/>
        <v>31888</v>
      </c>
      <c r="N26" s="175">
        <f t="shared" si="4"/>
        <v>29742</v>
      </c>
      <c r="O26" s="75">
        <f t="shared" si="4"/>
        <v>43208</v>
      </c>
      <c r="P26" s="175">
        <f t="shared" si="4"/>
        <v>58786</v>
      </c>
      <c r="Q26" s="75">
        <f t="shared" si="4"/>
        <v>31528</v>
      </c>
      <c r="R26" s="175">
        <f t="shared" si="4"/>
        <v>41125</v>
      </c>
      <c r="S26" s="75">
        <f t="shared" si="4"/>
        <v>43617</v>
      </c>
      <c r="T26" s="175">
        <f t="shared" si="4"/>
        <v>13212</v>
      </c>
      <c r="U26" s="75">
        <f t="shared" si="4"/>
        <v>11523</v>
      </c>
      <c r="V26" s="175">
        <f t="shared" si="4"/>
        <v>37214</v>
      </c>
      <c r="W26" s="75">
        <f t="shared" si="4"/>
        <v>36823</v>
      </c>
      <c r="X26" s="175">
        <f t="shared" si="4"/>
        <v>29508</v>
      </c>
      <c r="Y26" s="75">
        <f t="shared" si="4"/>
        <v>14398</v>
      </c>
      <c r="Z26" s="175">
        <f t="shared" si="4"/>
        <v>29962</v>
      </c>
      <c r="AA26" s="75">
        <f t="shared" si="4"/>
        <v>10603</v>
      </c>
      <c r="AB26" s="175">
        <f t="shared" si="4"/>
        <v>36000</v>
      </c>
      <c r="AC26" s="175">
        <f t="shared" si="4"/>
        <v>31532</v>
      </c>
      <c r="AD26" s="175">
        <f t="shared" si="4"/>
        <v>0</v>
      </c>
      <c r="AE26" s="175">
        <f t="shared" si="4"/>
        <v>0</v>
      </c>
      <c r="AF26" s="175">
        <f t="shared" si="4"/>
        <v>0</v>
      </c>
      <c r="AG26" s="175">
        <f t="shared" si="4"/>
        <v>0</v>
      </c>
      <c r="AH26" s="175">
        <f t="shared" si="4"/>
        <v>0</v>
      </c>
      <c r="AI26" s="175">
        <f t="shared" si="4"/>
        <v>0</v>
      </c>
      <c r="AJ26" s="175">
        <f t="shared" si="4"/>
        <v>0</v>
      </c>
      <c r="AK26" s="175">
        <f t="shared" si="4"/>
        <v>0</v>
      </c>
      <c r="AL26" s="175">
        <f t="shared" si="4"/>
        <v>0</v>
      </c>
    </row>
    <row r="27" spans="1:38">
      <c r="A27" s="313"/>
      <c r="B27" s="37" t="s">
        <v>47</v>
      </c>
      <c r="C27" s="38" t="s">
        <v>48</v>
      </c>
      <c r="D27" s="73">
        <f>SUM(E27:AL27)</f>
        <v>224804</v>
      </c>
      <c r="E27" s="55">
        <v>0</v>
      </c>
      <c r="F27" s="55">
        <v>3753</v>
      </c>
      <c r="G27" s="55">
        <v>6384</v>
      </c>
      <c r="H27" s="55">
        <v>7835</v>
      </c>
      <c r="I27" s="55">
        <v>11628</v>
      </c>
      <c r="J27" s="55">
        <v>9935</v>
      </c>
      <c r="K27" s="55">
        <v>16950</v>
      </c>
      <c r="L27" s="55">
        <v>9452</v>
      </c>
      <c r="M27" s="55">
        <v>18474</v>
      </c>
      <c r="N27" s="55">
        <v>15764</v>
      </c>
      <c r="O27" s="55">
        <v>27732</v>
      </c>
      <c r="P27" s="55">
        <v>33286</v>
      </c>
      <c r="Q27" s="55">
        <v>14106</v>
      </c>
      <c r="R27" s="55">
        <v>23251</v>
      </c>
      <c r="S27" s="55">
        <v>21578</v>
      </c>
      <c r="T27" s="55">
        <v>4676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</row>
    <row r="28" spans="1:38">
      <c r="A28" s="313"/>
      <c r="B28" s="37" t="s">
        <v>49</v>
      </c>
      <c r="C28" s="38" t="s">
        <v>48</v>
      </c>
      <c r="D28" s="73">
        <f>SUM(E28:AL28)</f>
        <v>100339</v>
      </c>
      <c r="E28" s="55">
        <v>0</v>
      </c>
      <c r="F28" s="55">
        <v>1747</v>
      </c>
      <c r="G28" s="55">
        <v>4176</v>
      </c>
      <c r="H28" s="55">
        <v>4608</v>
      </c>
      <c r="I28" s="55">
        <v>3648</v>
      </c>
      <c r="J28" s="55">
        <v>4368</v>
      </c>
      <c r="K28" s="55">
        <v>8112</v>
      </c>
      <c r="L28" s="55">
        <v>6720</v>
      </c>
      <c r="M28" s="55">
        <v>1872</v>
      </c>
      <c r="N28" s="55">
        <v>288</v>
      </c>
      <c r="O28" s="55">
        <v>4992</v>
      </c>
      <c r="P28" s="55">
        <v>18240</v>
      </c>
      <c r="Q28" s="55">
        <v>12288</v>
      </c>
      <c r="R28" s="55">
        <v>9744</v>
      </c>
      <c r="S28" s="55">
        <v>10560</v>
      </c>
      <c r="T28" s="55">
        <v>3552</v>
      </c>
      <c r="U28" s="55">
        <v>0</v>
      </c>
      <c r="V28" s="55">
        <v>0</v>
      </c>
      <c r="W28" s="55">
        <v>0</v>
      </c>
      <c r="X28" s="55">
        <v>1632</v>
      </c>
      <c r="Y28" s="55">
        <v>1104</v>
      </c>
      <c r="Z28" s="55">
        <v>1488</v>
      </c>
      <c r="AA28" s="55">
        <v>0</v>
      </c>
      <c r="AB28" s="55">
        <v>672</v>
      </c>
      <c r="AC28" s="55">
        <v>528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</row>
    <row r="29" spans="1:38">
      <c r="A29" s="313"/>
      <c r="B29" s="37" t="s">
        <v>50</v>
      </c>
      <c r="C29" s="38" t="s">
        <v>48</v>
      </c>
      <c r="D29" s="73">
        <f t="shared" ref="D29:D38" si="5">SUM(E29:AL29)</f>
        <v>120724</v>
      </c>
      <c r="E29" s="55">
        <v>0</v>
      </c>
      <c r="F29" s="55">
        <v>11333</v>
      </c>
      <c r="G29" s="55">
        <v>13219</v>
      </c>
      <c r="H29" s="55">
        <v>5185</v>
      </c>
      <c r="I29" s="55">
        <v>10190</v>
      </c>
      <c r="J29" s="55">
        <v>9447</v>
      </c>
      <c r="K29" s="55">
        <v>17539</v>
      </c>
      <c r="L29" s="55">
        <v>11788</v>
      </c>
      <c r="M29" s="55">
        <v>7720</v>
      </c>
      <c r="N29" s="55">
        <v>11582</v>
      </c>
      <c r="O29" s="55">
        <v>9668</v>
      </c>
      <c r="P29" s="55">
        <v>5128</v>
      </c>
      <c r="Q29" s="55">
        <v>1878</v>
      </c>
      <c r="R29" s="55">
        <v>4036</v>
      </c>
      <c r="S29" s="55">
        <v>1689</v>
      </c>
      <c r="T29" s="55">
        <v>322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</row>
    <row r="30" spans="1:38">
      <c r="A30" s="313"/>
      <c r="B30" s="37" t="s">
        <v>51</v>
      </c>
      <c r="C30" s="38" t="s">
        <v>48</v>
      </c>
      <c r="D30" s="73">
        <f t="shared" si="5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</row>
    <row r="31" spans="1:38">
      <c r="A31" s="313"/>
      <c r="B31" s="37" t="s">
        <v>52</v>
      </c>
      <c r="C31" s="38" t="s">
        <v>48</v>
      </c>
      <c r="D31" s="73">
        <f t="shared" si="5"/>
        <v>31836</v>
      </c>
      <c r="E31" s="55">
        <v>0</v>
      </c>
      <c r="F31" s="55">
        <v>0</v>
      </c>
      <c r="G31" s="55">
        <v>612</v>
      </c>
      <c r="H31" s="55">
        <v>0</v>
      </c>
      <c r="I31" s="55">
        <v>968</v>
      </c>
      <c r="J31" s="55">
        <v>1020</v>
      </c>
      <c r="K31" s="55">
        <v>1008</v>
      </c>
      <c r="L31" s="55">
        <v>2468</v>
      </c>
      <c r="M31" s="55">
        <v>3764</v>
      </c>
      <c r="N31" s="55">
        <v>1440</v>
      </c>
      <c r="O31" s="55">
        <v>684</v>
      </c>
      <c r="P31" s="55">
        <v>1836</v>
      </c>
      <c r="Q31" s="55">
        <v>2906</v>
      </c>
      <c r="R31" s="55">
        <v>2186</v>
      </c>
      <c r="S31" s="55">
        <v>8472</v>
      </c>
      <c r="T31" s="55">
        <v>4472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</row>
    <row r="32" spans="1:38">
      <c r="A32" s="313"/>
      <c r="B32" s="37" t="s">
        <v>53</v>
      </c>
      <c r="C32" s="38" t="s">
        <v>48</v>
      </c>
      <c r="D32" s="73">
        <f t="shared" si="5"/>
        <v>232139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11523</v>
      </c>
      <c r="V32" s="55">
        <v>37214</v>
      </c>
      <c r="W32" s="55">
        <v>36823</v>
      </c>
      <c r="X32" s="55">
        <v>27876</v>
      </c>
      <c r="Y32" s="55">
        <v>13294</v>
      </c>
      <c r="Z32" s="55">
        <v>28474</v>
      </c>
      <c r="AA32" s="55">
        <v>10603</v>
      </c>
      <c r="AB32" s="55">
        <v>35328</v>
      </c>
      <c r="AC32" s="55">
        <v>31004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</row>
    <row r="33" spans="1:38">
      <c r="A33" s="313"/>
      <c r="B33" s="37" t="s">
        <v>54</v>
      </c>
      <c r="C33" s="38" t="s">
        <v>48</v>
      </c>
      <c r="D33" s="73">
        <f t="shared" si="5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</row>
    <row r="34" spans="1:38">
      <c r="A34" s="313"/>
      <c r="B34" s="37" t="s">
        <v>55</v>
      </c>
      <c r="C34" s="38" t="s">
        <v>48</v>
      </c>
      <c r="D34" s="73">
        <f t="shared" si="5"/>
        <v>3091</v>
      </c>
      <c r="E34" s="55">
        <v>0</v>
      </c>
      <c r="F34" s="55">
        <v>0</v>
      </c>
      <c r="G34" s="55">
        <v>0</v>
      </c>
      <c r="H34" s="55">
        <v>0</v>
      </c>
      <c r="I34" s="55">
        <v>189</v>
      </c>
      <c r="J34" s="55">
        <v>166</v>
      </c>
      <c r="K34" s="55">
        <v>0</v>
      </c>
      <c r="L34" s="55">
        <v>266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1462</v>
      </c>
      <c r="S34" s="55">
        <v>842</v>
      </c>
      <c r="T34" s="55">
        <v>166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</row>
    <row r="35" spans="1:38">
      <c r="A35" s="313"/>
      <c r="B35" s="37" t="s">
        <v>56</v>
      </c>
      <c r="C35" s="38" t="s">
        <v>48</v>
      </c>
      <c r="D35" s="73">
        <f t="shared" si="5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</row>
    <row r="36" spans="1:38">
      <c r="A36" s="313"/>
      <c r="B36" s="37" t="s">
        <v>57</v>
      </c>
      <c r="C36" s="38" t="s">
        <v>48</v>
      </c>
      <c r="D36" s="73">
        <f t="shared" si="5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</row>
    <row r="37" spans="1:38">
      <c r="A37" s="313"/>
      <c r="B37" s="37" t="s">
        <v>58</v>
      </c>
      <c r="C37" s="38" t="s">
        <v>48</v>
      </c>
      <c r="D37" s="73">
        <f t="shared" si="5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</row>
    <row r="38" spans="1:38">
      <c r="A38" s="314"/>
      <c r="B38" s="39" t="s">
        <v>59</v>
      </c>
      <c r="C38" s="40" t="s">
        <v>48</v>
      </c>
      <c r="D38" s="73">
        <f t="shared" si="5"/>
        <v>3948</v>
      </c>
      <c r="E38" s="55">
        <v>0</v>
      </c>
      <c r="F38" s="55">
        <v>0</v>
      </c>
      <c r="G38" s="55">
        <v>296</v>
      </c>
      <c r="H38" s="55">
        <v>0</v>
      </c>
      <c r="I38" s="55">
        <v>246</v>
      </c>
      <c r="J38" s="55">
        <v>270</v>
      </c>
      <c r="K38" s="55">
        <v>74</v>
      </c>
      <c r="L38" s="55">
        <v>612</v>
      </c>
      <c r="M38" s="55">
        <v>58</v>
      </c>
      <c r="N38" s="55">
        <v>668</v>
      </c>
      <c r="O38" s="55">
        <v>132</v>
      </c>
      <c r="P38" s="55">
        <v>296</v>
      </c>
      <c r="Q38" s="55">
        <v>350</v>
      </c>
      <c r="R38" s="55">
        <v>446</v>
      </c>
      <c r="S38" s="55">
        <v>476</v>
      </c>
      <c r="T38" s="55">
        <v>24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0</v>
      </c>
    </row>
    <row r="39" spans="1:38">
      <c r="A39" s="164"/>
      <c r="B39" s="94" t="s">
        <v>149</v>
      </c>
      <c r="C39" s="166"/>
      <c r="D39" s="192">
        <f t="shared" ref="D39:AL39" si="6">D37/D26</f>
        <v>0</v>
      </c>
      <c r="E39" s="262" t="e">
        <f t="shared" si="6"/>
        <v>#DIV/0!</v>
      </c>
      <c r="F39" s="170">
        <f t="shared" si="6"/>
        <v>0</v>
      </c>
      <c r="G39" s="170">
        <f t="shared" si="6"/>
        <v>0</v>
      </c>
      <c r="H39" s="170">
        <f t="shared" si="6"/>
        <v>0</v>
      </c>
      <c r="I39" s="170">
        <f t="shared" si="6"/>
        <v>0</v>
      </c>
      <c r="J39" s="170">
        <f t="shared" si="6"/>
        <v>0</v>
      </c>
      <c r="K39" s="170">
        <f t="shared" si="6"/>
        <v>0</v>
      </c>
      <c r="L39" s="170">
        <f t="shared" si="6"/>
        <v>0</v>
      </c>
      <c r="M39" s="170">
        <f t="shared" si="6"/>
        <v>0</v>
      </c>
      <c r="N39" s="170">
        <f t="shared" si="6"/>
        <v>0</v>
      </c>
      <c r="O39" s="170">
        <f t="shared" si="6"/>
        <v>0</v>
      </c>
      <c r="P39" s="170">
        <f t="shared" si="6"/>
        <v>0</v>
      </c>
      <c r="Q39" s="170">
        <f t="shared" si="6"/>
        <v>0</v>
      </c>
      <c r="R39" s="170">
        <f t="shared" si="6"/>
        <v>0</v>
      </c>
      <c r="S39" s="170">
        <f t="shared" si="6"/>
        <v>0</v>
      </c>
      <c r="T39" s="170">
        <f t="shared" si="6"/>
        <v>0</v>
      </c>
      <c r="U39" s="170">
        <f t="shared" si="6"/>
        <v>0</v>
      </c>
      <c r="V39" s="170">
        <f t="shared" si="6"/>
        <v>0</v>
      </c>
      <c r="W39" s="170">
        <f t="shared" si="6"/>
        <v>0</v>
      </c>
      <c r="X39" s="170">
        <f t="shared" si="6"/>
        <v>0</v>
      </c>
      <c r="Y39" s="170">
        <f t="shared" si="6"/>
        <v>0</v>
      </c>
      <c r="Z39" s="170">
        <f t="shared" si="6"/>
        <v>0</v>
      </c>
      <c r="AA39" s="170">
        <f t="shared" si="6"/>
        <v>0</v>
      </c>
      <c r="AB39" s="170">
        <f t="shared" si="6"/>
        <v>0</v>
      </c>
      <c r="AC39" s="170">
        <f t="shared" si="6"/>
        <v>0</v>
      </c>
      <c r="AD39" s="170" t="e">
        <f t="shared" si="6"/>
        <v>#DIV/0!</v>
      </c>
      <c r="AE39" s="170" t="e">
        <f t="shared" si="6"/>
        <v>#DIV/0!</v>
      </c>
      <c r="AF39" s="170" t="e">
        <f t="shared" si="6"/>
        <v>#DIV/0!</v>
      </c>
      <c r="AG39" s="170" t="e">
        <f t="shared" si="6"/>
        <v>#DIV/0!</v>
      </c>
      <c r="AH39" s="170" t="e">
        <f t="shared" si="6"/>
        <v>#DIV/0!</v>
      </c>
      <c r="AI39" s="170" t="e">
        <f t="shared" si="6"/>
        <v>#DIV/0!</v>
      </c>
      <c r="AJ39" s="170" t="e">
        <f t="shared" si="6"/>
        <v>#DIV/0!</v>
      </c>
      <c r="AK39" s="170" t="e">
        <f t="shared" si="6"/>
        <v>#DIV/0!</v>
      </c>
      <c r="AL39" s="170" t="e">
        <f t="shared" si="6"/>
        <v>#DIV/0!</v>
      </c>
    </row>
    <row r="40" spans="1:38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</row>
    <row r="41" spans="1:38">
      <c r="A41" s="324" t="s">
        <v>60</v>
      </c>
      <c r="B41" s="50" t="s">
        <v>61</v>
      </c>
      <c r="C41" s="91" t="s">
        <v>62</v>
      </c>
      <c r="D41" s="229">
        <f>SUM(E41:AL41)</f>
        <v>302000</v>
      </c>
      <c r="E41" s="86">
        <v>3000</v>
      </c>
      <c r="F41" s="86">
        <v>10000</v>
      </c>
      <c r="G41" s="86">
        <v>10000</v>
      </c>
      <c r="H41" s="86">
        <v>10000</v>
      </c>
      <c r="I41" s="86">
        <v>11000</v>
      </c>
      <c r="J41" s="86">
        <v>13000</v>
      </c>
      <c r="K41" s="86">
        <v>14000</v>
      </c>
      <c r="L41" s="86">
        <v>11000</v>
      </c>
      <c r="M41" s="86">
        <v>12000</v>
      </c>
      <c r="N41" s="86">
        <v>11000</v>
      </c>
      <c r="O41" s="86">
        <v>12000</v>
      </c>
      <c r="P41" s="86">
        <v>13000</v>
      </c>
      <c r="Q41" s="86">
        <v>13000</v>
      </c>
      <c r="R41" s="86">
        <v>12000</v>
      </c>
      <c r="S41" s="86">
        <v>12000</v>
      </c>
      <c r="T41" s="86">
        <v>10000</v>
      </c>
      <c r="U41" s="86">
        <v>9000</v>
      </c>
      <c r="V41" s="86">
        <v>9000</v>
      </c>
      <c r="W41" s="86">
        <v>9000</v>
      </c>
      <c r="X41" s="86">
        <v>8000</v>
      </c>
      <c r="Y41" s="86">
        <v>8000</v>
      </c>
      <c r="Z41" s="86">
        <v>8000</v>
      </c>
      <c r="AA41" s="86">
        <v>8000</v>
      </c>
      <c r="AB41" s="86">
        <v>10000</v>
      </c>
      <c r="AC41" s="86">
        <v>14000</v>
      </c>
      <c r="AD41" s="86">
        <v>16000</v>
      </c>
      <c r="AE41" s="86">
        <v>14000</v>
      </c>
      <c r="AF41" s="86">
        <v>7000</v>
      </c>
      <c r="AG41" s="86">
        <v>5000</v>
      </c>
      <c r="AH41" s="86">
        <v>0</v>
      </c>
      <c r="AI41" s="86">
        <v>0</v>
      </c>
      <c r="AJ41" s="86">
        <v>0</v>
      </c>
      <c r="AK41" s="86">
        <v>0</v>
      </c>
      <c r="AL41" s="86">
        <v>0</v>
      </c>
    </row>
    <row r="42" spans="1:38">
      <c r="A42" s="325"/>
      <c r="B42" s="39" t="s">
        <v>63</v>
      </c>
      <c r="C42" s="92" t="s">
        <v>62</v>
      </c>
      <c r="D42" s="230">
        <f>SUM(E42:AL42)</f>
        <v>400</v>
      </c>
      <c r="E42" s="87">
        <v>200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200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  <c r="AI42" s="87">
        <v>0</v>
      </c>
      <c r="AJ42" s="87">
        <v>0</v>
      </c>
      <c r="AK42" s="87">
        <v>0</v>
      </c>
      <c r="AL42" s="87">
        <v>0</v>
      </c>
    </row>
    <row r="44" spans="1:38">
      <c r="B44" s="167" t="s">
        <v>240</v>
      </c>
      <c r="C44" s="184" t="s">
        <v>241</v>
      </c>
      <c r="D44" s="187">
        <f>D41/D26</f>
        <v>0.4212693599077113</v>
      </c>
      <c r="E44" s="185" t="e">
        <f t="shared" ref="E44:AL44" si="7">E41/E26</f>
        <v>#DIV/0!</v>
      </c>
      <c r="F44" s="188">
        <f t="shared" si="7"/>
        <v>0.59407116972613316</v>
      </c>
      <c r="G44" s="186">
        <f t="shared" si="7"/>
        <v>0.40507149511888846</v>
      </c>
      <c r="H44" s="188">
        <f t="shared" si="7"/>
        <v>0.56727932834127526</v>
      </c>
      <c r="I44" s="186">
        <f t="shared" si="7"/>
        <v>0.40939372511072242</v>
      </c>
      <c r="J44" s="188">
        <f t="shared" si="7"/>
        <v>0.51575021820201539</v>
      </c>
      <c r="K44" s="186">
        <f t="shared" si="7"/>
        <v>0.32049080878144814</v>
      </c>
      <c r="L44" s="188">
        <f t="shared" si="7"/>
        <v>0.35137034434293746</v>
      </c>
      <c r="M44" s="186">
        <f t="shared" si="7"/>
        <v>0.3763171098845961</v>
      </c>
      <c r="N44" s="188">
        <f t="shared" si="7"/>
        <v>0.36984735391029522</v>
      </c>
      <c r="O44" s="186">
        <f t="shared" si="7"/>
        <v>0.27772634697278281</v>
      </c>
      <c r="P44" s="188">
        <f t="shared" si="7"/>
        <v>0.22114108801415303</v>
      </c>
      <c r="Q44" s="186">
        <f t="shared" si="7"/>
        <v>0.41233189545800558</v>
      </c>
      <c r="R44" s="188">
        <f t="shared" si="7"/>
        <v>0.2917933130699088</v>
      </c>
      <c r="S44" s="186">
        <f t="shared" si="7"/>
        <v>0.2751220854254075</v>
      </c>
      <c r="T44" s="188">
        <f t="shared" si="7"/>
        <v>0.75688767786860434</v>
      </c>
      <c r="U44" s="186">
        <f t="shared" si="7"/>
        <v>0.7810466024472793</v>
      </c>
      <c r="V44" s="188">
        <f t="shared" si="7"/>
        <v>0.24184446713602409</v>
      </c>
      <c r="W44" s="186">
        <f t="shared" si="7"/>
        <v>0.24441245960405181</v>
      </c>
      <c r="X44" s="188">
        <f t="shared" si="7"/>
        <v>0.27111291853056796</v>
      </c>
      <c r="Y44" s="186">
        <f t="shared" si="7"/>
        <v>0.55563272676760667</v>
      </c>
      <c r="Z44" s="188">
        <f t="shared" si="7"/>
        <v>0.26700487283892932</v>
      </c>
      <c r="AA44" s="186">
        <f t="shared" si="7"/>
        <v>0.75450344242195611</v>
      </c>
      <c r="AB44" s="188">
        <f t="shared" si="7"/>
        <v>0.27777777777777779</v>
      </c>
      <c r="AC44" s="188">
        <f t="shared" si="7"/>
        <v>0.44399340352657618</v>
      </c>
      <c r="AD44" s="188" t="e">
        <f t="shared" si="7"/>
        <v>#DIV/0!</v>
      </c>
      <c r="AE44" s="188" t="e">
        <f t="shared" si="7"/>
        <v>#DIV/0!</v>
      </c>
      <c r="AF44" s="188" t="e">
        <f t="shared" si="7"/>
        <v>#DIV/0!</v>
      </c>
      <c r="AG44" s="188" t="e">
        <f t="shared" si="7"/>
        <v>#DIV/0!</v>
      </c>
      <c r="AH44" s="188" t="e">
        <f t="shared" si="7"/>
        <v>#DIV/0!</v>
      </c>
      <c r="AI44" s="188" t="e">
        <f t="shared" si="7"/>
        <v>#DIV/0!</v>
      </c>
      <c r="AJ44" s="188" t="e">
        <f t="shared" si="7"/>
        <v>#DIV/0!</v>
      </c>
      <c r="AK44" s="188" t="e">
        <f t="shared" si="7"/>
        <v>#DIV/0!</v>
      </c>
      <c r="AL44" s="188" t="e">
        <f t="shared" si="7"/>
        <v>#DIV/0!</v>
      </c>
    </row>
    <row r="46" spans="1:38">
      <c r="A46" s="312" t="s">
        <v>64</v>
      </c>
      <c r="B46" s="93" t="s">
        <v>65</v>
      </c>
      <c r="C46" s="47" t="s">
        <v>8</v>
      </c>
      <c r="D46" s="181">
        <f>SUM(E46:AL46)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</row>
    <row r="47" spans="1:38">
      <c r="A47" s="313"/>
      <c r="B47" s="94" t="s">
        <v>66</v>
      </c>
      <c r="C47" s="38" t="s">
        <v>8</v>
      </c>
      <c r="D47" s="182">
        <f>SUM(E47:AL47)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</row>
    <row r="48" spans="1:38">
      <c r="A48" s="313"/>
      <c r="B48" s="94" t="s">
        <v>67</v>
      </c>
      <c r="C48" s="38" t="s">
        <v>8</v>
      </c>
      <c r="D48" s="182">
        <f t="shared" ref="D48:D49" si="8">SUM(E48:AL48)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</row>
    <row r="49" spans="1:38">
      <c r="A49" s="313"/>
      <c r="B49" s="95" t="s">
        <v>68</v>
      </c>
      <c r="C49" s="40" t="s">
        <v>8</v>
      </c>
      <c r="D49" s="183">
        <f t="shared" si="8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</row>
    <row r="50" spans="1:38">
      <c r="A50" s="313"/>
      <c r="B50" s="93" t="s">
        <v>69</v>
      </c>
      <c r="C50" s="91" t="s">
        <v>48</v>
      </c>
      <c r="D50" s="195">
        <f>SUM(E50:AL50)</f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6">
        <v>0</v>
      </c>
      <c r="AK50" s="86">
        <v>0</v>
      </c>
      <c r="AL50" s="86">
        <v>0</v>
      </c>
    </row>
    <row r="51" spans="1:38">
      <c r="A51" s="314"/>
      <c r="B51" s="95" t="s">
        <v>70</v>
      </c>
      <c r="C51" s="92" t="s">
        <v>48</v>
      </c>
      <c r="D51" s="199">
        <f>SUM(E51:AL51)</f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</row>
    <row r="52" spans="1:38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</row>
    <row r="54" spans="1:38">
      <c r="A54" s="316"/>
      <c r="B54" s="37" t="s">
        <v>74</v>
      </c>
      <c r="C54" s="51" t="s">
        <v>75</v>
      </c>
      <c r="D54" s="8" t="s">
        <v>75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spans="1:38">
      <c r="A55" s="316"/>
      <c r="B55" s="37" t="s">
        <v>7</v>
      </c>
      <c r="C55" s="51" t="s">
        <v>75</v>
      </c>
      <c r="D55" s="8" t="s">
        <v>75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spans="1:38">
      <c r="A56" s="316"/>
      <c r="B56" s="37" t="s">
        <v>76</v>
      </c>
      <c r="C56" s="51" t="s">
        <v>75</v>
      </c>
      <c r="D56" s="8" t="s">
        <v>75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>
      <c r="A57" s="317"/>
      <c r="B57" s="39" t="s">
        <v>82</v>
      </c>
      <c r="C57" s="52" t="s">
        <v>75</v>
      </c>
      <c r="D57" s="9" t="s">
        <v>75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9" spans="1:38" ht="15.75">
      <c r="B59" s="53" t="s">
        <v>83</v>
      </c>
      <c r="C59" s="99" t="s">
        <v>84</v>
      </c>
      <c r="D59" s="100">
        <f>SUM(D60:D72)</f>
        <v>20130728</v>
      </c>
      <c r="E59" s="101">
        <f>SUM(E60:E72)</f>
        <v>0</v>
      </c>
      <c r="F59" s="101">
        <f t="shared" ref="F59:AL59" si="9">SUM(F60:F72)</f>
        <v>432417</v>
      </c>
      <c r="G59" s="101">
        <f>SUM(G60:G72)</f>
        <v>651809</v>
      </c>
      <c r="H59" s="101">
        <f>SUM(H60:H72)</f>
        <v>569982</v>
      </c>
      <c r="I59" s="101">
        <f t="shared" ref="I59:Y59" si="10">SUM(I60:I72)</f>
        <v>853792</v>
      </c>
      <c r="J59" s="101">
        <f t="shared" si="10"/>
        <v>769960</v>
      </c>
      <c r="K59" s="101">
        <f t="shared" si="10"/>
        <v>1328591</v>
      </c>
      <c r="L59" s="101">
        <f t="shared" si="10"/>
        <v>857676</v>
      </c>
      <c r="M59" s="101">
        <f t="shared" si="10"/>
        <v>1125578</v>
      </c>
      <c r="N59" s="101">
        <f t="shared" si="10"/>
        <v>1017710</v>
      </c>
      <c r="O59" s="101">
        <f t="shared" si="10"/>
        <v>1645304</v>
      </c>
      <c r="P59" s="101">
        <f t="shared" si="10"/>
        <v>2095734</v>
      </c>
      <c r="Q59" s="101">
        <f t="shared" si="10"/>
        <v>992208</v>
      </c>
      <c r="R59" s="101">
        <f t="shared" si="10"/>
        <v>1499647</v>
      </c>
      <c r="S59" s="101">
        <f t="shared" si="10"/>
        <v>1420681</v>
      </c>
      <c r="T59" s="101">
        <f t="shared" si="10"/>
        <v>355942</v>
      </c>
      <c r="U59" s="101">
        <f t="shared" si="10"/>
        <v>218937</v>
      </c>
      <c r="V59" s="101">
        <f t="shared" si="10"/>
        <v>707066</v>
      </c>
      <c r="W59" s="101">
        <f t="shared" si="10"/>
        <v>699637</v>
      </c>
      <c r="X59" s="101">
        <f t="shared" si="10"/>
        <v>560652</v>
      </c>
      <c r="Y59" s="101">
        <f t="shared" si="10"/>
        <v>273562</v>
      </c>
      <c r="Z59" s="101">
        <f t="shared" si="9"/>
        <v>569278</v>
      </c>
      <c r="AA59" s="101">
        <f t="shared" si="9"/>
        <v>201457</v>
      </c>
      <c r="AB59" s="101">
        <f t="shared" si="9"/>
        <v>684000</v>
      </c>
      <c r="AC59" s="101">
        <f t="shared" si="9"/>
        <v>599108</v>
      </c>
      <c r="AD59" s="101">
        <f t="shared" si="9"/>
        <v>0</v>
      </c>
      <c r="AE59" s="101">
        <f t="shared" si="9"/>
        <v>0</v>
      </c>
      <c r="AF59" s="101">
        <f t="shared" si="9"/>
        <v>0</v>
      </c>
      <c r="AG59" s="101">
        <f t="shared" si="9"/>
        <v>0</v>
      </c>
      <c r="AH59" s="101">
        <f t="shared" si="9"/>
        <v>0</v>
      </c>
      <c r="AI59" s="101">
        <f t="shared" si="9"/>
        <v>0</v>
      </c>
      <c r="AJ59" s="101">
        <f t="shared" si="9"/>
        <v>0</v>
      </c>
      <c r="AK59" s="101">
        <f t="shared" si="9"/>
        <v>0</v>
      </c>
      <c r="AL59" s="101">
        <f t="shared" si="9"/>
        <v>0</v>
      </c>
    </row>
    <row r="60" spans="1:38">
      <c r="B60" s="96" t="s">
        <v>47</v>
      </c>
      <c r="C60" s="111">
        <v>49</v>
      </c>
      <c r="D60" s="97">
        <f>D27*$C60</f>
        <v>11015396</v>
      </c>
      <c r="E60" s="104">
        <f t="shared" ref="E60:AL67" si="11">E27*$C60</f>
        <v>0</v>
      </c>
      <c r="F60" s="104">
        <f t="shared" si="11"/>
        <v>183897</v>
      </c>
      <c r="G60" s="104">
        <f t="shared" si="11"/>
        <v>312816</v>
      </c>
      <c r="H60" s="104">
        <f t="shared" si="11"/>
        <v>383915</v>
      </c>
      <c r="I60" s="104">
        <f t="shared" si="11"/>
        <v>569772</v>
      </c>
      <c r="J60" s="104">
        <f t="shared" si="11"/>
        <v>486815</v>
      </c>
      <c r="K60" s="104">
        <f t="shared" si="11"/>
        <v>830550</v>
      </c>
      <c r="L60" s="104">
        <f t="shared" si="11"/>
        <v>463148</v>
      </c>
      <c r="M60" s="104">
        <f t="shared" si="11"/>
        <v>905226</v>
      </c>
      <c r="N60" s="104">
        <f t="shared" si="11"/>
        <v>772436</v>
      </c>
      <c r="O60" s="104">
        <f t="shared" si="11"/>
        <v>1358868</v>
      </c>
      <c r="P60" s="104">
        <f t="shared" si="11"/>
        <v>1631014</v>
      </c>
      <c r="Q60" s="104">
        <f t="shared" si="11"/>
        <v>691194</v>
      </c>
      <c r="R60" s="104">
        <f t="shared" si="11"/>
        <v>1139299</v>
      </c>
      <c r="S60" s="104">
        <f t="shared" si="11"/>
        <v>1057322</v>
      </c>
      <c r="T60" s="104">
        <f t="shared" si="11"/>
        <v>229124</v>
      </c>
      <c r="U60" s="104">
        <f t="shared" si="11"/>
        <v>0</v>
      </c>
      <c r="V60" s="104">
        <f t="shared" si="11"/>
        <v>0</v>
      </c>
      <c r="W60" s="104">
        <f t="shared" si="11"/>
        <v>0</v>
      </c>
      <c r="X60" s="104">
        <f t="shared" si="11"/>
        <v>0</v>
      </c>
      <c r="Y60" s="104">
        <f t="shared" si="11"/>
        <v>0</v>
      </c>
      <c r="Z60" s="104">
        <f t="shared" si="11"/>
        <v>0</v>
      </c>
      <c r="AA60" s="104">
        <f t="shared" si="11"/>
        <v>0</v>
      </c>
      <c r="AB60" s="104">
        <f t="shared" si="11"/>
        <v>0</v>
      </c>
      <c r="AC60" s="104">
        <f t="shared" si="11"/>
        <v>0</v>
      </c>
      <c r="AD60" s="104">
        <f t="shared" si="11"/>
        <v>0</v>
      </c>
      <c r="AE60" s="104">
        <f t="shared" si="11"/>
        <v>0</v>
      </c>
      <c r="AF60" s="104">
        <f t="shared" si="11"/>
        <v>0</v>
      </c>
      <c r="AG60" s="104">
        <f t="shared" si="11"/>
        <v>0</v>
      </c>
      <c r="AH60" s="104">
        <f t="shared" si="11"/>
        <v>0</v>
      </c>
      <c r="AI60" s="104">
        <f t="shared" si="11"/>
        <v>0</v>
      </c>
      <c r="AJ60" s="104">
        <f t="shared" si="11"/>
        <v>0</v>
      </c>
      <c r="AK60" s="104">
        <f t="shared" si="11"/>
        <v>0</v>
      </c>
      <c r="AL60" s="104">
        <f t="shared" si="11"/>
        <v>0</v>
      </c>
    </row>
    <row r="61" spans="1:38">
      <c r="B61" s="96" t="s">
        <v>49</v>
      </c>
      <c r="C61" s="111">
        <v>19</v>
      </c>
      <c r="D61" s="97">
        <f>D28*$C61</f>
        <v>1906441</v>
      </c>
      <c r="E61" s="104">
        <f t="shared" si="11"/>
        <v>0</v>
      </c>
      <c r="F61" s="104">
        <f t="shared" si="11"/>
        <v>33193</v>
      </c>
      <c r="G61" s="104">
        <f t="shared" si="11"/>
        <v>79344</v>
      </c>
      <c r="H61" s="104">
        <f t="shared" si="11"/>
        <v>87552</v>
      </c>
      <c r="I61" s="104">
        <f t="shared" si="11"/>
        <v>69312</v>
      </c>
      <c r="J61" s="104">
        <f t="shared" si="11"/>
        <v>82992</v>
      </c>
      <c r="K61" s="104">
        <f t="shared" si="11"/>
        <v>154128</v>
      </c>
      <c r="L61" s="104">
        <f t="shared" si="11"/>
        <v>127680</v>
      </c>
      <c r="M61" s="104">
        <f t="shared" si="11"/>
        <v>35568</v>
      </c>
      <c r="N61" s="104">
        <f t="shared" si="11"/>
        <v>5472</v>
      </c>
      <c r="O61" s="104">
        <f t="shared" si="11"/>
        <v>94848</v>
      </c>
      <c r="P61" s="104">
        <f t="shared" si="11"/>
        <v>346560</v>
      </c>
      <c r="Q61" s="104">
        <f t="shared" si="11"/>
        <v>233472</v>
      </c>
      <c r="R61" s="104">
        <f t="shared" si="11"/>
        <v>185136</v>
      </c>
      <c r="S61" s="104">
        <f t="shared" si="11"/>
        <v>200640</v>
      </c>
      <c r="T61" s="104">
        <f t="shared" si="11"/>
        <v>67488</v>
      </c>
      <c r="U61" s="104">
        <f t="shared" si="11"/>
        <v>0</v>
      </c>
      <c r="V61" s="104">
        <f t="shared" si="11"/>
        <v>0</v>
      </c>
      <c r="W61" s="104">
        <f t="shared" si="11"/>
        <v>0</v>
      </c>
      <c r="X61" s="104">
        <f t="shared" si="11"/>
        <v>31008</v>
      </c>
      <c r="Y61" s="104">
        <f t="shared" si="11"/>
        <v>20976</v>
      </c>
      <c r="Z61" s="104">
        <f t="shared" si="11"/>
        <v>28272</v>
      </c>
      <c r="AA61" s="104">
        <f t="shared" si="11"/>
        <v>0</v>
      </c>
      <c r="AB61" s="104">
        <f t="shared" si="11"/>
        <v>12768</v>
      </c>
      <c r="AC61" s="104">
        <f t="shared" si="11"/>
        <v>10032</v>
      </c>
      <c r="AD61" s="104">
        <f t="shared" si="11"/>
        <v>0</v>
      </c>
      <c r="AE61" s="104">
        <f t="shared" si="11"/>
        <v>0</v>
      </c>
      <c r="AF61" s="104">
        <f t="shared" si="11"/>
        <v>0</v>
      </c>
      <c r="AG61" s="104">
        <f t="shared" si="11"/>
        <v>0</v>
      </c>
      <c r="AH61" s="104">
        <f t="shared" si="11"/>
        <v>0</v>
      </c>
      <c r="AI61" s="104">
        <f t="shared" si="11"/>
        <v>0</v>
      </c>
      <c r="AJ61" s="104">
        <f t="shared" si="11"/>
        <v>0</v>
      </c>
      <c r="AK61" s="104">
        <f t="shared" si="11"/>
        <v>0</v>
      </c>
      <c r="AL61" s="104">
        <f t="shared" si="11"/>
        <v>0</v>
      </c>
    </row>
    <row r="62" spans="1:38">
      <c r="B62" s="96" t="s">
        <v>50</v>
      </c>
      <c r="C62" s="111">
        <v>19</v>
      </c>
      <c r="D62" s="97">
        <f>D29*$C62</f>
        <v>2293756</v>
      </c>
      <c r="E62" s="104">
        <f t="shared" si="11"/>
        <v>0</v>
      </c>
      <c r="F62" s="104">
        <f t="shared" si="11"/>
        <v>215327</v>
      </c>
      <c r="G62" s="104">
        <f t="shared" si="11"/>
        <v>251161</v>
      </c>
      <c r="H62" s="104">
        <f t="shared" si="11"/>
        <v>98515</v>
      </c>
      <c r="I62" s="104">
        <f t="shared" si="11"/>
        <v>193610</v>
      </c>
      <c r="J62" s="104">
        <f t="shared" si="11"/>
        <v>179493</v>
      </c>
      <c r="K62" s="104">
        <f t="shared" si="11"/>
        <v>333241</v>
      </c>
      <c r="L62" s="104">
        <f t="shared" si="11"/>
        <v>223972</v>
      </c>
      <c r="M62" s="104">
        <f t="shared" si="11"/>
        <v>146680</v>
      </c>
      <c r="N62" s="104">
        <f t="shared" si="11"/>
        <v>220058</v>
      </c>
      <c r="O62" s="104">
        <f t="shared" si="11"/>
        <v>183692</v>
      </c>
      <c r="P62" s="104">
        <f t="shared" si="11"/>
        <v>97432</v>
      </c>
      <c r="Q62" s="104">
        <f t="shared" si="11"/>
        <v>35682</v>
      </c>
      <c r="R62" s="104">
        <f t="shared" si="11"/>
        <v>76684</v>
      </c>
      <c r="S62" s="104">
        <f t="shared" si="11"/>
        <v>32091</v>
      </c>
      <c r="T62" s="104">
        <f t="shared" si="11"/>
        <v>6118</v>
      </c>
      <c r="U62" s="104">
        <f t="shared" si="11"/>
        <v>0</v>
      </c>
      <c r="V62" s="104">
        <f t="shared" si="11"/>
        <v>0</v>
      </c>
      <c r="W62" s="104">
        <f t="shared" si="11"/>
        <v>0</v>
      </c>
      <c r="X62" s="104">
        <f t="shared" si="11"/>
        <v>0</v>
      </c>
      <c r="Y62" s="104">
        <f t="shared" si="11"/>
        <v>0</v>
      </c>
      <c r="Z62" s="104">
        <f t="shared" si="11"/>
        <v>0</v>
      </c>
      <c r="AA62" s="104">
        <f t="shared" si="11"/>
        <v>0</v>
      </c>
      <c r="AB62" s="104">
        <f t="shared" si="11"/>
        <v>0</v>
      </c>
      <c r="AC62" s="104">
        <f t="shared" si="11"/>
        <v>0</v>
      </c>
      <c r="AD62" s="104">
        <f t="shared" si="11"/>
        <v>0</v>
      </c>
      <c r="AE62" s="104">
        <f t="shared" si="11"/>
        <v>0</v>
      </c>
      <c r="AF62" s="104">
        <f t="shared" si="11"/>
        <v>0</v>
      </c>
      <c r="AG62" s="104">
        <f t="shared" si="11"/>
        <v>0</v>
      </c>
      <c r="AH62" s="104">
        <f t="shared" si="11"/>
        <v>0</v>
      </c>
      <c r="AI62" s="104">
        <f t="shared" si="11"/>
        <v>0</v>
      </c>
      <c r="AJ62" s="104">
        <f t="shared" si="11"/>
        <v>0</v>
      </c>
      <c r="AK62" s="104">
        <f t="shared" si="11"/>
        <v>0</v>
      </c>
      <c r="AL62" s="104">
        <f t="shared" si="11"/>
        <v>0</v>
      </c>
    </row>
    <row r="63" spans="1:38">
      <c r="B63" s="96" t="s">
        <v>51</v>
      </c>
      <c r="C63" s="111">
        <v>15</v>
      </c>
      <c r="D63" s="97">
        <f t="shared" ref="D63" si="12">D30*$C63</f>
        <v>0</v>
      </c>
      <c r="E63" s="104">
        <f t="shared" si="11"/>
        <v>0</v>
      </c>
      <c r="F63" s="104">
        <f t="shared" si="11"/>
        <v>0</v>
      </c>
      <c r="G63" s="104">
        <f t="shared" si="11"/>
        <v>0</v>
      </c>
      <c r="H63" s="104">
        <f t="shared" si="11"/>
        <v>0</v>
      </c>
      <c r="I63" s="104">
        <f t="shared" si="11"/>
        <v>0</v>
      </c>
      <c r="J63" s="104">
        <f t="shared" si="11"/>
        <v>0</v>
      </c>
      <c r="K63" s="104">
        <f t="shared" si="11"/>
        <v>0</v>
      </c>
      <c r="L63" s="104">
        <f t="shared" si="11"/>
        <v>0</v>
      </c>
      <c r="M63" s="104">
        <f t="shared" si="11"/>
        <v>0</v>
      </c>
      <c r="N63" s="104">
        <f t="shared" si="11"/>
        <v>0</v>
      </c>
      <c r="O63" s="104">
        <f t="shared" si="11"/>
        <v>0</v>
      </c>
      <c r="P63" s="104">
        <f t="shared" si="11"/>
        <v>0</v>
      </c>
      <c r="Q63" s="104">
        <f t="shared" si="11"/>
        <v>0</v>
      </c>
      <c r="R63" s="104">
        <f t="shared" si="11"/>
        <v>0</v>
      </c>
      <c r="S63" s="104">
        <f t="shared" si="11"/>
        <v>0</v>
      </c>
      <c r="T63" s="104">
        <f t="shared" si="11"/>
        <v>0</v>
      </c>
      <c r="U63" s="104">
        <f t="shared" si="11"/>
        <v>0</v>
      </c>
      <c r="V63" s="104">
        <f t="shared" si="11"/>
        <v>0</v>
      </c>
      <c r="W63" s="104">
        <f t="shared" si="11"/>
        <v>0</v>
      </c>
      <c r="X63" s="104">
        <f t="shared" si="11"/>
        <v>0</v>
      </c>
      <c r="Y63" s="104">
        <f t="shared" si="11"/>
        <v>0</v>
      </c>
      <c r="Z63" s="104">
        <f t="shared" si="11"/>
        <v>0</v>
      </c>
      <c r="AA63" s="104">
        <f t="shared" si="11"/>
        <v>0</v>
      </c>
      <c r="AB63" s="104">
        <f t="shared" si="11"/>
        <v>0</v>
      </c>
      <c r="AC63" s="104">
        <f t="shared" si="11"/>
        <v>0</v>
      </c>
      <c r="AD63" s="104">
        <f t="shared" si="11"/>
        <v>0</v>
      </c>
      <c r="AE63" s="104">
        <f t="shared" si="11"/>
        <v>0</v>
      </c>
      <c r="AF63" s="104">
        <f t="shared" si="11"/>
        <v>0</v>
      </c>
      <c r="AG63" s="104">
        <f t="shared" si="11"/>
        <v>0</v>
      </c>
      <c r="AH63" s="104">
        <f t="shared" si="11"/>
        <v>0</v>
      </c>
      <c r="AI63" s="104">
        <f t="shared" si="11"/>
        <v>0</v>
      </c>
      <c r="AJ63" s="104">
        <f t="shared" si="11"/>
        <v>0</v>
      </c>
      <c r="AK63" s="104">
        <f t="shared" si="11"/>
        <v>0</v>
      </c>
      <c r="AL63" s="104">
        <f t="shared" si="11"/>
        <v>0</v>
      </c>
    </row>
    <row r="64" spans="1:38">
      <c r="B64" s="96" t="s">
        <v>52</v>
      </c>
      <c r="C64" s="111">
        <v>10</v>
      </c>
      <c r="D64" s="97">
        <f>D31*$C64</f>
        <v>318360</v>
      </c>
      <c r="E64" s="104">
        <f t="shared" si="11"/>
        <v>0</v>
      </c>
      <c r="F64" s="104">
        <f t="shared" si="11"/>
        <v>0</v>
      </c>
      <c r="G64" s="104">
        <f t="shared" si="11"/>
        <v>6120</v>
      </c>
      <c r="H64" s="104">
        <f t="shared" si="11"/>
        <v>0</v>
      </c>
      <c r="I64" s="104">
        <f t="shared" si="11"/>
        <v>9680</v>
      </c>
      <c r="J64" s="104">
        <f t="shared" si="11"/>
        <v>10200</v>
      </c>
      <c r="K64" s="104">
        <f t="shared" si="11"/>
        <v>10080</v>
      </c>
      <c r="L64" s="104">
        <f t="shared" si="11"/>
        <v>24680</v>
      </c>
      <c r="M64" s="104">
        <f t="shared" si="11"/>
        <v>37640</v>
      </c>
      <c r="N64" s="104">
        <f t="shared" si="11"/>
        <v>14400</v>
      </c>
      <c r="O64" s="104">
        <f t="shared" si="11"/>
        <v>6840</v>
      </c>
      <c r="P64" s="104">
        <f t="shared" si="11"/>
        <v>18360</v>
      </c>
      <c r="Q64" s="104">
        <f t="shared" si="11"/>
        <v>29060</v>
      </c>
      <c r="R64" s="104">
        <f t="shared" si="11"/>
        <v>21860</v>
      </c>
      <c r="S64" s="104">
        <f t="shared" si="11"/>
        <v>84720</v>
      </c>
      <c r="T64" s="104">
        <f t="shared" si="11"/>
        <v>44720</v>
      </c>
      <c r="U64" s="104">
        <f t="shared" si="11"/>
        <v>0</v>
      </c>
      <c r="V64" s="104">
        <f t="shared" si="11"/>
        <v>0</v>
      </c>
      <c r="W64" s="104">
        <f t="shared" si="11"/>
        <v>0</v>
      </c>
      <c r="X64" s="104">
        <f t="shared" si="11"/>
        <v>0</v>
      </c>
      <c r="Y64" s="104">
        <f t="shared" si="11"/>
        <v>0</v>
      </c>
      <c r="Z64" s="104">
        <f t="shared" si="11"/>
        <v>0</v>
      </c>
      <c r="AA64" s="104">
        <f t="shared" si="11"/>
        <v>0</v>
      </c>
      <c r="AB64" s="104">
        <f t="shared" si="11"/>
        <v>0</v>
      </c>
      <c r="AC64" s="104">
        <f t="shared" si="11"/>
        <v>0</v>
      </c>
      <c r="AD64" s="104">
        <f t="shared" si="11"/>
        <v>0</v>
      </c>
      <c r="AE64" s="104">
        <f t="shared" si="11"/>
        <v>0</v>
      </c>
      <c r="AF64" s="104">
        <f t="shared" si="11"/>
        <v>0</v>
      </c>
      <c r="AG64" s="104">
        <f t="shared" si="11"/>
        <v>0</v>
      </c>
      <c r="AH64" s="104">
        <f t="shared" si="11"/>
        <v>0</v>
      </c>
      <c r="AI64" s="104">
        <f t="shared" si="11"/>
        <v>0</v>
      </c>
      <c r="AJ64" s="104">
        <f t="shared" si="11"/>
        <v>0</v>
      </c>
      <c r="AK64" s="104">
        <f t="shared" si="11"/>
        <v>0</v>
      </c>
      <c r="AL64" s="104">
        <f t="shared" si="11"/>
        <v>0</v>
      </c>
    </row>
    <row r="65" spans="2:38">
      <c r="B65" s="96" t="s">
        <v>53</v>
      </c>
      <c r="C65" s="111">
        <v>19</v>
      </c>
      <c r="D65" s="97">
        <f t="shared" ref="D65:S71" si="13">D32*$C65</f>
        <v>4410641</v>
      </c>
      <c r="E65" s="104">
        <f t="shared" si="11"/>
        <v>0</v>
      </c>
      <c r="F65" s="104">
        <f t="shared" si="11"/>
        <v>0</v>
      </c>
      <c r="G65" s="104">
        <f t="shared" si="11"/>
        <v>0</v>
      </c>
      <c r="H65" s="104">
        <f t="shared" si="11"/>
        <v>0</v>
      </c>
      <c r="I65" s="104">
        <f t="shared" si="11"/>
        <v>0</v>
      </c>
      <c r="J65" s="104">
        <f t="shared" si="11"/>
        <v>0</v>
      </c>
      <c r="K65" s="104">
        <f t="shared" si="11"/>
        <v>0</v>
      </c>
      <c r="L65" s="104">
        <f t="shared" si="11"/>
        <v>0</v>
      </c>
      <c r="M65" s="104">
        <f t="shared" si="11"/>
        <v>0</v>
      </c>
      <c r="N65" s="104">
        <f t="shared" si="11"/>
        <v>0</v>
      </c>
      <c r="O65" s="104">
        <f t="shared" si="11"/>
        <v>0</v>
      </c>
      <c r="P65" s="104">
        <f t="shared" si="11"/>
        <v>0</v>
      </c>
      <c r="Q65" s="104">
        <f t="shared" si="11"/>
        <v>0</v>
      </c>
      <c r="R65" s="104">
        <f t="shared" si="11"/>
        <v>0</v>
      </c>
      <c r="S65" s="104">
        <f t="shared" si="11"/>
        <v>0</v>
      </c>
      <c r="T65" s="104">
        <f t="shared" si="11"/>
        <v>0</v>
      </c>
      <c r="U65" s="104">
        <f t="shared" si="11"/>
        <v>218937</v>
      </c>
      <c r="V65" s="104">
        <f t="shared" si="11"/>
        <v>707066</v>
      </c>
      <c r="W65" s="104">
        <f t="shared" si="11"/>
        <v>699637</v>
      </c>
      <c r="X65" s="104">
        <f t="shared" si="11"/>
        <v>529644</v>
      </c>
      <c r="Y65" s="104">
        <f t="shared" si="11"/>
        <v>252586</v>
      </c>
      <c r="Z65" s="104">
        <f t="shared" si="11"/>
        <v>541006</v>
      </c>
      <c r="AA65" s="104">
        <f t="shared" si="11"/>
        <v>201457</v>
      </c>
      <c r="AB65" s="104">
        <f t="shared" si="11"/>
        <v>671232</v>
      </c>
      <c r="AC65" s="104">
        <f t="shared" si="11"/>
        <v>589076</v>
      </c>
      <c r="AD65" s="104">
        <f t="shared" si="11"/>
        <v>0</v>
      </c>
      <c r="AE65" s="104">
        <f t="shared" si="11"/>
        <v>0</v>
      </c>
      <c r="AF65" s="104">
        <f t="shared" si="11"/>
        <v>0</v>
      </c>
      <c r="AG65" s="104">
        <f t="shared" si="11"/>
        <v>0</v>
      </c>
      <c r="AH65" s="104">
        <f t="shared" si="11"/>
        <v>0</v>
      </c>
      <c r="AI65" s="104">
        <f t="shared" si="11"/>
        <v>0</v>
      </c>
      <c r="AJ65" s="104">
        <f t="shared" si="11"/>
        <v>0</v>
      </c>
      <c r="AK65" s="104">
        <f t="shared" si="11"/>
        <v>0</v>
      </c>
      <c r="AL65" s="104">
        <f t="shared" si="11"/>
        <v>0</v>
      </c>
    </row>
    <row r="66" spans="2:38">
      <c r="B66" s="96" t="s">
        <v>54</v>
      </c>
      <c r="C66" s="111">
        <v>10</v>
      </c>
      <c r="D66" s="97">
        <f t="shared" si="13"/>
        <v>0</v>
      </c>
      <c r="E66" s="104">
        <f t="shared" si="11"/>
        <v>0</v>
      </c>
      <c r="F66" s="104">
        <f t="shared" si="11"/>
        <v>0</v>
      </c>
      <c r="G66" s="104">
        <f t="shared" si="11"/>
        <v>0</v>
      </c>
      <c r="H66" s="104">
        <f t="shared" si="11"/>
        <v>0</v>
      </c>
      <c r="I66" s="104">
        <f t="shared" si="11"/>
        <v>0</v>
      </c>
      <c r="J66" s="104">
        <f t="shared" si="11"/>
        <v>0</v>
      </c>
      <c r="K66" s="104">
        <f t="shared" si="11"/>
        <v>0</v>
      </c>
      <c r="L66" s="104">
        <f t="shared" si="11"/>
        <v>0</v>
      </c>
      <c r="M66" s="104">
        <f t="shared" si="11"/>
        <v>0</v>
      </c>
      <c r="N66" s="104">
        <f t="shared" si="11"/>
        <v>0</v>
      </c>
      <c r="O66" s="104">
        <f t="shared" si="11"/>
        <v>0</v>
      </c>
      <c r="P66" s="104">
        <f t="shared" si="11"/>
        <v>0</v>
      </c>
      <c r="Q66" s="104">
        <f t="shared" si="11"/>
        <v>0</v>
      </c>
      <c r="R66" s="104">
        <f t="shared" si="11"/>
        <v>0</v>
      </c>
      <c r="S66" s="104">
        <f t="shared" si="11"/>
        <v>0</v>
      </c>
      <c r="T66" s="104">
        <f t="shared" si="11"/>
        <v>0</v>
      </c>
      <c r="U66" s="104">
        <f t="shared" si="11"/>
        <v>0</v>
      </c>
      <c r="V66" s="104">
        <f t="shared" si="11"/>
        <v>0</v>
      </c>
      <c r="W66" s="104">
        <f t="shared" si="11"/>
        <v>0</v>
      </c>
      <c r="X66" s="104">
        <f t="shared" si="11"/>
        <v>0</v>
      </c>
      <c r="Y66" s="104">
        <f t="shared" si="11"/>
        <v>0</v>
      </c>
      <c r="Z66" s="104">
        <f t="shared" si="11"/>
        <v>0</v>
      </c>
      <c r="AA66" s="104">
        <f t="shared" si="11"/>
        <v>0</v>
      </c>
      <c r="AB66" s="104">
        <f t="shared" si="11"/>
        <v>0</v>
      </c>
      <c r="AC66" s="104">
        <f t="shared" si="11"/>
        <v>0</v>
      </c>
      <c r="AD66" s="104">
        <f t="shared" si="11"/>
        <v>0</v>
      </c>
      <c r="AE66" s="104">
        <f t="shared" si="11"/>
        <v>0</v>
      </c>
      <c r="AF66" s="104">
        <f t="shared" si="11"/>
        <v>0</v>
      </c>
      <c r="AG66" s="104">
        <f t="shared" si="11"/>
        <v>0</v>
      </c>
      <c r="AH66" s="104">
        <f t="shared" si="11"/>
        <v>0</v>
      </c>
      <c r="AI66" s="104">
        <f t="shared" si="11"/>
        <v>0</v>
      </c>
      <c r="AJ66" s="104">
        <f t="shared" si="11"/>
        <v>0</v>
      </c>
      <c r="AK66" s="104">
        <f t="shared" si="11"/>
        <v>0</v>
      </c>
      <c r="AL66" s="104">
        <f t="shared" si="11"/>
        <v>0</v>
      </c>
    </row>
    <row r="67" spans="2:38">
      <c r="B67" s="96" t="s">
        <v>55</v>
      </c>
      <c r="C67" s="111">
        <v>50</v>
      </c>
      <c r="D67" s="97">
        <f t="shared" si="13"/>
        <v>154550</v>
      </c>
      <c r="E67" s="104">
        <f t="shared" si="11"/>
        <v>0</v>
      </c>
      <c r="F67" s="104">
        <f t="shared" si="11"/>
        <v>0</v>
      </c>
      <c r="G67" s="104">
        <f t="shared" si="11"/>
        <v>0</v>
      </c>
      <c r="H67" s="104">
        <f t="shared" si="11"/>
        <v>0</v>
      </c>
      <c r="I67" s="104">
        <f t="shared" si="11"/>
        <v>9450</v>
      </c>
      <c r="J67" s="104">
        <f t="shared" si="11"/>
        <v>8300</v>
      </c>
      <c r="K67" s="104">
        <f t="shared" si="11"/>
        <v>0</v>
      </c>
      <c r="L67" s="104">
        <f t="shared" si="11"/>
        <v>13300</v>
      </c>
      <c r="M67" s="104">
        <f t="shared" si="11"/>
        <v>0</v>
      </c>
      <c r="N67" s="104">
        <f t="shared" si="11"/>
        <v>0</v>
      </c>
      <c r="O67" s="104">
        <f t="shared" si="11"/>
        <v>0</v>
      </c>
      <c r="P67" s="104">
        <f t="shared" si="11"/>
        <v>0</v>
      </c>
      <c r="Q67" s="104">
        <f t="shared" si="11"/>
        <v>0</v>
      </c>
      <c r="R67" s="104">
        <f t="shared" si="11"/>
        <v>73100</v>
      </c>
      <c r="S67" s="104">
        <f t="shared" si="11"/>
        <v>42100</v>
      </c>
      <c r="T67" s="104">
        <f t="shared" si="11"/>
        <v>8300</v>
      </c>
      <c r="U67" s="104">
        <f t="shared" si="11"/>
        <v>0</v>
      </c>
      <c r="V67" s="104">
        <f t="shared" ref="E67:AL71" si="14">V34*$C67</f>
        <v>0</v>
      </c>
      <c r="W67" s="104">
        <f t="shared" si="14"/>
        <v>0</v>
      </c>
      <c r="X67" s="104">
        <f t="shared" si="14"/>
        <v>0</v>
      </c>
      <c r="Y67" s="104">
        <f t="shared" si="14"/>
        <v>0</v>
      </c>
      <c r="Z67" s="104">
        <f t="shared" si="14"/>
        <v>0</v>
      </c>
      <c r="AA67" s="104">
        <f t="shared" si="14"/>
        <v>0</v>
      </c>
      <c r="AB67" s="104">
        <f t="shared" si="14"/>
        <v>0</v>
      </c>
      <c r="AC67" s="104">
        <f t="shared" si="14"/>
        <v>0</v>
      </c>
      <c r="AD67" s="104">
        <f t="shared" si="14"/>
        <v>0</v>
      </c>
      <c r="AE67" s="104">
        <f t="shared" si="14"/>
        <v>0</v>
      </c>
      <c r="AF67" s="104">
        <f t="shared" si="14"/>
        <v>0</v>
      </c>
      <c r="AG67" s="104">
        <f t="shared" si="14"/>
        <v>0</v>
      </c>
      <c r="AH67" s="104">
        <f t="shared" si="14"/>
        <v>0</v>
      </c>
      <c r="AI67" s="104">
        <f t="shared" si="14"/>
        <v>0</v>
      </c>
      <c r="AJ67" s="104">
        <f t="shared" si="14"/>
        <v>0</v>
      </c>
      <c r="AK67" s="104">
        <f t="shared" si="14"/>
        <v>0</v>
      </c>
      <c r="AL67" s="104">
        <f t="shared" si="14"/>
        <v>0</v>
      </c>
    </row>
    <row r="68" spans="2:38">
      <c r="B68" s="96" t="s">
        <v>56</v>
      </c>
      <c r="C68" s="111">
        <v>27.39</v>
      </c>
      <c r="D68" s="97">
        <f t="shared" si="13"/>
        <v>0</v>
      </c>
      <c r="E68" s="104">
        <f t="shared" si="14"/>
        <v>0</v>
      </c>
      <c r="F68" s="104">
        <f t="shared" si="14"/>
        <v>0</v>
      </c>
      <c r="G68" s="104">
        <f t="shared" si="14"/>
        <v>0</v>
      </c>
      <c r="H68" s="104">
        <f t="shared" si="14"/>
        <v>0</v>
      </c>
      <c r="I68" s="104">
        <f t="shared" si="14"/>
        <v>0</v>
      </c>
      <c r="J68" s="104">
        <f t="shared" si="14"/>
        <v>0</v>
      </c>
      <c r="K68" s="104">
        <f t="shared" si="14"/>
        <v>0</v>
      </c>
      <c r="L68" s="104">
        <f t="shared" si="14"/>
        <v>0</v>
      </c>
      <c r="M68" s="104">
        <f t="shared" si="14"/>
        <v>0</v>
      </c>
      <c r="N68" s="104">
        <f t="shared" si="14"/>
        <v>0</v>
      </c>
      <c r="O68" s="104">
        <f t="shared" si="14"/>
        <v>0</v>
      </c>
      <c r="P68" s="104">
        <f t="shared" si="14"/>
        <v>0</v>
      </c>
      <c r="Q68" s="104">
        <f t="shared" si="14"/>
        <v>0</v>
      </c>
      <c r="R68" s="104">
        <f t="shared" si="14"/>
        <v>0</v>
      </c>
      <c r="S68" s="104">
        <f t="shared" si="14"/>
        <v>0</v>
      </c>
      <c r="T68" s="104">
        <f t="shared" si="14"/>
        <v>0</v>
      </c>
      <c r="U68" s="104">
        <f t="shared" si="14"/>
        <v>0</v>
      </c>
      <c r="V68" s="104">
        <f t="shared" si="14"/>
        <v>0</v>
      </c>
      <c r="W68" s="104">
        <f t="shared" si="14"/>
        <v>0</v>
      </c>
      <c r="X68" s="104">
        <f t="shared" si="14"/>
        <v>0</v>
      </c>
      <c r="Y68" s="104">
        <f t="shared" si="14"/>
        <v>0</v>
      </c>
      <c r="Z68" s="104">
        <f t="shared" si="14"/>
        <v>0</v>
      </c>
      <c r="AA68" s="104">
        <f t="shared" si="14"/>
        <v>0</v>
      </c>
      <c r="AB68" s="104">
        <f t="shared" si="14"/>
        <v>0</v>
      </c>
      <c r="AC68" s="104">
        <f t="shared" si="14"/>
        <v>0</v>
      </c>
      <c r="AD68" s="104">
        <f t="shared" si="14"/>
        <v>0</v>
      </c>
      <c r="AE68" s="104">
        <f t="shared" si="14"/>
        <v>0</v>
      </c>
      <c r="AF68" s="104">
        <f t="shared" si="14"/>
        <v>0</v>
      </c>
      <c r="AG68" s="104">
        <f t="shared" si="14"/>
        <v>0</v>
      </c>
      <c r="AH68" s="104">
        <f t="shared" si="14"/>
        <v>0</v>
      </c>
      <c r="AI68" s="104">
        <f t="shared" si="14"/>
        <v>0</v>
      </c>
      <c r="AJ68" s="104">
        <f t="shared" si="14"/>
        <v>0</v>
      </c>
      <c r="AK68" s="104">
        <f t="shared" si="14"/>
        <v>0</v>
      </c>
      <c r="AL68" s="104">
        <f t="shared" si="14"/>
        <v>0</v>
      </c>
    </row>
    <row r="69" spans="2:38">
      <c r="B69" s="96" t="s">
        <v>57</v>
      </c>
      <c r="C69" s="111">
        <v>26</v>
      </c>
      <c r="D69" s="97">
        <f t="shared" si="13"/>
        <v>0</v>
      </c>
      <c r="E69" s="104">
        <f t="shared" si="14"/>
        <v>0</v>
      </c>
      <c r="F69" s="104">
        <f t="shared" si="14"/>
        <v>0</v>
      </c>
      <c r="G69" s="104">
        <f t="shared" si="14"/>
        <v>0</v>
      </c>
      <c r="H69" s="104">
        <f t="shared" si="14"/>
        <v>0</v>
      </c>
      <c r="I69" s="104">
        <f t="shared" si="14"/>
        <v>0</v>
      </c>
      <c r="J69" s="104">
        <f t="shared" si="14"/>
        <v>0</v>
      </c>
      <c r="K69" s="104">
        <f t="shared" si="14"/>
        <v>0</v>
      </c>
      <c r="L69" s="104">
        <f t="shared" si="14"/>
        <v>0</v>
      </c>
      <c r="M69" s="104">
        <f t="shared" si="14"/>
        <v>0</v>
      </c>
      <c r="N69" s="104">
        <f t="shared" si="14"/>
        <v>0</v>
      </c>
      <c r="O69" s="104">
        <f t="shared" si="14"/>
        <v>0</v>
      </c>
      <c r="P69" s="104">
        <f t="shared" si="14"/>
        <v>0</v>
      </c>
      <c r="Q69" s="104">
        <f t="shared" si="14"/>
        <v>0</v>
      </c>
      <c r="R69" s="104">
        <f t="shared" si="14"/>
        <v>0</v>
      </c>
      <c r="S69" s="104">
        <f t="shared" si="14"/>
        <v>0</v>
      </c>
      <c r="T69" s="104">
        <f t="shared" si="14"/>
        <v>0</v>
      </c>
      <c r="U69" s="104">
        <f t="shared" si="14"/>
        <v>0</v>
      </c>
      <c r="V69" s="104">
        <f t="shared" si="14"/>
        <v>0</v>
      </c>
      <c r="W69" s="104">
        <f t="shared" si="14"/>
        <v>0</v>
      </c>
      <c r="X69" s="104">
        <f t="shared" si="14"/>
        <v>0</v>
      </c>
      <c r="Y69" s="104">
        <f t="shared" si="14"/>
        <v>0</v>
      </c>
      <c r="Z69" s="104">
        <f t="shared" si="14"/>
        <v>0</v>
      </c>
      <c r="AA69" s="104">
        <f t="shared" si="14"/>
        <v>0</v>
      </c>
      <c r="AB69" s="104">
        <f t="shared" si="14"/>
        <v>0</v>
      </c>
      <c r="AC69" s="104">
        <f t="shared" si="14"/>
        <v>0</v>
      </c>
      <c r="AD69" s="104">
        <f t="shared" si="14"/>
        <v>0</v>
      </c>
      <c r="AE69" s="104">
        <f t="shared" si="14"/>
        <v>0</v>
      </c>
      <c r="AF69" s="104">
        <f t="shared" si="14"/>
        <v>0</v>
      </c>
      <c r="AG69" s="104">
        <f t="shared" si="14"/>
        <v>0</v>
      </c>
      <c r="AH69" s="104">
        <f t="shared" si="14"/>
        <v>0</v>
      </c>
      <c r="AI69" s="104">
        <f t="shared" si="14"/>
        <v>0</v>
      </c>
      <c r="AJ69" s="104">
        <f t="shared" si="14"/>
        <v>0</v>
      </c>
      <c r="AK69" s="104">
        <f t="shared" si="14"/>
        <v>0</v>
      </c>
      <c r="AL69" s="104">
        <f t="shared" si="14"/>
        <v>0</v>
      </c>
    </row>
    <row r="70" spans="2:38">
      <c r="B70" s="96" t="s">
        <v>58</v>
      </c>
      <c r="C70" s="111">
        <v>48</v>
      </c>
      <c r="D70" s="97">
        <f t="shared" si="13"/>
        <v>0</v>
      </c>
      <c r="E70" s="104">
        <f t="shared" si="14"/>
        <v>0</v>
      </c>
      <c r="F70" s="104">
        <f t="shared" si="14"/>
        <v>0</v>
      </c>
      <c r="G70" s="104">
        <f t="shared" si="14"/>
        <v>0</v>
      </c>
      <c r="H70" s="104">
        <f t="shared" si="14"/>
        <v>0</v>
      </c>
      <c r="I70" s="104">
        <f t="shared" si="14"/>
        <v>0</v>
      </c>
      <c r="J70" s="104">
        <f t="shared" si="14"/>
        <v>0</v>
      </c>
      <c r="K70" s="104">
        <f t="shared" si="14"/>
        <v>0</v>
      </c>
      <c r="L70" s="104">
        <f t="shared" si="14"/>
        <v>0</v>
      </c>
      <c r="M70" s="104">
        <f t="shared" si="14"/>
        <v>0</v>
      </c>
      <c r="N70" s="104">
        <f t="shared" si="14"/>
        <v>0</v>
      </c>
      <c r="O70" s="104">
        <f t="shared" si="14"/>
        <v>0</v>
      </c>
      <c r="P70" s="104">
        <f t="shared" si="14"/>
        <v>0</v>
      </c>
      <c r="Q70" s="104">
        <f t="shared" si="14"/>
        <v>0</v>
      </c>
      <c r="R70" s="104">
        <f t="shared" si="14"/>
        <v>0</v>
      </c>
      <c r="S70" s="104">
        <f t="shared" si="14"/>
        <v>0</v>
      </c>
      <c r="T70" s="104">
        <f t="shared" si="14"/>
        <v>0</v>
      </c>
      <c r="U70" s="104">
        <f t="shared" si="14"/>
        <v>0</v>
      </c>
      <c r="V70" s="104">
        <f t="shared" si="14"/>
        <v>0</v>
      </c>
      <c r="W70" s="104">
        <f t="shared" si="14"/>
        <v>0</v>
      </c>
      <c r="X70" s="104">
        <f t="shared" si="14"/>
        <v>0</v>
      </c>
      <c r="Y70" s="104">
        <f t="shared" si="14"/>
        <v>0</v>
      </c>
      <c r="Z70" s="104">
        <f t="shared" si="14"/>
        <v>0</v>
      </c>
      <c r="AA70" s="104">
        <f t="shared" si="14"/>
        <v>0</v>
      </c>
      <c r="AB70" s="104">
        <f t="shared" si="14"/>
        <v>0</v>
      </c>
      <c r="AC70" s="104">
        <f t="shared" si="14"/>
        <v>0</v>
      </c>
      <c r="AD70" s="104">
        <f t="shared" si="14"/>
        <v>0</v>
      </c>
      <c r="AE70" s="104">
        <f t="shared" si="14"/>
        <v>0</v>
      </c>
      <c r="AF70" s="104">
        <f t="shared" si="14"/>
        <v>0</v>
      </c>
      <c r="AG70" s="104">
        <f t="shared" si="14"/>
        <v>0</v>
      </c>
      <c r="AH70" s="104">
        <f t="shared" si="14"/>
        <v>0</v>
      </c>
      <c r="AI70" s="104">
        <f t="shared" si="14"/>
        <v>0</v>
      </c>
      <c r="AJ70" s="104">
        <f t="shared" si="14"/>
        <v>0</v>
      </c>
      <c r="AK70" s="104">
        <f t="shared" si="14"/>
        <v>0</v>
      </c>
      <c r="AL70" s="104">
        <f t="shared" si="14"/>
        <v>0</v>
      </c>
    </row>
    <row r="71" spans="2:38">
      <c r="B71" s="96" t="s">
        <v>59</v>
      </c>
      <c r="C71" s="112">
        <v>8</v>
      </c>
      <c r="D71" s="97">
        <f t="shared" si="13"/>
        <v>31584</v>
      </c>
      <c r="E71" s="104">
        <f t="shared" si="13"/>
        <v>0</v>
      </c>
      <c r="F71" s="104">
        <f t="shared" si="13"/>
        <v>0</v>
      </c>
      <c r="G71" s="104">
        <f t="shared" si="13"/>
        <v>2368</v>
      </c>
      <c r="H71" s="104">
        <f t="shared" si="13"/>
        <v>0</v>
      </c>
      <c r="I71" s="104">
        <f t="shared" si="13"/>
        <v>1968</v>
      </c>
      <c r="J71" s="104">
        <f t="shared" si="13"/>
        <v>2160</v>
      </c>
      <c r="K71" s="104">
        <f t="shared" si="13"/>
        <v>592</v>
      </c>
      <c r="L71" s="104">
        <f t="shared" si="13"/>
        <v>4896</v>
      </c>
      <c r="M71" s="104">
        <f t="shared" si="13"/>
        <v>464</v>
      </c>
      <c r="N71" s="104">
        <f t="shared" si="13"/>
        <v>5344</v>
      </c>
      <c r="O71" s="104">
        <f t="shared" si="13"/>
        <v>1056</v>
      </c>
      <c r="P71" s="104">
        <f t="shared" si="13"/>
        <v>2368</v>
      </c>
      <c r="Q71" s="104">
        <f t="shared" si="13"/>
        <v>2800</v>
      </c>
      <c r="R71" s="104">
        <f t="shared" si="13"/>
        <v>3568</v>
      </c>
      <c r="S71" s="104">
        <f t="shared" si="13"/>
        <v>3808</v>
      </c>
      <c r="T71" s="104">
        <f t="shared" si="14"/>
        <v>192</v>
      </c>
      <c r="U71" s="104">
        <f t="shared" si="14"/>
        <v>0</v>
      </c>
      <c r="V71" s="104">
        <f t="shared" si="14"/>
        <v>0</v>
      </c>
      <c r="W71" s="104">
        <f t="shared" si="14"/>
        <v>0</v>
      </c>
      <c r="X71" s="104">
        <f t="shared" si="14"/>
        <v>0</v>
      </c>
      <c r="Y71" s="104">
        <f t="shared" si="14"/>
        <v>0</v>
      </c>
      <c r="Z71" s="104">
        <f t="shared" si="14"/>
        <v>0</v>
      </c>
      <c r="AA71" s="104">
        <f t="shared" si="14"/>
        <v>0</v>
      </c>
      <c r="AB71" s="104">
        <f t="shared" si="14"/>
        <v>0</v>
      </c>
      <c r="AC71" s="104">
        <f t="shared" si="14"/>
        <v>0</v>
      </c>
      <c r="AD71" s="104">
        <f t="shared" si="14"/>
        <v>0</v>
      </c>
      <c r="AE71" s="104">
        <f t="shared" si="14"/>
        <v>0</v>
      </c>
      <c r="AF71" s="104">
        <f t="shared" si="14"/>
        <v>0</v>
      </c>
      <c r="AG71" s="104">
        <f t="shared" si="14"/>
        <v>0</v>
      </c>
      <c r="AH71" s="104">
        <f t="shared" si="14"/>
        <v>0</v>
      </c>
      <c r="AI71" s="104">
        <f t="shared" si="14"/>
        <v>0</v>
      </c>
      <c r="AJ71" s="104">
        <f t="shared" si="14"/>
        <v>0</v>
      </c>
      <c r="AK71" s="104">
        <f t="shared" si="14"/>
        <v>0</v>
      </c>
      <c r="AL71" s="104">
        <f t="shared" si="14"/>
        <v>0</v>
      </c>
    </row>
    <row r="72" spans="2:38">
      <c r="B72" s="35" t="s">
        <v>85</v>
      </c>
      <c r="C72" s="263">
        <v>3.2</v>
      </c>
      <c r="D72" s="264">
        <f>D50*$C72</f>
        <v>0</v>
      </c>
      <c r="E72" s="107">
        <f>+$C$72*E50</f>
        <v>0</v>
      </c>
      <c r="F72" s="107">
        <f>+$C$72*F50</f>
        <v>0</v>
      </c>
      <c r="G72" s="107">
        <f t="shared" ref="G72:AL72" si="15">+$C$72*G50</f>
        <v>0</v>
      </c>
      <c r="H72" s="107">
        <f t="shared" si="15"/>
        <v>0</v>
      </c>
      <c r="I72" s="107">
        <f t="shared" si="15"/>
        <v>0</v>
      </c>
      <c r="J72" s="107">
        <f t="shared" si="15"/>
        <v>0</v>
      </c>
      <c r="K72" s="107">
        <f t="shared" si="15"/>
        <v>0</v>
      </c>
      <c r="L72" s="107">
        <f t="shared" si="15"/>
        <v>0</v>
      </c>
      <c r="M72" s="107">
        <f t="shared" si="15"/>
        <v>0</v>
      </c>
      <c r="N72" s="107">
        <f t="shared" si="15"/>
        <v>0</v>
      </c>
      <c r="O72" s="107">
        <f t="shared" si="15"/>
        <v>0</v>
      </c>
      <c r="P72" s="107">
        <f t="shared" si="15"/>
        <v>0</v>
      </c>
      <c r="Q72" s="107">
        <f t="shared" si="15"/>
        <v>0</v>
      </c>
      <c r="R72" s="107">
        <f t="shared" si="15"/>
        <v>0</v>
      </c>
      <c r="S72" s="107">
        <f t="shared" si="15"/>
        <v>0</v>
      </c>
      <c r="T72" s="107">
        <f t="shared" si="15"/>
        <v>0</v>
      </c>
      <c r="U72" s="107">
        <f t="shared" si="15"/>
        <v>0</v>
      </c>
      <c r="V72" s="107">
        <f t="shared" si="15"/>
        <v>0</v>
      </c>
      <c r="W72" s="107">
        <f t="shared" si="15"/>
        <v>0</v>
      </c>
      <c r="X72" s="107">
        <f t="shared" si="15"/>
        <v>0</v>
      </c>
      <c r="Y72" s="107">
        <f t="shared" si="15"/>
        <v>0</v>
      </c>
      <c r="Z72" s="107">
        <f t="shared" si="15"/>
        <v>0</v>
      </c>
      <c r="AA72" s="107">
        <f t="shared" si="15"/>
        <v>0</v>
      </c>
      <c r="AB72" s="107">
        <f t="shared" si="15"/>
        <v>0</v>
      </c>
      <c r="AC72" s="107">
        <f t="shared" si="15"/>
        <v>0</v>
      </c>
      <c r="AD72" s="107">
        <f t="shared" si="15"/>
        <v>0</v>
      </c>
      <c r="AE72" s="107">
        <f t="shared" si="15"/>
        <v>0</v>
      </c>
      <c r="AF72" s="107">
        <f t="shared" si="15"/>
        <v>0</v>
      </c>
      <c r="AG72" s="107">
        <f t="shared" si="15"/>
        <v>0</v>
      </c>
      <c r="AH72" s="107">
        <f t="shared" si="15"/>
        <v>0</v>
      </c>
      <c r="AI72" s="107">
        <f t="shared" si="15"/>
        <v>0</v>
      </c>
      <c r="AJ72" s="107">
        <f t="shared" si="15"/>
        <v>0</v>
      </c>
      <c r="AK72" s="107">
        <f t="shared" si="15"/>
        <v>0</v>
      </c>
      <c r="AL72" s="107">
        <f t="shared" si="15"/>
        <v>0</v>
      </c>
    </row>
    <row r="73" spans="2:38">
      <c r="D73">
        <f>D59/D26</f>
        <v>28.080989731908087</v>
      </c>
    </row>
    <row r="74" spans="2:38">
      <c r="B74" s="318" t="s">
        <v>86</v>
      </c>
      <c r="C74" s="319"/>
      <c r="D74" s="108">
        <f>AVERAGEIF(E59:N59, "&gt;0")</f>
        <v>845279.4444444445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6" spans="2:38">
      <c r="B76" s="12" t="s">
        <v>87</v>
      </c>
      <c r="C76" s="13">
        <v>0.31</v>
      </c>
      <c r="D76" s="231">
        <f>SUM(E76:AB76)</f>
        <v>6054802.1999999983</v>
      </c>
      <c r="E76" s="171">
        <f t="shared" ref="E76" si="16">E59*$C$76</f>
        <v>0</v>
      </c>
      <c r="F76" s="14">
        <f>F59*$C$76</f>
        <v>134049.26999999999</v>
      </c>
      <c r="G76" s="14">
        <f>G59*$C$76</f>
        <v>202060.79</v>
      </c>
      <c r="H76" s="14">
        <f t="shared" ref="H76:AL76" si="17">H59*$C$76</f>
        <v>176694.42</v>
      </c>
      <c r="I76" s="14">
        <f t="shared" si="17"/>
        <v>264675.52</v>
      </c>
      <c r="J76" s="14">
        <f t="shared" si="17"/>
        <v>238687.6</v>
      </c>
      <c r="K76" s="14">
        <f t="shared" si="17"/>
        <v>411863.21</v>
      </c>
      <c r="L76" s="14">
        <f t="shared" si="17"/>
        <v>265879.56</v>
      </c>
      <c r="M76" s="14">
        <f t="shared" si="17"/>
        <v>348929.18</v>
      </c>
      <c r="N76" s="14">
        <f t="shared" si="17"/>
        <v>315490.09999999998</v>
      </c>
      <c r="O76" s="14">
        <f t="shared" si="17"/>
        <v>510044.24</v>
      </c>
      <c r="P76" s="14">
        <f t="shared" si="17"/>
        <v>649677.54</v>
      </c>
      <c r="Q76" s="14">
        <f t="shared" si="17"/>
        <v>307584.48</v>
      </c>
      <c r="R76" s="14">
        <f t="shared" si="17"/>
        <v>464890.57</v>
      </c>
      <c r="S76" s="14">
        <f t="shared" si="17"/>
        <v>440411.11</v>
      </c>
      <c r="T76" s="14">
        <f t="shared" si="17"/>
        <v>110342.02</v>
      </c>
      <c r="U76" s="14">
        <f t="shared" si="17"/>
        <v>67870.47</v>
      </c>
      <c r="V76" s="14">
        <f t="shared" si="17"/>
        <v>219190.46</v>
      </c>
      <c r="W76" s="14">
        <f t="shared" si="17"/>
        <v>216887.47</v>
      </c>
      <c r="X76" s="14">
        <f t="shared" si="17"/>
        <v>173802.12</v>
      </c>
      <c r="Y76" s="14">
        <f t="shared" si="17"/>
        <v>84804.22</v>
      </c>
      <c r="Z76" s="14">
        <f t="shared" si="17"/>
        <v>176476.18</v>
      </c>
      <c r="AA76" s="14">
        <f t="shared" si="17"/>
        <v>62451.67</v>
      </c>
      <c r="AB76" s="14">
        <f t="shared" si="17"/>
        <v>212040</v>
      </c>
      <c r="AC76" s="14">
        <f t="shared" si="17"/>
        <v>185723.48</v>
      </c>
      <c r="AD76" s="14">
        <f t="shared" si="17"/>
        <v>0</v>
      </c>
      <c r="AE76" s="14">
        <f t="shared" si="17"/>
        <v>0</v>
      </c>
      <c r="AF76" s="14">
        <f t="shared" si="17"/>
        <v>0</v>
      </c>
      <c r="AG76" s="14">
        <f t="shared" si="17"/>
        <v>0</v>
      </c>
      <c r="AH76" s="14">
        <f t="shared" si="17"/>
        <v>0</v>
      </c>
      <c r="AI76" s="14">
        <f t="shared" si="17"/>
        <v>0</v>
      </c>
      <c r="AJ76" s="14">
        <f t="shared" si="17"/>
        <v>0</v>
      </c>
      <c r="AK76" s="14">
        <f t="shared" si="17"/>
        <v>0</v>
      </c>
      <c r="AL76" s="14">
        <f t="shared" si="17"/>
        <v>0</v>
      </c>
    </row>
    <row r="77" spans="2:38">
      <c r="B77" s="16" t="s">
        <v>88</v>
      </c>
      <c r="C77" s="17">
        <v>73000</v>
      </c>
      <c r="D77" s="232">
        <f>SUM(E77:AB77)</f>
        <v>1752000</v>
      </c>
      <c r="E77" s="172">
        <f t="shared" ref="E77:AL77" si="18">$C$77</f>
        <v>73000</v>
      </c>
      <c r="F77" s="18">
        <f t="shared" si="18"/>
        <v>73000</v>
      </c>
      <c r="G77" s="18">
        <f t="shared" si="18"/>
        <v>73000</v>
      </c>
      <c r="H77" s="18">
        <f t="shared" si="18"/>
        <v>73000</v>
      </c>
      <c r="I77" s="18">
        <f t="shared" si="18"/>
        <v>73000</v>
      </c>
      <c r="J77" s="18">
        <f t="shared" si="18"/>
        <v>73000</v>
      </c>
      <c r="K77" s="18">
        <f t="shared" si="18"/>
        <v>73000</v>
      </c>
      <c r="L77" s="18">
        <f t="shared" si="18"/>
        <v>73000</v>
      </c>
      <c r="M77" s="18">
        <f t="shared" si="18"/>
        <v>73000</v>
      </c>
      <c r="N77" s="18">
        <f t="shared" si="18"/>
        <v>73000</v>
      </c>
      <c r="O77" s="18">
        <f t="shared" si="18"/>
        <v>73000</v>
      </c>
      <c r="P77" s="18">
        <f t="shared" si="18"/>
        <v>73000</v>
      </c>
      <c r="Q77" s="18">
        <f t="shared" si="18"/>
        <v>73000</v>
      </c>
      <c r="R77" s="18">
        <f t="shared" si="18"/>
        <v>73000</v>
      </c>
      <c r="S77" s="18">
        <f t="shared" si="18"/>
        <v>73000</v>
      </c>
      <c r="T77" s="18">
        <f t="shared" si="18"/>
        <v>73000</v>
      </c>
      <c r="U77" s="18">
        <f t="shared" si="18"/>
        <v>73000</v>
      </c>
      <c r="V77" s="18">
        <f t="shared" si="18"/>
        <v>73000</v>
      </c>
      <c r="W77" s="18">
        <f t="shared" si="18"/>
        <v>73000</v>
      </c>
      <c r="X77" s="18">
        <f t="shared" si="18"/>
        <v>73000</v>
      </c>
      <c r="Y77" s="18">
        <f t="shared" si="18"/>
        <v>73000</v>
      </c>
      <c r="Z77" s="18">
        <f t="shared" si="18"/>
        <v>73000</v>
      </c>
      <c r="AA77" s="18">
        <f t="shared" si="18"/>
        <v>73000</v>
      </c>
      <c r="AB77" s="18">
        <f t="shared" si="18"/>
        <v>73000</v>
      </c>
      <c r="AC77" s="18">
        <f t="shared" si="18"/>
        <v>73000</v>
      </c>
      <c r="AD77" s="18">
        <f t="shared" si="18"/>
        <v>73000</v>
      </c>
      <c r="AE77" s="18">
        <f t="shared" si="18"/>
        <v>73000</v>
      </c>
      <c r="AF77" s="18">
        <f t="shared" si="18"/>
        <v>73000</v>
      </c>
      <c r="AG77" s="18">
        <f t="shared" si="18"/>
        <v>73000</v>
      </c>
      <c r="AH77" s="18">
        <f t="shared" si="18"/>
        <v>73000</v>
      </c>
      <c r="AI77" s="18">
        <f t="shared" si="18"/>
        <v>73000</v>
      </c>
      <c r="AJ77" s="18">
        <f t="shared" si="18"/>
        <v>73000</v>
      </c>
      <c r="AK77" s="18">
        <f t="shared" si="18"/>
        <v>73000</v>
      </c>
      <c r="AL77" s="18">
        <f t="shared" si="18"/>
        <v>73000</v>
      </c>
    </row>
    <row r="78" spans="2:38">
      <c r="B78" s="16" t="s">
        <v>89</v>
      </c>
      <c r="C78" s="17">
        <v>45000</v>
      </c>
      <c r="D78" s="232">
        <f>SUM(E78:AB78)</f>
        <v>1080000</v>
      </c>
      <c r="E78" s="172">
        <f t="shared" ref="E78:AL78" si="19">$C$78</f>
        <v>45000</v>
      </c>
      <c r="F78" s="18">
        <f t="shared" si="19"/>
        <v>45000</v>
      </c>
      <c r="G78" s="18">
        <f t="shared" si="19"/>
        <v>45000</v>
      </c>
      <c r="H78" s="18">
        <f t="shared" si="19"/>
        <v>45000</v>
      </c>
      <c r="I78" s="18">
        <f t="shared" si="19"/>
        <v>45000</v>
      </c>
      <c r="J78" s="18">
        <f t="shared" si="19"/>
        <v>45000</v>
      </c>
      <c r="K78" s="18">
        <f t="shared" si="19"/>
        <v>45000</v>
      </c>
      <c r="L78" s="18">
        <f t="shared" si="19"/>
        <v>45000</v>
      </c>
      <c r="M78" s="18">
        <f t="shared" si="19"/>
        <v>45000</v>
      </c>
      <c r="N78" s="18">
        <f t="shared" si="19"/>
        <v>45000</v>
      </c>
      <c r="O78" s="18">
        <f t="shared" si="19"/>
        <v>45000</v>
      </c>
      <c r="P78" s="18">
        <f t="shared" si="19"/>
        <v>45000</v>
      </c>
      <c r="Q78" s="18">
        <f t="shared" si="19"/>
        <v>45000</v>
      </c>
      <c r="R78" s="18">
        <f t="shared" si="19"/>
        <v>45000</v>
      </c>
      <c r="S78" s="18">
        <f t="shared" si="19"/>
        <v>45000</v>
      </c>
      <c r="T78" s="18">
        <f t="shared" si="19"/>
        <v>45000</v>
      </c>
      <c r="U78" s="18">
        <f t="shared" si="19"/>
        <v>45000</v>
      </c>
      <c r="V78" s="18">
        <f t="shared" si="19"/>
        <v>45000</v>
      </c>
      <c r="W78" s="18">
        <f t="shared" si="19"/>
        <v>45000</v>
      </c>
      <c r="X78" s="18">
        <f t="shared" si="19"/>
        <v>45000</v>
      </c>
      <c r="Y78" s="18">
        <f t="shared" si="19"/>
        <v>45000</v>
      </c>
      <c r="Z78" s="18">
        <f t="shared" si="19"/>
        <v>45000</v>
      </c>
      <c r="AA78" s="18">
        <f t="shared" si="19"/>
        <v>45000</v>
      </c>
      <c r="AB78" s="18">
        <f t="shared" si="19"/>
        <v>45000</v>
      </c>
      <c r="AC78" s="18">
        <f t="shared" si="19"/>
        <v>45000</v>
      </c>
      <c r="AD78" s="18">
        <f t="shared" si="19"/>
        <v>45000</v>
      </c>
      <c r="AE78" s="18">
        <f t="shared" si="19"/>
        <v>45000</v>
      </c>
      <c r="AF78" s="18">
        <f t="shared" si="19"/>
        <v>45000</v>
      </c>
      <c r="AG78" s="18">
        <f t="shared" si="19"/>
        <v>45000</v>
      </c>
      <c r="AH78" s="18">
        <f t="shared" si="19"/>
        <v>45000</v>
      </c>
      <c r="AI78" s="18">
        <f t="shared" si="19"/>
        <v>45000</v>
      </c>
      <c r="AJ78" s="18">
        <f t="shared" si="19"/>
        <v>45000</v>
      </c>
      <c r="AK78" s="18">
        <f t="shared" si="19"/>
        <v>45000</v>
      </c>
      <c r="AL78" s="18">
        <f t="shared" si="19"/>
        <v>45000</v>
      </c>
    </row>
    <row r="79" spans="2:38">
      <c r="B79" s="20" t="s">
        <v>90</v>
      </c>
      <c r="C79" s="21">
        <v>9.67</v>
      </c>
      <c r="D79" s="233">
        <f>SUM(E79:AB79)</f>
        <v>2378820</v>
      </c>
      <c r="E79" s="173">
        <f t="shared" ref="E79:AL79" si="20">$C$79*E41</f>
        <v>29010</v>
      </c>
      <c r="F79" s="23">
        <f t="shared" si="20"/>
        <v>96700</v>
      </c>
      <c r="G79" s="23">
        <f t="shared" si="20"/>
        <v>96700</v>
      </c>
      <c r="H79" s="23">
        <f t="shared" si="20"/>
        <v>96700</v>
      </c>
      <c r="I79" s="23">
        <f t="shared" si="20"/>
        <v>106370</v>
      </c>
      <c r="J79" s="23">
        <f t="shared" si="20"/>
        <v>125710</v>
      </c>
      <c r="K79" s="23">
        <f t="shared" si="20"/>
        <v>135380</v>
      </c>
      <c r="L79" s="23">
        <f t="shared" si="20"/>
        <v>106370</v>
      </c>
      <c r="M79" s="23">
        <f t="shared" si="20"/>
        <v>116040</v>
      </c>
      <c r="N79" s="23">
        <f t="shared" si="20"/>
        <v>106370</v>
      </c>
      <c r="O79" s="23">
        <f t="shared" si="20"/>
        <v>116040</v>
      </c>
      <c r="P79" s="23">
        <f t="shared" si="20"/>
        <v>125710</v>
      </c>
      <c r="Q79" s="23">
        <f t="shared" si="20"/>
        <v>125710</v>
      </c>
      <c r="R79" s="23">
        <f t="shared" si="20"/>
        <v>116040</v>
      </c>
      <c r="S79" s="23">
        <f t="shared" si="20"/>
        <v>116040</v>
      </c>
      <c r="T79" s="23">
        <f t="shared" si="20"/>
        <v>96700</v>
      </c>
      <c r="U79" s="23">
        <f t="shared" si="20"/>
        <v>87030</v>
      </c>
      <c r="V79" s="23">
        <f t="shared" si="20"/>
        <v>87030</v>
      </c>
      <c r="W79" s="23">
        <f t="shared" si="20"/>
        <v>87030</v>
      </c>
      <c r="X79" s="23">
        <f t="shared" si="20"/>
        <v>77360</v>
      </c>
      <c r="Y79" s="23">
        <f t="shared" si="20"/>
        <v>77360</v>
      </c>
      <c r="Z79" s="23">
        <f t="shared" si="20"/>
        <v>77360</v>
      </c>
      <c r="AA79" s="23">
        <f t="shared" si="20"/>
        <v>77360</v>
      </c>
      <c r="AB79" s="23">
        <f t="shared" si="20"/>
        <v>96700</v>
      </c>
      <c r="AC79" s="23">
        <f t="shared" si="20"/>
        <v>135380</v>
      </c>
      <c r="AD79" s="23">
        <f t="shared" si="20"/>
        <v>154720</v>
      </c>
      <c r="AE79" s="23">
        <f t="shared" si="20"/>
        <v>135380</v>
      </c>
      <c r="AF79" s="23">
        <f t="shared" si="20"/>
        <v>67690</v>
      </c>
      <c r="AG79" s="23">
        <f t="shared" si="20"/>
        <v>48350</v>
      </c>
      <c r="AH79" s="23">
        <f t="shared" si="20"/>
        <v>0</v>
      </c>
      <c r="AI79" s="23">
        <f t="shared" si="20"/>
        <v>0</v>
      </c>
      <c r="AJ79" s="23">
        <f t="shared" si="20"/>
        <v>0</v>
      </c>
      <c r="AK79" s="23">
        <f t="shared" si="20"/>
        <v>0</v>
      </c>
      <c r="AL79" s="23">
        <f t="shared" si="20"/>
        <v>0</v>
      </c>
    </row>
    <row r="80" spans="2:38">
      <c r="B80" s="24" t="s">
        <v>91</v>
      </c>
      <c r="C80" s="25">
        <f>SUM(E80:AB80)</f>
        <v>8265997.7999999998</v>
      </c>
      <c r="D80" s="174">
        <f>D59-D76-D77-D78-D79</f>
        <v>8865105.8000000007</v>
      </c>
      <c r="E80" s="26">
        <f t="shared" ref="E80:AL80" si="21">E59-E76-E77-E78-E79</f>
        <v>-147010</v>
      </c>
      <c r="F80" s="26">
        <f t="shared" si="21"/>
        <v>83667.729999999981</v>
      </c>
      <c r="G80" s="26">
        <f>G59-G76-G77-G78-G79</f>
        <v>235048.20999999996</v>
      </c>
      <c r="H80" s="26">
        <f t="shared" si="21"/>
        <v>178587.57999999996</v>
      </c>
      <c r="I80" s="26">
        <f t="shared" si="21"/>
        <v>364746.48</v>
      </c>
      <c r="J80" s="26">
        <f t="shared" si="21"/>
        <v>287562.40000000002</v>
      </c>
      <c r="K80" s="27">
        <f t="shared" si="21"/>
        <v>663347.79</v>
      </c>
      <c r="L80" s="26">
        <f t="shared" si="21"/>
        <v>367426.43999999994</v>
      </c>
      <c r="M80" s="27">
        <f t="shared" si="21"/>
        <v>542608.82000000007</v>
      </c>
      <c r="N80" s="26">
        <f t="shared" si="21"/>
        <v>477849.9</v>
      </c>
      <c r="O80" s="26">
        <f t="shared" si="21"/>
        <v>901219.76</v>
      </c>
      <c r="P80" s="26">
        <f t="shared" si="21"/>
        <v>1202346.46</v>
      </c>
      <c r="Q80" s="26">
        <f t="shared" si="21"/>
        <v>440913.52</v>
      </c>
      <c r="R80" s="26">
        <f t="shared" si="21"/>
        <v>800716.42999999993</v>
      </c>
      <c r="S80" s="26">
        <f t="shared" si="21"/>
        <v>746229.89</v>
      </c>
      <c r="T80" s="26">
        <f t="shared" si="21"/>
        <v>30899.979999999981</v>
      </c>
      <c r="U80" s="26">
        <f t="shared" si="21"/>
        <v>-53963.47</v>
      </c>
      <c r="V80" s="26">
        <f t="shared" si="21"/>
        <v>282845.54000000004</v>
      </c>
      <c r="W80" s="26">
        <f t="shared" si="21"/>
        <v>277719.53000000003</v>
      </c>
      <c r="X80" s="26">
        <f t="shared" si="21"/>
        <v>191489.88</v>
      </c>
      <c r="Y80" s="26">
        <f t="shared" si="21"/>
        <v>-6602.2200000000012</v>
      </c>
      <c r="Z80" s="26">
        <f t="shared" si="21"/>
        <v>197441.82</v>
      </c>
      <c r="AA80" s="26">
        <f t="shared" si="21"/>
        <v>-56354.669999999984</v>
      </c>
      <c r="AB80" s="26">
        <f t="shared" si="21"/>
        <v>257260</v>
      </c>
      <c r="AC80" s="26">
        <f t="shared" si="21"/>
        <v>160004.52000000002</v>
      </c>
      <c r="AD80" s="26">
        <f t="shared" si="21"/>
        <v>-272720</v>
      </c>
      <c r="AE80" s="26">
        <f t="shared" si="21"/>
        <v>-253380</v>
      </c>
      <c r="AF80" s="26">
        <f t="shared" si="21"/>
        <v>-185690</v>
      </c>
      <c r="AG80" s="26">
        <f t="shared" si="21"/>
        <v>-166350</v>
      </c>
      <c r="AH80" s="26">
        <f t="shared" si="21"/>
        <v>-118000</v>
      </c>
      <c r="AI80" s="26">
        <f t="shared" si="21"/>
        <v>-118000</v>
      </c>
      <c r="AJ80" s="26">
        <f t="shared" si="21"/>
        <v>-118000</v>
      </c>
      <c r="AK80" s="26">
        <f t="shared" si="21"/>
        <v>-118000</v>
      </c>
      <c r="AL80" s="26">
        <f t="shared" si="21"/>
        <v>-118000</v>
      </c>
    </row>
    <row r="81" spans="2:38">
      <c r="B81" s="320" t="s">
        <v>92</v>
      </c>
      <c r="C81" s="321"/>
      <c r="D81" s="326"/>
      <c r="E81" s="29">
        <f>+E80</f>
        <v>-147010</v>
      </c>
      <c r="F81" s="29">
        <f t="shared" ref="F81:AL81" si="22">F80+E81</f>
        <v>-63342.270000000019</v>
      </c>
      <c r="G81" s="29">
        <f t="shared" si="22"/>
        <v>171705.93999999994</v>
      </c>
      <c r="H81" s="29">
        <f t="shared" si="22"/>
        <v>350293.5199999999</v>
      </c>
      <c r="I81" s="29">
        <f t="shared" si="22"/>
        <v>715039.99999999988</v>
      </c>
      <c r="J81" s="29">
        <f t="shared" si="22"/>
        <v>1002602.3999999999</v>
      </c>
      <c r="K81" s="28">
        <f t="shared" si="22"/>
        <v>1665950.19</v>
      </c>
      <c r="L81" s="29">
        <f t="shared" si="22"/>
        <v>2033376.63</v>
      </c>
      <c r="M81" s="28">
        <f t="shared" si="22"/>
        <v>2575985.4500000002</v>
      </c>
      <c r="N81" s="29">
        <f t="shared" si="22"/>
        <v>3053835.35</v>
      </c>
      <c r="O81" s="29">
        <f t="shared" si="22"/>
        <v>3955055.1100000003</v>
      </c>
      <c r="P81" s="29">
        <f t="shared" si="22"/>
        <v>5157401.57</v>
      </c>
      <c r="Q81" s="29">
        <f t="shared" si="22"/>
        <v>5598315.0899999999</v>
      </c>
      <c r="R81" s="29">
        <f t="shared" si="22"/>
        <v>6399031.5199999996</v>
      </c>
      <c r="S81" s="29">
        <f t="shared" si="22"/>
        <v>7145261.4099999992</v>
      </c>
      <c r="T81" s="29">
        <f t="shared" si="22"/>
        <v>7176161.3899999987</v>
      </c>
      <c r="U81" s="29">
        <f t="shared" si="22"/>
        <v>7122197.919999999</v>
      </c>
      <c r="V81" s="29">
        <f t="shared" si="22"/>
        <v>7405043.459999999</v>
      </c>
      <c r="W81" s="29">
        <f t="shared" si="22"/>
        <v>7682762.9899999993</v>
      </c>
      <c r="X81" s="29">
        <f t="shared" si="22"/>
        <v>7874252.8699999992</v>
      </c>
      <c r="Y81" s="29">
        <f t="shared" si="22"/>
        <v>7867650.6499999994</v>
      </c>
      <c r="Z81" s="29">
        <f t="shared" si="22"/>
        <v>8065092.4699999997</v>
      </c>
      <c r="AA81" s="29">
        <f t="shared" si="22"/>
        <v>8008737.7999999998</v>
      </c>
      <c r="AB81" s="29">
        <f t="shared" si="22"/>
        <v>8265997.7999999998</v>
      </c>
      <c r="AC81" s="29">
        <f t="shared" si="22"/>
        <v>8426002.3200000003</v>
      </c>
      <c r="AD81" s="29">
        <f t="shared" si="22"/>
        <v>8153282.3200000003</v>
      </c>
      <c r="AE81" s="29">
        <f t="shared" si="22"/>
        <v>7899902.3200000003</v>
      </c>
      <c r="AF81" s="29">
        <f t="shared" si="22"/>
        <v>7714212.3200000003</v>
      </c>
      <c r="AG81" s="29">
        <f t="shared" si="22"/>
        <v>7547862.3200000003</v>
      </c>
      <c r="AH81" s="29">
        <f t="shared" si="22"/>
        <v>7429862.3200000003</v>
      </c>
      <c r="AI81" s="29">
        <f t="shared" si="22"/>
        <v>7311862.3200000003</v>
      </c>
      <c r="AJ81" s="29">
        <f t="shared" si="22"/>
        <v>7193862.3200000003</v>
      </c>
      <c r="AK81" s="29">
        <f t="shared" si="22"/>
        <v>7075862.3200000003</v>
      </c>
      <c r="AL81" s="29">
        <f t="shared" si="22"/>
        <v>6957862.3200000003</v>
      </c>
    </row>
    <row r="82" spans="2:38">
      <c r="D82" s="258">
        <f>D80/D59</f>
        <v>0.44037681101249793</v>
      </c>
    </row>
    <row r="83" spans="2:38">
      <c r="D83" s="11"/>
    </row>
    <row r="84" spans="2:38">
      <c r="B84" s="30" t="s">
        <v>93</v>
      </c>
      <c r="C84" s="31">
        <f>D41/D26</f>
        <v>0.4212693599077113</v>
      </c>
    </row>
  </sheetData>
  <mergeCells count="6">
    <mergeCell ref="B81:D81"/>
    <mergeCell ref="A26:A38"/>
    <mergeCell ref="A41:A42"/>
    <mergeCell ref="A46:A51"/>
    <mergeCell ref="A53:A57"/>
    <mergeCell ref="B74:C74"/>
  </mergeCells>
  <conditionalFormatting sqref="E81:AL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4F2C-9AFD-46B7-9815-64F584B6D915}">
  <dimension ref="A2:AN89"/>
  <sheetViews>
    <sheetView topLeftCell="A55" workbookViewId="0">
      <selection activeCell="N51" sqref="N51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7" max="7" width="9.7109375" customWidth="1"/>
    <col min="8" max="8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>
        <v>3</v>
      </c>
    </row>
    <row r="4" spans="2:40" ht="15.75">
      <c r="B4" s="54" t="s">
        <v>3</v>
      </c>
      <c r="C4" s="110">
        <v>45350</v>
      </c>
    </row>
    <row r="5" spans="2:40" ht="15.75">
      <c r="B5" s="54" t="s">
        <v>4</v>
      </c>
      <c r="C5" s="110">
        <v>45385</v>
      </c>
    </row>
    <row r="6" spans="2:40" ht="15.75">
      <c r="B6" s="179" t="s">
        <v>230</v>
      </c>
      <c r="C6" s="110" t="s">
        <v>368</v>
      </c>
    </row>
    <row r="7" spans="2:40" ht="15.75">
      <c r="B7" s="2"/>
      <c r="C7" s="2"/>
    </row>
    <row r="8" spans="2:40" ht="15.75">
      <c r="B8" s="54" t="s">
        <v>5</v>
      </c>
      <c r="D8" s="41" t="s">
        <v>6</v>
      </c>
      <c r="E8" s="42">
        <v>45350</v>
      </c>
      <c r="F8" s="42">
        <v>45351</v>
      </c>
      <c r="G8" s="42">
        <v>45352</v>
      </c>
      <c r="H8" s="42">
        <v>45353</v>
      </c>
      <c r="I8" s="42">
        <v>45354</v>
      </c>
      <c r="J8" s="42">
        <v>45355</v>
      </c>
      <c r="K8" s="42">
        <v>45356</v>
      </c>
      <c r="L8" s="42">
        <v>45357</v>
      </c>
      <c r="M8" s="42">
        <v>45358</v>
      </c>
      <c r="N8" s="42">
        <v>45359</v>
      </c>
      <c r="O8" s="42">
        <v>45360</v>
      </c>
      <c r="P8" s="42">
        <v>45361</v>
      </c>
      <c r="Q8" s="42">
        <v>45362</v>
      </c>
      <c r="R8" s="42">
        <v>45363</v>
      </c>
      <c r="S8" s="42">
        <v>45364</v>
      </c>
      <c r="T8" s="42">
        <v>45365</v>
      </c>
      <c r="U8" s="42">
        <v>45366</v>
      </c>
      <c r="V8" s="42">
        <v>45367</v>
      </c>
      <c r="W8" s="42">
        <v>45368</v>
      </c>
      <c r="X8" s="42">
        <v>45369</v>
      </c>
      <c r="Y8" s="42">
        <v>45370</v>
      </c>
      <c r="Z8" s="42">
        <v>45371</v>
      </c>
      <c r="AA8" s="42">
        <v>45372</v>
      </c>
      <c r="AB8" s="42">
        <v>45373</v>
      </c>
      <c r="AC8" s="42">
        <v>45374</v>
      </c>
      <c r="AD8" s="42">
        <v>45375</v>
      </c>
      <c r="AE8" s="42">
        <v>45376</v>
      </c>
      <c r="AF8" s="42">
        <v>45377</v>
      </c>
      <c r="AG8" s="42">
        <v>45378</v>
      </c>
      <c r="AH8" s="42">
        <v>45379</v>
      </c>
      <c r="AI8" s="42">
        <v>45380</v>
      </c>
      <c r="AJ8" s="42">
        <v>45381</v>
      </c>
      <c r="AK8" s="42">
        <v>45382</v>
      </c>
      <c r="AL8" s="42">
        <v>45383</v>
      </c>
      <c r="AM8" s="42">
        <v>45384</v>
      </c>
      <c r="AN8" s="42">
        <v>45385</v>
      </c>
    </row>
    <row r="9" spans="2:40">
      <c r="B9" s="46" t="s">
        <v>7</v>
      </c>
      <c r="C9" s="47" t="s">
        <v>8</v>
      </c>
      <c r="D9" s="71">
        <f t="shared" ref="D9:D10" si="0">SUM(E9:AL9)</f>
        <v>678</v>
      </c>
      <c r="E9" s="114">
        <v>0</v>
      </c>
      <c r="F9" s="114">
        <v>0</v>
      </c>
      <c r="G9" s="114">
        <v>0</v>
      </c>
      <c r="H9" s="114">
        <v>20</v>
      </c>
      <c r="I9" s="114">
        <v>24</v>
      </c>
      <c r="J9" s="114">
        <v>14</v>
      </c>
      <c r="K9" s="114">
        <v>24</v>
      </c>
      <c r="L9" s="114">
        <v>24</v>
      </c>
      <c r="M9" s="114">
        <v>24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0</v>
      </c>
      <c r="AA9" s="114">
        <v>20</v>
      </c>
      <c r="AB9" s="114">
        <v>0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24</v>
      </c>
      <c r="AI9" s="114">
        <v>24</v>
      </c>
      <c r="AJ9" s="114">
        <v>24</v>
      </c>
      <c r="AK9" s="114">
        <v>24</v>
      </c>
      <c r="AL9" s="114">
        <v>24</v>
      </c>
      <c r="AM9" s="114">
        <v>0</v>
      </c>
      <c r="AN9" s="114">
        <v>0</v>
      </c>
    </row>
    <row r="10" spans="2:40">
      <c r="B10" s="48" t="s">
        <v>9</v>
      </c>
      <c r="C10" s="38" t="s">
        <v>8</v>
      </c>
      <c r="D10" s="71">
        <f t="shared" si="0"/>
        <v>10</v>
      </c>
      <c r="E10" s="115">
        <v>0</v>
      </c>
      <c r="F10" s="115">
        <v>0</v>
      </c>
      <c r="G10" s="115">
        <v>6</v>
      </c>
      <c r="H10" s="115">
        <v>4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</row>
    <row r="11" spans="2:40">
      <c r="B11" s="48" t="s">
        <v>10</v>
      </c>
      <c r="C11" s="38" t="s">
        <v>8</v>
      </c>
      <c r="D11" s="71">
        <f>SUM(E11:AL11)</f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11</v>
      </c>
      <c r="C12" s="38" t="s">
        <v>8</v>
      </c>
      <c r="D12" s="71">
        <f t="shared" ref="D12:D15" si="1">SUM(E12:AL12)</f>
        <v>6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6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12</v>
      </c>
      <c r="C13" s="38" t="s">
        <v>8</v>
      </c>
      <c r="D13" s="71">
        <f t="shared" si="1"/>
        <v>42</v>
      </c>
      <c r="E13" s="115">
        <v>24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18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</row>
    <row r="14" spans="2:40">
      <c r="B14" s="48" t="s">
        <v>13</v>
      </c>
      <c r="C14" s="38" t="s">
        <v>8</v>
      </c>
      <c r="D14" s="71">
        <f t="shared" si="1"/>
        <v>7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7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9" t="s">
        <v>14</v>
      </c>
      <c r="C15" s="40" t="s">
        <v>8</v>
      </c>
      <c r="D15" s="71">
        <f t="shared" si="1"/>
        <v>45</v>
      </c>
      <c r="E15" s="116">
        <v>0</v>
      </c>
      <c r="F15" s="116">
        <v>24</v>
      </c>
      <c r="G15" s="116">
        <v>18</v>
      </c>
      <c r="H15" s="116">
        <v>0</v>
      </c>
      <c r="I15" s="116">
        <v>0</v>
      </c>
      <c r="J15" s="116">
        <v>3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</row>
    <row r="16" spans="2:40">
      <c r="B16" s="68" t="s">
        <v>15</v>
      </c>
      <c r="C16" s="69" t="s">
        <v>8</v>
      </c>
      <c r="D16" s="70">
        <f t="shared" ref="D16" si="2">SUM(E16:K16)</f>
        <v>168</v>
      </c>
      <c r="E16" s="117">
        <f t="shared" ref="E16:AL16" si="3">SUM(E9:E15)</f>
        <v>24</v>
      </c>
      <c r="F16" s="117">
        <f t="shared" si="3"/>
        <v>24</v>
      </c>
      <c r="G16" s="117">
        <f t="shared" si="3"/>
        <v>24</v>
      </c>
      <c r="H16" s="117">
        <f t="shared" si="3"/>
        <v>24</v>
      </c>
      <c r="I16" s="117">
        <f t="shared" si="3"/>
        <v>24</v>
      </c>
      <c r="J16" s="117">
        <f t="shared" si="3"/>
        <v>24</v>
      </c>
      <c r="K16" s="117">
        <f t="shared" si="3"/>
        <v>24</v>
      </c>
      <c r="L16" s="117">
        <f t="shared" si="3"/>
        <v>24</v>
      </c>
      <c r="M16" s="117">
        <f t="shared" si="3"/>
        <v>24</v>
      </c>
      <c r="N16" s="117">
        <f t="shared" si="3"/>
        <v>24</v>
      </c>
      <c r="O16" s="117">
        <f t="shared" si="3"/>
        <v>24</v>
      </c>
      <c r="P16" s="117">
        <f t="shared" si="3"/>
        <v>24</v>
      </c>
      <c r="Q16" s="117">
        <f t="shared" si="3"/>
        <v>24</v>
      </c>
      <c r="R16" s="117">
        <f t="shared" si="3"/>
        <v>24</v>
      </c>
      <c r="S16" s="117">
        <f t="shared" si="3"/>
        <v>24</v>
      </c>
      <c r="T16" s="117">
        <f t="shared" si="3"/>
        <v>24</v>
      </c>
      <c r="U16" s="117">
        <f t="shared" si="3"/>
        <v>24</v>
      </c>
      <c r="V16" s="117">
        <f t="shared" si="3"/>
        <v>24</v>
      </c>
      <c r="W16" s="117">
        <f t="shared" si="3"/>
        <v>24</v>
      </c>
      <c r="X16" s="117">
        <f t="shared" si="3"/>
        <v>24</v>
      </c>
      <c r="Y16" s="117">
        <f t="shared" si="3"/>
        <v>24</v>
      </c>
      <c r="Z16" s="117">
        <f t="shared" si="3"/>
        <v>24</v>
      </c>
      <c r="AA16" s="117">
        <f t="shared" si="3"/>
        <v>20</v>
      </c>
      <c r="AB16" s="117">
        <f t="shared" si="3"/>
        <v>0</v>
      </c>
      <c r="AC16" s="117">
        <f t="shared" si="3"/>
        <v>24</v>
      </c>
      <c r="AD16" s="117">
        <f t="shared" si="3"/>
        <v>24</v>
      </c>
      <c r="AE16" s="117">
        <f t="shared" si="3"/>
        <v>24</v>
      </c>
      <c r="AF16" s="117">
        <f t="shared" si="3"/>
        <v>24</v>
      </c>
      <c r="AG16" s="117">
        <f t="shared" si="3"/>
        <v>24</v>
      </c>
      <c r="AH16" s="117">
        <f t="shared" si="3"/>
        <v>24</v>
      </c>
      <c r="AI16" s="117">
        <f t="shared" si="3"/>
        <v>24</v>
      </c>
      <c r="AJ16" s="117">
        <f t="shared" si="3"/>
        <v>24</v>
      </c>
      <c r="AK16" s="117">
        <f t="shared" si="3"/>
        <v>24</v>
      </c>
      <c r="AL16" s="117">
        <f t="shared" si="3"/>
        <v>24</v>
      </c>
      <c r="AM16" s="117">
        <f t="shared" ref="AM16:AN16" si="4">SUM(AM9:AM15)</f>
        <v>0</v>
      </c>
      <c r="AN16" s="117">
        <f t="shared" si="4"/>
        <v>0</v>
      </c>
    </row>
    <row r="18" spans="1:40">
      <c r="B18" s="50" t="s">
        <v>16</v>
      </c>
      <c r="C18" s="50" t="s">
        <v>0</v>
      </c>
      <c r="D18" s="58">
        <f>SUM(E18:K18)</f>
        <v>0</v>
      </c>
      <c r="E18" s="226" t="s">
        <v>203</v>
      </c>
      <c r="F18" s="127" t="s">
        <v>203</v>
      </c>
      <c r="G18" s="127" t="s">
        <v>203</v>
      </c>
      <c r="H18" s="127" t="s">
        <v>124</v>
      </c>
      <c r="I18" s="127" t="s">
        <v>285</v>
      </c>
      <c r="J18" s="127" t="s">
        <v>431</v>
      </c>
      <c r="K18" s="127" t="s">
        <v>285</v>
      </c>
      <c r="L18" s="127" t="s">
        <v>432</v>
      </c>
      <c r="M18" s="127" t="s">
        <v>432</v>
      </c>
      <c r="N18" s="127" t="s">
        <v>432</v>
      </c>
      <c r="O18" s="127" t="s">
        <v>432</v>
      </c>
      <c r="P18" s="127" t="s">
        <v>433</v>
      </c>
      <c r="Q18" s="127" t="s">
        <v>433</v>
      </c>
      <c r="R18" s="127" t="s">
        <v>433</v>
      </c>
      <c r="S18" s="127" t="s">
        <v>433</v>
      </c>
      <c r="T18" s="127" t="s">
        <v>433</v>
      </c>
      <c r="U18" s="127" t="s">
        <v>433</v>
      </c>
      <c r="V18" s="127" t="s">
        <v>433</v>
      </c>
      <c r="W18" s="127" t="s">
        <v>433</v>
      </c>
      <c r="X18" s="127" t="s">
        <v>433</v>
      </c>
      <c r="Y18" s="127" t="s">
        <v>433</v>
      </c>
      <c r="Z18" s="127" t="s">
        <v>434</v>
      </c>
      <c r="AA18" s="127" t="s">
        <v>435</v>
      </c>
      <c r="AB18" s="127" t="s">
        <v>124</v>
      </c>
      <c r="AC18" s="127" t="s">
        <v>119</v>
      </c>
      <c r="AD18" s="127" t="s">
        <v>261</v>
      </c>
      <c r="AE18" s="127" t="s">
        <v>436</v>
      </c>
      <c r="AF18" s="127" t="s">
        <v>436</v>
      </c>
      <c r="AG18" s="127" t="s">
        <v>436</v>
      </c>
      <c r="AH18" s="127" t="s">
        <v>119</v>
      </c>
      <c r="AI18" s="127" t="s">
        <v>117</v>
      </c>
      <c r="AJ18" s="127" t="s">
        <v>119</v>
      </c>
      <c r="AK18" s="127" t="s">
        <v>117</v>
      </c>
      <c r="AL18" s="196" t="s">
        <v>117</v>
      </c>
      <c r="AM18" s="196">
        <v>1</v>
      </c>
      <c r="AN18" s="196">
        <v>2</v>
      </c>
    </row>
    <row r="19" spans="1:40">
      <c r="B19" s="37" t="s">
        <v>31</v>
      </c>
      <c r="C19" s="37" t="s">
        <v>32</v>
      </c>
      <c r="D19" s="131">
        <f>SUM(E19:AB19)</f>
        <v>286.39999999999998</v>
      </c>
      <c r="E19" s="126">
        <v>0</v>
      </c>
      <c r="F19" s="128">
        <v>0</v>
      </c>
      <c r="G19" s="128">
        <v>0</v>
      </c>
      <c r="H19" s="128">
        <v>7.5</v>
      </c>
      <c r="I19" s="128">
        <v>16.5</v>
      </c>
      <c r="J19" s="128">
        <v>8</v>
      </c>
      <c r="K19" s="128">
        <v>5.4</v>
      </c>
      <c r="L19" s="128">
        <v>21</v>
      </c>
      <c r="M19" s="128">
        <v>17.5</v>
      </c>
      <c r="N19" s="128">
        <v>17</v>
      </c>
      <c r="O19" s="128">
        <v>20</v>
      </c>
      <c r="P19" s="128">
        <v>9</v>
      </c>
      <c r="Q19" s="128">
        <v>14</v>
      </c>
      <c r="R19" s="128">
        <v>17</v>
      </c>
      <c r="S19" s="128">
        <v>22</v>
      </c>
      <c r="T19" s="128">
        <v>9</v>
      </c>
      <c r="U19" s="128">
        <v>13</v>
      </c>
      <c r="V19" s="128">
        <v>21.5</v>
      </c>
      <c r="W19" s="128">
        <v>13</v>
      </c>
      <c r="X19" s="128">
        <v>21</v>
      </c>
      <c r="Y19" s="128">
        <v>5</v>
      </c>
      <c r="Z19" s="128">
        <v>0</v>
      </c>
      <c r="AA19" s="128">
        <v>15</v>
      </c>
      <c r="AB19" s="128">
        <v>14</v>
      </c>
      <c r="AC19" s="128">
        <v>14</v>
      </c>
      <c r="AD19" s="128">
        <v>5</v>
      </c>
      <c r="AE19" s="128">
        <v>17.5</v>
      </c>
      <c r="AF19" s="128">
        <v>17.5</v>
      </c>
      <c r="AG19" s="128">
        <v>15.5</v>
      </c>
      <c r="AH19" s="128">
        <v>18</v>
      </c>
      <c r="AI19" s="128">
        <v>11</v>
      </c>
      <c r="AJ19" s="128">
        <v>14.5</v>
      </c>
      <c r="AK19" s="128">
        <v>22</v>
      </c>
      <c r="AL19" s="197">
        <v>5</v>
      </c>
      <c r="AM19" s="197">
        <v>0</v>
      </c>
      <c r="AN19" s="197">
        <v>0</v>
      </c>
    </row>
    <row r="20" spans="1:40">
      <c r="B20" s="37" t="s">
        <v>35</v>
      </c>
      <c r="C20" s="37" t="s">
        <v>36</v>
      </c>
      <c r="D20" s="131">
        <f>SUM(E20:AB20)</f>
        <v>61</v>
      </c>
      <c r="E20" s="126">
        <v>0</v>
      </c>
      <c r="F20" s="128">
        <v>0</v>
      </c>
      <c r="G20" s="128">
        <v>0</v>
      </c>
      <c r="H20" s="128">
        <v>2</v>
      </c>
      <c r="I20" s="128">
        <v>3</v>
      </c>
      <c r="J20" s="128">
        <v>2</v>
      </c>
      <c r="K20" s="128">
        <v>1</v>
      </c>
      <c r="L20" s="128">
        <v>4</v>
      </c>
      <c r="M20" s="128">
        <v>3</v>
      </c>
      <c r="N20" s="128">
        <v>3</v>
      </c>
      <c r="O20" s="128">
        <v>4</v>
      </c>
      <c r="P20" s="128">
        <v>2</v>
      </c>
      <c r="Q20" s="128">
        <v>3</v>
      </c>
      <c r="R20" s="128">
        <v>4</v>
      </c>
      <c r="S20" s="128">
        <v>5</v>
      </c>
      <c r="T20" s="128">
        <v>3</v>
      </c>
      <c r="U20" s="128">
        <v>3</v>
      </c>
      <c r="V20" s="128">
        <v>4</v>
      </c>
      <c r="W20" s="128">
        <v>3</v>
      </c>
      <c r="X20" s="128">
        <v>4</v>
      </c>
      <c r="Y20" s="128">
        <v>1</v>
      </c>
      <c r="Z20" s="128">
        <v>0</v>
      </c>
      <c r="AA20" s="128">
        <v>4</v>
      </c>
      <c r="AB20" s="128">
        <v>3</v>
      </c>
      <c r="AC20" s="128">
        <v>4</v>
      </c>
      <c r="AD20" s="128">
        <v>2</v>
      </c>
      <c r="AE20" s="128">
        <v>4</v>
      </c>
      <c r="AF20" s="128">
        <v>3</v>
      </c>
      <c r="AG20" s="128">
        <v>3</v>
      </c>
      <c r="AH20" s="128">
        <v>3</v>
      </c>
      <c r="AI20" s="128">
        <v>3</v>
      </c>
      <c r="AJ20" s="128">
        <v>3</v>
      </c>
      <c r="AK20" s="128">
        <v>4</v>
      </c>
      <c r="AL20" s="197">
        <v>1</v>
      </c>
      <c r="AM20" s="197">
        <v>0</v>
      </c>
      <c r="AN20" s="197">
        <v>0</v>
      </c>
    </row>
    <row r="21" spans="1:40">
      <c r="B21" s="39" t="s">
        <v>37</v>
      </c>
      <c r="C21" s="39" t="s">
        <v>38</v>
      </c>
      <c r="D21" s="67">
        <f>SUM(E21:K21)</f>
        <v>0</v>
      </c>
      <c r="E21" s="160">
        <v>0</v>
      </c>
      <c r="F21" s="225">
        <v>0</v>
      </c>
      <c r="G21" s="225">
        <v>0</v>
      </c>
      <c r="H21" s="225" t="s">
        <v>40</v>
      </c>
      <c r="I21" s="225" t="s">
        <v>40</v>
      </c>
      <c r="J21" s="225" t="s">
        <v>40</v>
      </c>
      <c r="K21" s="225" t="s">
        <v>40</v>
      </c>
      <c r="L21" s="225" t="s">
        <v>40</v>
      </c>
      <c r="M21" s="225" t="s">
        <v>40</v>
      </c>
      <c r="N21" s="225" t="s">
        <v>40</v>
      </c>
      <c r="O21" s="225" t="s">
        <v>40</v>
      </c>
      <c r="P21" s="225" t="s">
        <v>40</v>
      </c>
      <c r="Q21" s="225" t="s">
        <v>40</v>
      </c>
      <c r="R21" s="225" t="s">
        <v>40</v>
      </c>
      <c r="S21" s="225" t="s">
        <v>39</v>
      </c>
      <c r="T21" s="225" t="s">
        <v>413</v>
      </c>
      <c r="U21" s="225" t="s">
        <v>40</v>
      </c>
      <c r="V21" s="225" t="s">
        <v>40</v>
      </c>
      <c r="W21" s="225" t="s">
        <v>40</v>
      </c>
      <c r="X21" s="225" t="s">
        <v>40</v>
      </c>
      <c r="Y21" s="225" t="s">
        <v>40</v>
      </c>
      <c r="Z21" s="225">
        <v>0</v>
      </c>
      <c r="AA21" s="225" t="s">
        <v>40</v>
      </c>
      <c r="AB21" s="225" t="s">
        <v>40</v>
      </c>
      <c r="AC21" s="225" t="s">
        <v>40</v>
      </c>
      <c r="AD21" s="225" t="s">
        <v>40</v>
      </c>
      <c r="AE21" s="225" t="s">
        <v>40</v>
      </c>
      <c r="AF21" s="225" t="s">
        <v>40</v>
      </c>
      <c r="AG21" s="225" t="s">
        <v>40</v>
      </c>
      <c r="AH21" s="225" t="s">
        <v>227</v>
      </c>
      <c r="AI21" s="225" t="s">
        <v>228</v>
      </c>
      <c r="AJ21" s="225" t="s">
        <v>228</v>
      </c>
      <c r="AK21" s="225" t="s">
        <v>40</v>
      </c>
      <c r="AL21" s="57" t="s">
        <v>40</v>
      </c>
      <c r="AM21" s="57">
        <v>1</v>
      </c>
      <c r="AN21" s="57">
        <v>2</v>
      </c>
    </row>
    <row r="22" spans="1:40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4" spans="1:40">
      <c r="B24" s="167" t="s">
        <v>43</v>
      </c>
      <c r="C24" s="168">
        <f>D26/D19</f>
        <v>4156.3128491620118</v>
      </c>
    </row>
    <row r="25" spans="1:40">
      <c r="D25" s="10"/>
    </row>
    <row r="26" spans="1:40">
      <c r="A26" s="312" t="s">
        <v>44</v>
      </c>
      <c r="B26" s="35" t="s">
        <v>45</v>
      </c>
      <c r="C26" s="35"/>
      <c r="D26" s="175">
        <f>SUM(E26:AL26)</f>
        <v>1190368</v>
      </c>
      <c r="E26" s="75">
        <f t="shared" ref="E26:AL26" si="5">SUM(E27:E38)</f>
        <v>0</v>
      </c>
      <c r="F26" s="175">
        <f t="shared" si="5"/>
        <v>0</v>
      </c>
      <c r="G26" s="75">
        <f>SUM(G27:G38)</f>
        <v>0</v>
      </c>
      <c r="H26" s="175">
        <f t="shared" si="5"/>
        <v>44473</v>
      </c>
      <c r="I26" s="75">
        <f t="shared" si="5"/>
        <v>53637</v>
      </c>
      <c r="J26" s="175">
        <f t="shared" si="5"/>
        <v>31331</v>
      </c>
      <c r="K26" s="75">
        <f t="shared" si="5"/>
        <v>35416</v>
      </c>
      <c r="L26" s="175">
        <f t="shared" si="5"/>
        <v>28626</v>
      </c>
      <c r="M26" s="75">
        <f t="shared" si="5"/>
        <v>36437</v>
      </c>
      <c r="N26" s="175">
        <f t="shared" si="5"/>
        <v>60863</v>
      </c>
      <c r="O26" s="75">
        <f t="shared" si="5"/>
        <v>27819</v>
      </c>
      <c r="P26" s="175">
        <f t="shared" si="5"/>
        <v>29578</v>
      </c>
      <c r="Q26" s="75">
        <f t="shared" si="5"/>
        <v>53170</v>
      </c>
      <c r="R26" s="175">
        <f t="shared" si="5"/>
        <v>56674</v>
      </c>
      <c r="S26" s="75">
        <f t="shared" si="5"/>
        <v>54153</v>
      </c>
      <c r="T26" s="175">
        <f t="shared" si="5"/>
        <v>60129</v>
      </c>
      <c r="U26" s="75">
        <f t="shared" si="5"/>
        <v>57638</v>
      </c>
      <c r="V26" s="175">
        <f t="shared" si="5"/>
        <v>51170</v>
      </c>
      <c r="W26" s="75">
        <f t="shared" si="5"/>
        <v>43326</v>
      </c>
      <c r="X26" s="175">
        <f t="shared" si="5"/>
        <v>35498</v>
      </c>
      <c r="Y26" s="75">
        <f t="shared" si="5"/>
        <v>12016</v>
      </c>
      <c r="Z26" s="175">
        <f t="shared" si="5"/>
        <v>0</v>
      </c>
      <c r="AA26" s="75">
        <f>SUM(AA27:AA38)</f>
        <v>37193</v>
      </c>
      <c r="AB26" s="175">
        <f t="shared" si="5"/>
        <v>25752</v>
      </c>
      <c r="AC26" s="175">
        <f t="shared" si="5"/>
        <v>49687</v>
      </c>
      <c r="AD26" s="175">
        <f t="shared" si="5"/>
        <v>45590</v>
      </c>
      <c r="AE26" s="175">
        <f t="shared" si="5"/>
        <v>24095</v>
      </c>
      <c r="AF26" s="175">
        <f t="shared" si="5"/>
        <v>31579</v>
      </c>
      <c r="AG26" s="175">
        <f t="shared" si="5"/>
        <v>32828</v>
      </c>
      <c r="AH26" s="175">
        <f t="shared" si="5"/>
        <v>31199</v>
      </c>
      <c r="AI26" s="175">
        <f t="shared" si="5"/>
        <v>57607</v>
      </c>
      <c r="AJ26" s="175">
        <f t="shared" si="5"/>
        <v>52340</v>
      </c>
      <c r="AK26" s="175">
        <f t="shared" si="5"/>
        <v>21566</v>
      </c>
      <c r="AL26" s="175">
        <f t="shared" si="5"/>
        <v>8978</v>
      </c>
      <c r="AM26" s="175">
        <f t="shared" ref="AM26:AN26" si="6">SUM(AM27:AM38)</f>
        <v>0</v>
      </c>
      <c r="AN26" s="175">
        <f t="shared" si="6"/>
        <v>0</v>
      </c>
    </row>
    <row r="27" spans="1:40">
      <c r="A27" s="313"/>
      <c r="B27" s="37" t="s">
        <v>47</v>
      </c>
      <c r="C27" s="38" t="s">
        <v>48</v>
      </c>
      <c r="D27" s="73">
        <f>SUM(E27:AL27)</f>
        <v>328747</v>
      </c>
      <c r="E27" s="55">
        <v>0</v>
      </c>
      <c r="F27" s="55">
        <v>0</v>
      </c>
      <c r="G27" s="55">
        <v>0</v>
      </c>
      <c r="H27" s="55">
        <v>11051</v>
      </c>
      <c r="I27" s="55">
        <v>8839</v>
      </c>
      <c r="J27" s="55">
        <v>4823</v>
      </c>
      <c r="K27" s="55">
        <v>2807</v>
      </c>
      <c r="L27" s="55">
        <v>12671</v>
      </c>
      <c r="M27" s="55">
        <v>19793</v>
      </c>
      <c r="N27" s="55">
        <v>30028</v>
      </c>
      <c r="O27" s="55">
        <v>10336</v>
      </c>
      <c r="P27" s="55">
        <v>3871</v>
      </c>
      <c r="Q27" s="55">
        <v>5502</v>
      </c>
      <c r="R27" s="55">
        <v>2857</v>
      </c>
      <c r="S27" s="55">
        <v>1422</v>
      </c>
      <c r="T27" s="55">
        <v>1620</v>
      </c>
      <c r="U27" s="55">
        <v>1523</v>
      </c>
      <c r="V27" s="55">
        <v>1187</v>
      </c>
      <c r="W27" s="55">
        <v>627</v>
      </c>
      <c r="X27" s="55">
        <v>474</v>
      </c>
      <c r="Y27" s="55">
        <v>179</v>
      </c>
      <c r="Z27" s="55">
        <v>0</v>
      </c>
      <c r="AA27" s="55">
        <v>5052</v>
      </c>
      <c r="AB27" s="55">
        <v>4982</v>
      </c>
      <c r="AC27" s="55">
        <v>4519</v>
      </c>
      <c r="AD27" s="55">
        <v>40469</v>
      </c>
      <c r="AE27" s="55">
        <v>15849</v>
      </c>
      <c r="AF27" s="55">
        <v>20287</v>
      </c>
      <c r="AG27" s="55">
        <v>13828</v>
      </c>
      <c r="AH27" s="55">
        <v>26322</v>
      </c>
      <c r="AI27" s="55">
        <v>25160</v>
      </c>
      <c r="AJ27" s="55">
        <v>26045</v>
      </c>
      <c r="AK27" s="55">
        <v>18456</v>
      </c>
      <c r="AL27" s="55">
        <v>8168</v>
      </c>
      <c r="AM27" s="55">
        <v>0</v>
      </c>
      <c r="AN27" s="55">
        <v>0</v>
      </c>
    </row>
    <row r="28" spans="1:40">
      <c r="A28" s="313"/>
      <c r="B28" s="37" t="s">
        <v>49</v>
      </c>
      <c r="C28" s="38" t="s">
        <v>48</v>
      </c>
      <c r="D28" s="73">
        <f>SUM(E28:AL28)</f>
        <v>326695</v>
      </c>
      <c r="E28" s="55">
        <v>0</v>
      </c>
      <c r="F28" s="55">
        <v>0</v>
      </c>
      <c r="G28" s="55">
        <v>0</v>
      </c>
      <c r="H28" s="55">
        <v>29328</v>
      </c>
      <c r="I28" s="55">
        <v>38304</v>
      </c>
      <c r="J28" s="55">
        <v>22552</v>
      </c>
      <c r="K28" s="55">
        <v>28625</v>
      </c>
      <c r="L28" s="55">
        <v>2136</v>
      </c>
      <c r="M28" s="55">
        <v>3120</v>
      </c>
      <c r="N28" s="55">
        <v>6697</v>
      </c>
      <c r="O28" s="55">
        <v>10134</v>
      </c>
      <c r="P28" s="55">
        <v>3792</v>
      </c>
      <c r="Q28" s="55">
        <v>5065</v>
      </c>
      <c r="R28" s="55">
        <v>2544</v>
      </c>
      <c r="S28" s="55">
        <v>3456</v>
      </c>
      <c r="T28" s="55">
        <v>4848</v>
      </c>
      <c r="U28" s="55">
        <v>2304</v>
      </c>
      <c r="V28" s="55">
        <v>1920</v>
      </c>
      <c r="W28" s="55">
        <v>3494</v>
      </c>
      <c r="X28" s="55">
        <v>3312</v>
      </c>
      <c r="Y28" s="55">
        <v>144</v>
      </c>
      <c r="Z28" s="55">
        <v>0</v>
      </c>
      <c r="AA28" s="55">
        <v>27234</v>
      </c>
      <c r="AB28" s="55">
        <v>16764</v>
      </c>
      <c r="AC28" s="55">
        <v>40269</v>
      </c>
      <c r="AD28" s="55">
        <v>3696</v>
      </c>
      <c r="AE28" s="55">
        <v>1824</v>
      </c>
      <c r="AF28" s="55">
        <v>2592</v>
      </c>
      <c r="AG28" s="55">
        <v>7346</v>
      </c>
      <c r="AH28" s="55">
        <v>2761</v>
      </c>
      <c r="AI28" s="55">
        <v>28086</v>
      </c>
      <c r="AJ28" s="55">
        <v>23724</v>
      </c>
      <c r="AK28" s="55">
        <v>480</v>
      </c>
      <c r="AL28" s="55">
        <v>144</v>
      </c>
      <c r="AM28" s="55">
        <v>0</v>
      </c>
      <c r="AN28" s="55">
        <v>0</v>
      </c>
    </row>
    <row r="29" spans="1:40">
      <c r="A29" s="313"/>
      <c r="B29" s="37" t="s">
        <v>50</v>
      </c>
      <c r="C29" s="38" t="s">
        <v>48</v>
      </c>
      <c r="D29" s="73">
        <f t="shared" ref="D29:D38" si="7">SUM(E29:AL29)</f>
        <v>453222</v>
      </c>
      <c r="E29" s="55">
        <v>0</v>
      </c>
      <c r="F29" s="55">
        <v>0</v>
      </c>
      <c r="G29" s="55">
        <v>0</v>
      </c>
      <c r="H29" s="55">
        <v>644</v>
      </c>
      <c r="I29" s="55">
        <v>1563</v>
      </c>
      <c r="J29" s="55">
        <v>596</v>
      </c>
      <c r="K29" s="55">
        <v>92</v>
      </c>
      <c r="L29" s="55">
        <v>11603</v>
      </c>
      <c r="M29" s="55">
        <v>13017</v>
      </c>
      <c r="N29" s="55">
        <v>19262</v>
      </c>
      <c r="O29" s="55">
        <v>5421</v>
      </c>
      <c r="P29" s="55">
        <v>20815</v>
      </c>
      <c r="Q29" s="55">
        <v>41771</v>
      </c>
      <c r="R29" s="55">
        <v>50345</v>
      </c>
      <c r="S29" s="55">
        <v>46996</v>
      </c>
      <c r="T29" s="55">
        <v>52669</v>
      </c>
      <c r="U29" s="55">
        <v>52278</v>
      </c>
      <c r="V29" s="55">
        <v>46023</v>
      </c>
      <c r="W29" s="55">
        <v>38157</v>
      </c>
      <c r="X29" s="55">
        <v>31085</v>
      </c>
      <c r="Y29" s="55">
        <v>10981</v>
      </c>
      <c r="Z29" s="55">
        <v>0</v>
      </c>
      <c r="AA29" s="55">
        <v>2896</v>
      </c>
      <c r="AB29" s="55">
        <v>368</v>
      </c>
      <c r="AC29" s="55">
        <v>595</v>
      </c>
      <c r="AD29" s="55">
        <v>1425</v>
      </c>
      <c r="AE29" s="55">
        <v>872</v>
      </c>
      <c r="AF29" s="55">
        <v>413</v>
      </c>
      <c r="AG29" s="55">
        <v>184</v>
      </c>
      <c r="AH29" s="55">
        <v>1100</v>
      </c>
      <c r="AI29" s="55">
        <v>818</v>
      </c>
      <c r="AJ29" s="55">
        <v>729</v>
      </c>
      <c r="AK29" s="55">
        <v>504</v>
      </c>
      <c r="AL29" s="55">
        <v>0</v>
      </c>
      <c r="AM29" s="55">
        <v>0</v>
      </c>
      <c r="AN29" s="55">
        <v>0</v>
      </c>
    </row>
    <row r="30" spans="1:40">
      <c r="A30" s="313"/>
      <c r="B30" s="37" t="s">
        <v>51</v>
      </c>
      <c r="C30" s="38" t="s">
        <v>48</v>
      </c>
      <c r="D30" s="73">
        <f t="shared" si="7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52</v>
      </c>
      <c r="C31" s="38" t="s">
        <v>48</v>
      </c>
      <c r="D31" s="73">
        <f t="shared" si="7"/>
        <v>45022</v>
      </c>
      <c r="E31" s="55">
        <v>0</v>
      </c>
      <c r="F31" s="55">
        <v>0</v>
      </c>
      <c r="G31" s="55">
        <v>0</v>
      </c>
      <c r="H31" s="55">
        <v>3132</v>
      </c>
      <c r="I31" s="55">
        <v>4430</v>
      </c>
      <c r="J31" s="55">
        <v>2424</v>
      </c>
      <c r="K31" s="55">
        <v>3892</v>
      </c>
      <c r="L31" s="55">
        <v>1260</v>
      </c>
      <c r="M31" s="55">
        <v>162</v>
      </c>
      <c r="N31" s="55">
        <v>756</v>
      </c>
      <c r="O31" s="55">
        <v>1062</v>
      </c>
      <c r="P31" s="55">
        <v>684</v>
      </c>
      <c r="Q31" s="55">
        <v>360</v>
      </c>
      <c r="R31" s="55">
        <v>684</v>
      </c>
      <c r="S31" s="55">
        <v>2034</v>
      </c>
      <c r="T31" s="55">
        <v>864</v>
      </c>
      <c r="U31" s="55">
        <v>1188</v>
      </c>
      <c r="V31" s="55">
        <v>1188</v>
      </c>
      <c r="W31" s="55">
        <v>540</v>
      </c>
      <c r="X31" s="55">
        <v>126</v>
      </c>
      <c r="Y31" s="55">
        <v>612</v>
      </c>
      <c r="Z31" s="55">
        <v>0</v>
      </c>
      <c r="AA31" s="55">
        <v>1764</v>
      </c>
      <c r="AB31" s="55">
        <v>780</v>
      </c>
      <c r="AC31" s="55">
        <v>480</v>
      </c>
      <c r="AD31" s="55">
        <v>0</v>
      </c>
      <c r="AE31" s="55">
        <v>5238</v>
      </c>
      <c r="AF31" s="55">
        <v>1380</v>
      </c>
      <c r="AG31" s="55">
        <v>2620</v>
      </c>
      <c r="AH31" s="55">
        <v>0</v>
      </c>
      <c r="AI31" s="55">
        <v>3420</v>
      </c>
      <c r="AJ31" s="55">
        <v>1494</v>
      </c>
      <c r="AK31" s="55">
        <v>1944</v>
      </c>
      <c r="AL31" s="55">
        <v>504</v>
      </c>
      <c r="AM31" s="55">
        <v>0</v>
      </c>
      <c r="AN31" s="55">
        <v>0</v>
      </c>
    </row>
    <row r="32" spans="1:40">
      <c r="A32" s="313"/>
      <c r="B32" s="37" t="s">
        <v>53</v>
      </c>
      <c r="C32" s="38" t="s">
        <v>48</v>
      </c>
      <c r="D32" s="73">
        <f t="shared" si="7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3"/>
      <c r="B33" s="37" t="s">
        <v>54</v>
      </c>
      <c r="C33" s="38" t="s">
        <v>48</v>
      </c>
      <c r="D33" s="73">
        <f t="shared" si="7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55</v>
      </c>
      <c r="C34" s="38" t="s">
        <v>48</v>
      </c>
      <c r="D34" s="73">
        <f t="shared" si="7"/>
        <v>681</v>
      </c>
      <c r="E34" s="55">
        <v>0</v>
      </c>
      <c r="F34" s="55">
        <v>0</v>
      </c>
      <c r="G34" s="55">
        <v>0</v>
      </c>
      <c r="H34" s="55">
        <v>0</v>
      </c>
      <c r="I34" s="55">
        <v>41</v>
      </c>
      <c r="J34" s="55">
        <v>432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208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56</v>
      </c>
      <c r="C35" s="38" t="s">
        <v>48</v>
      </c>
      <c r="D35" s="73">
        <f t="shared" si="7"/>
        <v>220</v>
      </c>
      <c r="E35" s="55">
        <v>0</v>
      </c>
      <c r="F35" s="55">
        <v>0</v>
      </c>
      <c r="G35" s="55">
        <v>0</v>
      </c>
      <c r="H35" s="55">
        <v>0</v>
      </c>
      <c r="I35" s="55">
        <v>20</v>
      </c>
      <c r="J35" s="55">
        <v>140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60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3"/>
      <c r="B36" s="37" t="s">
        <v>57</v>
      </c>
      <c r="C36" s="38" t="s">
        <v>48</v>
      </c>
      <c r="D36" s="73">
        <f t="shared" si="7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</row>
    <row r="37" spans="1:40">
      <c r="A37" s="313"/>
      <c r="B37" s="37" t="s">
        <v>58</v>
      </c>
      <c r="C37" s="38" t="s">
        <v>48</v>
      </c>
      <c r="D37" s="73">
        <f t="shared" si="7"/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</row>
    <row r="38" spans="1:40">
      <c r="A38" s="314"/>
      <c r="B38" s="39" t="s">
        <v>59</v>
      </c>
      <c r="C38" s="40" t="s">
        <v>48</v>
      </c>
      <c r="D38" s="73">
        <f t="shared" si="7"/>
        <v>35781</v>
      </c>
      <c r="E38" s="55">
        <v>0</v>
      </c>
      <c r="F38" s="55">
        <v>0</v>
      </c>
      <c r="G38" s="55">
        <v>0</v>
      </c>
      <c r="H38" s="55">
        <v>318</v>
      </c>
      <c r="I38" s="55">
        <v>440</v>
      </c>
      <c r="J38" s="55">
        <v>364</v>
      </c>
      <c r="K38" s="55">
        <v>0</v>
      </c>
      <c r="L38" s="55">
        <v>956</v>
      </c>
      <c r="M38" s="55">
        <v>345</v>
      </c>
      <c r="N38" s="55">
        <v>4120</v>
      </c>
      <c r="O38" s="55">
        <v>866</v>
      </c>
      <c r="P38" s="55">
        <v>416</v>
      </c>
      <c r="Q38" s="55">
        <v>472</v>
      </c>
      <c r="R38" s="55">
        <v>244</v>
      </c>
      <c r="S38" s="55">
        <v>245</v>
      </c>
      <c r="T38" s="55">
        <v>128</v>
      </c>
      <c r="U38" s="55">
        <v>345</v>
      </c>
      <c r="V38" s="55">
        <v>852</v>
      </c>
      <c r="W38" s="55">
        <v>508</v>
      </c>
      <c r="X38" s="55">
        <v>501</v>
      </c>
      <c r="Y38" s="55">
        <v>100</v>
      </c>
      <c r="Z38" s="55">
        <v>0</v>
      </c>
      <c r="AA38" s="55">
        <v>247</v>
      </c>
      <c r="AB38" s="55">
        <v>2858</v>
      </c>
      <c r="AC38" s="55">
        <v>3556</v>
      </c>
      <c r="AD38" s="55">
        <v>0</v>
      </c>
      <c r="AE38" s="55">
        <v>312</v>
      </c>
      <c r="AF38" s="55">
        <v>6907</v>
      </c>
      <c r="AG38" s="55">
        <v>8850</v>
      </c>
      <c r="AH38" s="55">
        <v>1016</v>
      </c>
      <c r="AI38" s="55">
        <v>123</v>
      </c>
      <c r="AJ38" s="55">
        <v>348</v>
      </c>
      <c r="AK38" s="55">
        <v>182</v>
      </c>
      <c r="AL38" s="55">
        <v>162</v>
      </c>
      <c r="AM38" s="55">
        <v>0</v>
      </c>
      <c r="AN38" s="55">
        <v>0</v>
      </c>
    </row>
    <row r="39" spans="1:40">
      <c r="A39" s="164"/>
      <c r="B39" s="94" t="s">
        <v>149</v>
      </c>
      <c r="C39" s="166"/>
      <c r="D39" s="192">
        <f t="shared" ref="D39:AL39" si="8">D37/D26</f>
        <v>0</v>
      </c>
      <c r="E39" s="262" t="e">
        <f t="shared" si="8"/>
        <v>#DIV/0!</v>
      </c>
      <c r="F39" s="170" t="e">
        <f t="shared" si="8"/>
        <v>#DIV/0!</v>
      </c>
      <c r="G39" s="170" t="e">
        <f t="shared" si="8"/>
        <v>#DIV/0!</v>
      </c>
      <c r="H39" s="170">
        <f t="shared" si="8"/>
        <v>0</v>
      </c>
      <c r="I39" s="170">
        <f t="shared" si="8"/>
        <v>0</v>
      </c>
      <c r="J39" s="170">
        <f t="shared" si="8"/>
        <v>0</v>
      </c>
      <c r="K39" s="170">
        <f t="shared" si="8"/>
        <v>0</v>
      </c>
      <c r="L39" s="170">
        <f t="shared" si="8"/>
        <v>0</v>
      </c>
      <c r="M39" s="170">
        <f t="shared" si="8"/>
        <v>0</v>
      </c>
      <c r="N39" s="170">
        <f t="shared" si="8"/>
        <v>0</v>
      </c>
      <c r="O39" s="170">
        <f t="shared" si="8"/>
        <v>0</v>
      </c>
      <c r="P39" s="170">
        <f t="shared" si="8"/>
        <v>0</v>
      </c>
      <c r="Q39" s="170">
        <f t="shared" si="8"/>
        <v>0</v>
      </c>
      <c r="R39" s="170">
        <f t="shared" si="8"/>
        <v>0</v>
      </c>
      <c r="S39" s="170">
        <f t="shared" si="8"/>
        <v>0</v>
      </c>
      <c r="T39" s="170">
        <f t="shared" si="8"/>
        <v>0</v>
      </c>
      <c r="U39" s="170">
        <f t="shared" si="8"/>
        <v>0</v>
      </c>
      <c r="V39" s="170">
        <f t="shared" si="8"/>
        <v>0</v>
      </c>
      <c r="W39" s="170">
        <f t="shared" si="8"/>
        <v>0</v>
      </c>
      <c r="X39" s="170">
        <f t="shared" si="8"/>
        <v>0</v>
      </c>
      <c r="Y39" s="170">
        <f t="shared" si="8"/>
        <v>0</v>
      </c>
      <c r="Z39" s="170" t="e">
        <f t="shared" si="8"/>
        <v>#DIV/0!</v>
      </c>
      <c r="AA39" s="170">
        <f t="shared" si="8"/>
        <v>0</v>
      </c>
      <c r="AB39" s="170">
        <f t="shared" si="8"/>
        <v>0</v>
      </c>
      <c r="AC39" s="170">
        <f t="shared" si="8"/>
        <v>0</v>
      </c>
      <c r="AD39" s="170">
        <f t="shared" si="8"/>
        <v>0</v>
      </c>
      <c r="AE39" s="170">
        <f t="shared" si="8"/>
        <v>0</v>
      </c>
      <c r="AF39" s="170">
        <f t="shared" si="8"/>
        <v>0</v>
      </c>
      <c r="AG39" s="170">
        <f t="shared" si="8"/>
        <v>0</v>
      </c>
      <c r="AH39" s="170">
        <f t="shared" si="8"/>
        <v>0</v>
      </c>
      <c r="AI39" s="170">
        <f t="shared" si="8"/>
        <v>0</v>
      </c>
      <c r="AJ39" s="170">
        <f t="shared" si="8"/>
        <v>0</v>
      </c>
      <c r="AK39" s="170">
        <f t="shared" si="8"/>
        <v>0</v>
      </c>
      <c r="AL39" s="170">
        <f t="shared" si="8"/>
        <v>0</v>
      </c>
      <c r="AM39" s="170" t="e">
        <f t="shared" ref="AM39:AN39" si="9">AM37/AM26</f>
        <v>#DIV/0!</v>
      </c>
      <c r="AN39" s="170" t="e">
        <f t="shared" si="9"/>
        <v>#DIV/0!</v>
      </c>
    </row>
    <row r="40" spans="1:40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</row>
    <row r="41" spans="1:40">
      <c r="A41" s="324" t="s">
        <v>60</v>
      </c>
      <c r="B41" s="50" t="s">
        <v>61</v>
      </c>
      <c r="C41" s="91" t="s">
        <v>62</v>
      </c>
      <c r="D41" s="229">
        <f>SUM(E41:AL41)</f>
        <v>416000</v>
      </c>
      <c r="E41" s="86">
        <v>4000</v>
      </c>
      <c r="F41" s="86">
        <v>4000</v>
      </c>
      <c r="G41" s="86">
        <v>4000</v>
      </c>
      <c r="H41" s="86">
        <v>12000</v>
      </c>
      <c r="I41" s="86">
        <v>15000</v>
      </c>
      <c r="J41" s="86">
        <v>11000</v>
      </c>
      <c r="K41" s="86">
        <v>15000</v>
      </c>
      <c r="L41" s="86">
        <v>12000</v>
      </c>
      <c r="M41" s="86">
        <v>13000</v>
      </c>
      <c r="N41" s="86">
        <v>14000</v>
      </c>
      <c r="O41" s="86">
        <v>15000</v>
      </c>
      <c r="P41" s="86">
        <v>13000</v>
      </c>
      <c r="Q41" s="86">
        <v>13000</v>
      </c>
      <c r="R41" s="86">
        <v>12000</v>
      </c>
      <c r="S41" s="86">
        <v>11000</v>
      </c>
      <c r="T41" s="86">
        <v>12500</v>
      </c>
      <c r="U41" s="86">
        <v>14000</v>
      </c>
      <c r="V41" s="86">
        <v>16000</v>
      </c>
      <c r="W41" s="86">
        <v>14000</v>
      </c>
      <c r="X41" s="86">
        <v>13000</v>
      </c>
      <c r="Y41" s="86">
        <v>8000</v>
      </c>
      <c r="Z41" s="86">
        <v>3500</v>
      </c>
      <c r="AA41" s="86">
        <v>13500</v>
      </c>
      <c r="AB41" s="86">
        <v>13000</v>
      </c>
      <c r="AC41" s="86">
        <v>14000</v>
      </c>
      <c r="AD41" s="86">
        <v>13500</v>
      </c>
      <c r="AE41" s="86">
        <v>14000</v>
      </c>
      <c r="AF41" s="86">
        <v>14000</v>
      </c>
      <c r="AG41" s="86">
        <v>16000</v>
      </c>
      <c r="AH41" s="86">
        <v>17500</v>
      </c>
      <c r="AI41" s="86">
        <v>14000</v>
      </c>
      <c r="AJ41" s="86">
        <v>14500</v>
      </c>
      <c r="AK41" s="86">
        <v>13500</v>
      </c>
      <c r="AL41" s="86">
        <v>9500</v>
      </c>
      <c r="AM41" s="86">
        <v>0</v>
      </c>
      <c r="AN41" s="86">
        <v>0</v>
      </c>
    </row>
    <row r="42" spans="1:40">
      <c r="A42" s="325"/>
      <c r="B42" s="39" t="s">
        <v>63</v>
      </c>
      <c r="C42" s="92" t="s">
        <v>62</v>
      </c>
      <c r="D42" s="230">
        <f>SUM(E42:AL42)</f>
        <v>600</v>
      </c>
      <c r="E42" s="87">
        <v>0</v>
      </c>
      <c r="F42" s="87">
        <v>0</v>
      </c>
      <c r="G42" s="87">
        <v>100</v>
      </c>
      <c r="H42" s="87"/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100</v>
      </c>
      <c r="Q42" s="87">
        <v>0</v>
      </c>
      <c r="R42" s="87">
        <v>0</v>
      </c>
      <c r="S42" s="87">
        <v>0</v>
      </c>
      <c r="T42" s="87">
        <v>0</v>
      </c>
      <c r="U42" s="87">
        <v>100</v>
      </c>
      <c r="V42" s="87">
        <v>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100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  <c r="AI42" s="87">
        <v>200</v>
      </c>
      <c r="AJ42" s="87">
        <v>0</v>
      </c>
      <c r="AK42" s="87">
        <v>0</v>
      </c>
      <c r="AL42" s="87">
        <v>0</v>
      </c>
      <c r="AM42" s="87">
        <v>0</v>
      </c>
      <c r="AN42" s="87">
        <v>0</v>
      </c>
    </row>
    <row r="44" spans="1:40">
      <c r="B44" s="167" t="s">
        <v>240</v>
      </c>
      <c r="C44" s="184" t="s">
        <v>241</v>
      </c>
      <c r="D44" s="187">
        <f>D41/D26</f>
        <v>0.34947175999354824</v>
      </c>
      <c r="E44" s="185" t="e">
        <f t="shared" ref="E44:AL44" si="10">E41/E26</f>
        <v>#DIV/0!</v>
      </c>
      <c r="F44" s="188" t="e">
        <f t="shared" si="10"/>
        <v>#DIV/0!</v>
      </c>
      <c r="G44" s="186" t="e">
        <f t="shared" si="10"/>
        <v>#DIV/0!</v>
      </c>
      <c r="H44" s="188">
        <f t="shared" si="10"/>
        <v>0.26982663638612192</v>
      </c>
      <c r="I44" s="186">
        <f t="shared" si="10"/>
        <v>0.27965769897645282</v>
      </c>
      <c r="J44" s="188">
        <f t="shared" si="10"/>
        <v>0.35108997478535636</v>
      </c>
      <c r="K44" s="186">
        <f t="shared" si="10"/>
        <v>0.42353738423311499</v>
      </c>
      <c r="L44" s="188">
        <f t="shared" si="10"/>
        <v>0.41919932928107317</v>
      </c>
      <c r="M44" s="186">
        <f t="shared" si="10"/>
        <v>0.35678019595466148</v>
      </c>
      <c r="N44" s="188">
        <f t="shared" si="10"/>
        <v>0.23002480981877332</v>
      </c>
      <c r="O44" s="186">
        <f t="shared" si="10"/>
        <v>0.53919982745605521</v>
      </c>
      <c r="P44" s="188">
        <f t="shared" si="10"/>
        <v>0.43951585637974172</v>
      </c>
      <c r="Q44" s="186">
        <f t="shared" si="10"/>
        <v>0.24449877750611246</v>
      </c>
      <c r="R44" s="188">
        <f t="shared" si="10"/>
        <v>0.21173730458411263</v>
      </c>
      <c r="S44" s="186">
        <f t="shared" si="10"/>
        <v>0.20312817387771684</v>
      </c>
      <c r="T44" s="188">
        <f t="shared" si="10"/>
        <v>0.20788637762144721</v>
      </c>
      <c r="U44" s="186">
        <f t="shared" si="10"/>
        <v>0.24289531212047608</v>
      </c>
      <c r="V44" s="188">
        <f t="shared" si="10"/>
        <v>0.31268321282001171</v>
      </c>
      <c r="W44" s="186">
        <f t="shared" si="10"/>
        <v>0.3231316068873194</v>
      </c>
      <c r="X44" s="188">
        <f t="shared" si="10"/>
        <v>0.36621781508817397</v>
      </c>
      <c r="Y44" s="186">
        <f t="shared" si="10"/>
        <v>0.66577896138482029</v>
      </c>
      <c r="Z44" s="188" t="e">
        <f t="shared" si="10"/>
        <v>#DIV/0!</v>
      </c>
      <c r="AA44" s="186">
        <f t="shared" si="10"/>
        <v>0.36297152690022316</v>
      </c>
      <c r="AB44" s="188">
        <f t="shared" si="10"/>
        <v>0.50481515998757376</v>
      </c>
      <c r="AC44" s="188">
        <f t="shared" si="10"/>
        <v>0.28176384164872098</v>
      </c>
      <c r="AD44" s="188">
        <f t="shared" si="10"/>
        <v>0.29611756964246544</v>
      </c>
      <c r="AE44" s="188">
        <f t="shared" si="10"/>
        <v>0.58103340942104176</v>
      </c>
      <c r="AF44" s="188">
        <f t="shared" si="10"/>
        <v>0.44333259444567591</v>
      </c>
      <c r="AG44" s="188">
        <f t="shared" si="10"/>
        <v>0.48738881442670889</v>
      </c>
      <c r="AH44" s="188">
        <f t="shared" si="10"/>
        <v>0.56091541395557554</v>
      </c>
      <c r="AI44" s="188">
        <f t="shared" si="10"/>
        <v>0.24302602114326383</v>
      </c>
      <c r="AJ44" s="188">
        <f t="shared" si="10"/>
        <v>0.27703477264042797</v>
      </c>
      <c r="AK44" s="188">
        <f t="shared" si="10"/>
        <v>0.62598534730594457</v>
      </c>
      <c r="AL44" s="188">
        <f t="shared" si="10"/>
        <v>1.058142125194921</v>
      </c>
      <c r="AM44" s="188" t="e">
        <f t="shared" ref="AM44:AN44" si="11">AM41/AM26</f>
        <v>#DIV/0!</v>
      </c>
      <c r="AN44" s="188" t="e">
        <f t="shared" si="11"/>
        <v>#DIV/0!</v>
      </c>
    </row>
    <row r="46" spans="1:40">
      <c r="A46" s="312" t="s">
        <v>64</v>
      </c>
      <c r="B46" s="93" t="s">
        <v>65</v>
      </c>
      <c r="C46" s="47" t="s">
        <v>8</v>
      </c>
      <c r="D46" s="181">
        <f>SUM(E46:AL46)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</row>
    <row r="47" spans="1:40">
      <c r="A47" s="313"/>
      <c r="B47" s="94" t="s">
        <v>66</v>
      </c>
      <c r="C47" s="38" t="s">
        <v>8</v>
      </c>
      <c r="D47" s="182">
        <f>SUM(E47:AL47)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</row>
    <row r="48" spans="1:40">
      <c r="A48" s="313"/>
      <c r="B48" s="94" t="s">
        <v>67</v>
      </c>
      <c r="C48" s="38" t="s">
        <v>8</v>
      </c>
      <c r="D48" s="182">
        <f t="shared" ref="D48:D49" si="12">SUM(E48:AL48)</f>
        <v>3</v>
      </c>
      <c r="E48" s="89">
        <v>0</v>
      </c>
      <c r="F48" s="89">
        <v>0</v>
      </c>
      <c r="G48" s="89">
        <v>0</v>
      </c>
      <c r="H48" s="89">
        <v>3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</row>
    <row r="49" spans="1:40">
      <c r="A49" s="313"/>
      <c r="B49" s="95" t="s">
        <v>68</v>
      </c>
      <c r="C49" s="40" t="s">
        <v>8</v>
      </c>
      <c r="D49" s="183">
        <f t="shared" si="12"/>
        <v>0</v>
      </c>
      <c r="E49" s="90">
        <v>0</v>
      </c>
      <c r="F49" s="90">
        <v>0</v>
      </c>
      <c r="G49" s="90" t="s">
        <v>437</v>
      </c>
      <c r="H49" s="90">
        <v>0</v>
      </c>
      <c r="I49" s="90">
        <v>0</v>
      </c>
      <c r="J49" s="90" t="s">
        <v>437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</row>
    <row r="50" spans="1:40">
      <c r="A50" s="313"/>
      <c r="B50" s="93" t="s">
        <v>69</v>
      </c>
      <c r="C50" s="91" t="s">
        <v>48</v>
      </c>
      <c r="D50" s="195">
        <f>SUM(E50:AL50)</f>
        <v>510600</v>
      </c>
      <c r="E50" s="86">
        <v>0</v>
      </c>
      <c r="F50" s="86">
        <v>0</v>
      </c>
      <c r="G50" s="86">
        <v>0</v>
      </c>
      <c r="H50" s="86">
        <v>18400</v>
      </c>
      <c r="I50" s="86">
        <v>27800</v>
      </c>
      <c r="J50" s="86">
        <v>18400</v>
      </c>
      <c r="K50" s="86">
        <v>18400</v>
      </c>
      <c r="L50" s="86">
        <v>18400</v>
      </c>
      <c r="M50" s="86">
        <v>18400</v>
      </c>
      <c r="N50" s="86">
        <v>36800</v>
      </c>
      <c r="O50" s="86">
        <v>18400</v>
      </c>
      <c r="P50" s="86">
        <v>18400</v>
      </c>
      <c r="Q50" s="86">
        <v>18400</v>
      </c>
      <c r="R50" s="86">
        <v>18400</v>
      </c>
      <c r="S50" s="86">
        <v>18400</v>
      </c>
      <c r="T50" s="86">
        <v>18400</v>
      </c>
      <c r="U50" s="86">
        <v>18400</v>
      </c>
      <c r="V50" s="86">
        <v>18400</v>
      </c>
      <c r="W50" s="86">
        <v>18400</v>
      </c>
      <c r="X50" s="86">
        <v>18400</v>
      </c>
      <c r="Y50" s="86">
        <v>0</v>
      </c>
      <c r="Z50" s="86">
        <v>0</v>
      </c>
      <c r="AA50" s="86">
        <v>18200</v>
      </c>
      <c r="AB50" s="86">
        <v>18200</v>
      </c>
      <c r="AC50" s="86">
        <v>18200</v>
      </c>
      <c r="AD50" s="86">
        <v>18200</v>
      </c>
      <c r="AE50" s="86">
        <v>18200</v>
      </c>
      <c r="AF50" s="86">
        <v>18200</v>
      </c>
      <c r="AG50" s="86">
        <v>18200</v>
      </c>
      <c r="AH50" s="86">
        <v>18200</v>
      </c>
      <c r="AI50" s="86">
        <v>24400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</row>
    <row r="51" spans="1:40">
      <c r="A51" s="314"/>
      <c r="B51" s="95" t="s">
        <v>70</v>
      </c>
      <c r="C51" s="92" t="s">
        <v>48</v>
      </c>
      <c r="D51" s="199">
        <f>SUM(E51:AL51)</f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</row>
    <row r="52" spans="1:40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</row>
    <row r="54" spans="1:40">
      <c r="A54" s="316"/>
      <c r="B54" s="37" t="s">
        <v>74</v>
      </c>
      <c r="C54" s="51" t="s">
        <v>75</v>
      </c>
      <c r="D54" s="8" t="s">
        <v>75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r="55" spans="1:40">
      <c r="A55" s="316"/>
      <c r="B55" s="37" t="s">
        <v>7</v>
      </c>
      <c r="C55" s="51" t="s">
        <v>75</v>
      </c>
      <c r="D55" s="8" t="s">
        <v>75</v>
      </c>
      <c r="E55" s="8"/>
      <c r="F55" s="8"/>
      <c r="G55" s="8"/>
      <c r="H55" s="8"/>
      <c r="I55" s="8"/>
      <c r="J55" s="8"/>
      <c r="K55" s="8"/>
      <c r="L55" s="8"/>
      <c r="M55" s="8" t="s">
        <v>438</v>
      </c>
      <c r="N55" s="8"/>
      <c r="O55" s="8"/>
      <c r="P55" s="8" t="s">
        <v>439</v>
      </c>
      <c r="Q55" s="8"/>
      <c r="R55" s="8" t="s">
        <v>440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 spans="1:40">
      <c r="A56" s="316"/>
      <c r="B56" s="37" t="s">
        <v>76</v>
      </c>
      <c r="C56" s="51" t="s">
        <v>75</v>
      </c>
      <c r="D56" s="8" t="s">
        <v>75</v>
      </c>
      <c r="E56" s="8"/>
      <c r="F56" s="8"/>
      <c r="G56" s="8"/>
      <c r="H56" s="8"/>
      <c r="I56" s="8"/>
      <c r="J56" s="8"/>
      <c r="K56" s="8" t="s">
        <v>441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>
      <c r="A57" s="317"/>
      <c r="B57" s="39" t="s">
        <v>82</v>
      </c>
      <c r="C57" s="52" t="s">
        <v>75</v>
      </c>
      <c r="D57" s="9" t="s">
        <v>75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9" spans="1:40" ht="15.75">
      <c r="B59" s="53" t="s">
        <v>83</v>
      </c>
      <c r="C59" s="99" t="s">
        <v>84</v>
      </c>
      <c r="D59" s="100">
        <f>SUM(D60:D72)</f>
        <v>33337489.800000001</v>
      </c>
      <c r="E59" s="101">
        <f>SUM(E60:E72)</f>
        <v>0</v>
      </c>
      <c r="F59" s="101">
        <f t="shared" ref="F59:AL59" si="13">SUM(F60:F72)</f>
        <v>0</v>
      </c>
      <c r="G59" s="101">
        <f>SUM(G60:G72)</f>
        <v>0</v>
      </c>
      <c r="H59" s="101">
        <f>SUM(H60:H72)</f>
        <v>1203711</v>
      </c>
      <c r="I59" s="101">
        <f t="shared" ref="I59:Y59" si="14">SUM(I60:I72)</f>
        <v>1329961.8</v>
      </c>
      <c r="J59" s="101">
        <f t="shared" si="14"/>
        <v>787605.6</v>
      </c>
      <c r="K59" s="101">
        <f t="shared" si="14"/>
        <v>780966</v>
      </c>
      <c r="L59" s="101">
        <f t="shared" si="14"/>
        <v>961048</v>
      </c>
      <c r="M59" s="101">
        <f t="shared" si="14"/>
        <v>1339720</v>
      </c>
      <c r="N59" s="101">
        <f t="shared" si="14"/>
        <v>2122873</v>
      </c>
      <c r="O59" s="101">
        <f t="shared" si="14"/>
        <v>878437</v>
      </c>
      <c r="P59" s="101">
        <f t="shared" si="14"/>
        <v>726260</v>
      </c>
      <c r="Q59" s="101">
        <f t="shared" si="14"/>
        <v>1225738</v>
      </c>
      <c r="R59" s="101">
        <f t="shared" si="14"/>
        <v>1212556</v>
      </c>
      <c r="S59" s="101">
        <f t="shared" si="14"/>
        <v>1109446</v>
      </c>
      <c r="T59" s="101">
        <f t="shared" si="14"/>
        <v>1240747</v>
      </c>
      <c r="U59" s="101">
        <f t="shared" si="14"/>
        <v>1185205</v>
      </c>
      <c r="V59" s="101">
        <f t="shared" si="14"/>
        <v>1046656</v>
      </c>
      <c r="W59" s="101">
        <f t="shared" si="14"/>
        <v>890436</v>
      </c>
      <c r="X59" s="101">
        <f t="shared" si="14"/>
        <v>740917</v>
      </c>
      <c r="Y59" s="101">
        <f t="shared" si="14"/>
        <v>227066</v>
      </c>
      <c r="Z59" s="101">
        <f t="shared" si="13"/>
        <v>0</v>
      </c>
      <c r="AA59" s="101">
        <f t="shared" si="13"/>
        <v>897874</v>
      </c>
      <c r="AB59" s="101">
        <f t="shared" si="13"/>
        <v>658530</v>
      </c>
      <c r="AC59" s="101">
        <f t="shared" si="13"/>
        <v>1101378.3999999999</v>
      </c>
      <c r="AD59" s="101">
        <f t="shared" si="13"/>
        <v>2138520</v>
      </c>
      <c r="AE59" s="101">
        <f t="shared" si="13"/>
        <v>940941</v>
      </c>
      <c r="AF59" s="101">
        <f t="shared" si="13"/>
        <v>1178454</v>
      </c>
      <c r="AG59" s="101">
        <f t="shared" si="13"/>
        <v>975882</v>
      </c>
      <c r="AH59" s="101">
        <f t="shared" si="13"/>
        <v>1429505</v>
      </c>
      <c r="AI59" s="101">
        <f t="shared" si="13"/>
        <v>1895280</v>
      </c>
      <c r="AJ59" s="101">
        <f t="shared" si="13"/>
        <v>1758536</v>
      </c>
      <c r="AK59" s="101">
        <f t="shared" si="13"/>
        <v>943936</v>
      </c>
      <c r="AL59" s="101">
        <f t="shared" si="13"/>
        <v>409304</v>
      </c>
      <c r="AM59" s="101">
        <f t="shared" ref="AM59:AN59" si="15">SUM(AM60:AM72)</f>
        <v>0</v>
      </c>
      <c r="AN59" s="101">
        <f t="shared" si="15"/>
        <v>0</v>
      </c>
    </row>
    <row r="60" spans="1:40">
      <c r="B60" s="96" t="s">
        <v>47</v>
      </c>
      <c r="C60" s="111">
        <v>49</v>
      </c>
      <c r="D60" s="97">
        <f>D27*$C60</f>
        <v>16108603</v>
      </c>
      <c r="E60" s="104">
        <f t="shared" ref="E60:AL67" si="16">E27*$C60</f>
        <v>0</v>
      </c>
      <c r="F60" s="104">
        <f t="shared" si="16"/>
        <v>0</v>
      </c>
      <c r="G60" s="104">
        <f t="shared" si="16"/>
        <v>0</v>
      </c>
      <c r="H60" s="104">
        <f t="shared" si="16"/>
        <v>541499</v>
      </c>
      <c r="I60" s="104">
        <f t="shared" si="16"/>
        <v>433111</v>
      </c>
      <c r="J60" s="104">
        <f t="shared" si="16"/>
        <v>236327</v>
      </c>
      <c r="K60" s="104">
        <f t="shared" si="16"/>
        <v>137543</v>
      </c>
      <c r="L60" s="104">
        <f t="shared" si="16"/>
        <v>620879</v>
      </c>
      <c r="M60" s="104">
        <f t="shared" si="16"/>
        <v>969857</v>
      </c>
      <c r="N60" s="104">
        <f t="shared" si="16"/>
        <v>1471372</v>
      </c>
      <c r="O60" s="104">
        <f t="shared" si="16"/>
        <v>506464</v>
      </c>
      <c r="P60" s="104">
        <f t="shared" si="16"/>
        <v>189679</v>
      </c>
      <c r="Q60" s="104">
        <f t="shared" si="16"/>
        <v>269598</v>
      </c>
      <c r="R60" s="104">
        <f t="shared" si="16"/>
        <v>139993</v>
      </c>
      <c r="S60" s="104">
        <f t="shared" si="16"/>
        <v>69678</v>
      </c>
      <c r="T60" s="104">
        <f t="shared" si="16"/>
        <v>79380</v>
      </c>
      <c r="U60" s="104">
        <f t="shared" si="16"/>
        <v>74627</v>
      </c>
      <c r="V60" s="104">
        <f t="shared" si="16"/>
        <v>58163</v>
      </c>
      <c r="W60" s="104">
        <f t="shared" si="16"/>
        <v>30723</v>
      </c>
      <c r="X60" s="104">
        <f t="shared" si="16"/>
        <v>23226</v>
      </c>
      <c r="Y60" s="104">
        <f t="shared" si="16"/>
        <v>8771</v>
      </c>
      <c r="Z60" s="104">
        <f t="shared" si="16"/>
        <v>0</v>
      </c>
      <c r="AA60" s="104">
        <f t="shared" si="16"/>
        <v>247548</v>
      </c>
      <c r="AB60" s="104">
        <f t="shared" si="16"/>
        <v>244118</v>
      </c>
      <c r="AC60" s="104">
        <f t="shared" si="16"/>
        <v>221431</v>
      </c>
      <c r="AD60" s="104">
        <f t="shared" si="16"/>
        <v>1982981</v>
      </c>
      <c r="AE60" s="104">
        <f t="shared" si="16"/>
        <v>776601</v>
      </c>
      <c r="AF60" s="104">
        <f t="shared" si="16"/>
        <v>994063</v>
      </c>
      <c r="AG60" s="104">
        <f t="shared" si="16"/>
        <v>677572</v>
      </c>
      <c r="AH60" s="104">
        <f t="shared" si="16"/>
        <v>1289778</v>
      </c>
      <c r="AI60" s="104">
        <f t="shared" si="16"/>
        <v>1232840</v>
      </c>
      <c r="AJ60" s="104">
        <f t="shared" si="16"/>
        <v>1276205</v>
      </c>
      <c r="AK60" s="104">
        <f t="shared" si="16"/>
        <v>904344</v>
      </c>
      <c r="AL60" s="104">
        <f t="shared" si="16"/>
        <v>400232</v>
      </c>
      <c r="AM60" s="104">
        <f t="shared" ref="AM60:AN66" si="17">AM27*$C60</f>
        <v>0</v>
      </c>
      <c r="AN60" s="104">
        <f t="shared" si="17"/>
        <v>0</v>
      </c>
    </row>
    <row r="61" spans="1:40">
      <c r="B61" s="96" t="s">
        <v>49</v>
      </c>
      <c r="C61" s="111">
        <v>19</v>
      </c>
      <c r="D61" s="97">
        <f>D28*$C61</f>
        <v>6207205</v>
      </c>
      <c r="E61" s="104">
        <f t="shared" si="16"/>
        <v>0</v>
      </c>
      <c r="F61" s="104">
        <f t="shared" si="16"/>
        <v>0</v>
      </c>
      <c r="G61" s="104">
        <f t="shared" si="16"/>
        <v>0</v>
      </c>
      <c r="H61" s="104">
        <f t="shared" si="16"/>
        <v>557232</v>
      </c>
      <c r="I61" s="104">
        <f t="shared" si="16"/>
        <v>727776</v>
      </c>
      <c r="J61" s="104">
        <f t="shared" si="16"/>
        <v>428488</v>
      </c>
      <c r="K61" s="104">
        <f t="shared" si="16"/>
        <v>543875</v>
      </c>
      <c r="L61" s="104">
        <f t="shared" si="16"/>
        <v>40584</v>
      </c>
      <c r="M61" s="104">
        <f t="shared" si="16"/>
        <v>59280</v>
      </c>
      <c r="N61" s="104">
        <f t="shared" si="16"/>
        <v>127243</v>
      </c>
      <c r="O61" s="104">
        <f t="shared" si="16"/>
        <v>192546</v>
      </c>
      <c r="P61" s="104">
        <f t="shared" si="16"/>
        <v>72048</v>
      </c>
      <c r="Q61" s="104">
        <f t="shared" si="16"/>
        <v>96235</v>
      </c>
      <c r="R61" s="104">
        <f t="shared" si="16"/>
        <v>48336</v>
      </c>
      <c r="S61" s="104">
        <f t="shared" si="16"/>
        <v>65664</v>
      </c>
      <c r="T61" s="104">
        <f t="shared" si="16"/>
        <v>92112</v>
      </c>
      <c r="U61" s="104">
        <f t="shared" si="16"/>
        <v>43776</v>
      </c>
      <c r="V61" s="104">
        <f t="shared" si="16"/>
        <v>36480</v>
      </c>
      <c r="W61" s="104">
        <f t="shared" si="16"/>
        <v>66386</v>
      </c>
      <c r="X61" s="104">
        <f t="shared" si="16"/>
        <v>62928</v>
      </c>
      <c r="Y61" s="104">
        <f t="shared" si="16"/>
        <v>2736</v>
      </c>
      <c r="Z61" s="104">
        <f t="shared" si="16"/>
        <v>0</v>
      </c>
      <c r="AA61" s="104">
        <f t="shared" si="16"/>
        <v>517446</v>
      </c>
      <c r="AB61" s="104">
        <f t="shared" si="16"/>
        <v>318516</v>
      </c>
      <c r="AC61" s="104">
        <f t="shared" si="16"/>
        <v>765111</v>
      </c>
      <c r="AD61" s="104">
        <f t="shared" si="16"/>
        <v>70224</v>
      </c>
      <c r="AE61" s="104">
        <f t="shared" si="16"/>
        <v>34656</v>
      </c>
      <c r="AF61" s="104">
        <f t="shared" si="16"/>
        <v>49248</v>
      </c>
      <c r="AG61" s="104">
        <f t="shared" si="16"/>
        <v>139574</v>
      </c>
      <c r="AH61" s="104">
        <f t="shared" si="16"/>
        <v>52459</v>
      </c>
      <c r="AI61" s="104">
        <f t="shared" si="16"/>
        <v>533634</v>
      </c>
      <c r="AJ61" s="104">
        <f t="shared" si="16"/>
        <v>450756</v>
      </c>
      <c r="AK61" s="104">
        <f t="shared" si="16"/>
        <v>9120</v>
      </c>
      <c r="AL61" s="104">
        <f t="shared" si="16"/>
        <v>2736</v>
      </c>
      <c r="AM61" s="104">
        <f t="shared" si="17"/>
        <v>0</v>
      </c>
      <c r="AN61" s="104">
        <f t="shared" si="17"/>
        <v>0</v>
      </c>
    </row>
    <row r="62" spans="1:40">
      <c r="B62" s="96" t="s">
        <v>50</v>
      </c>
      <c r="C62" s="111">
        <v>19</v>
      </c>
      <c r="D62" s="97">
        <f>D29*$C62</f>
        <v>8611218</v>
      </c>
      <c r="E62" s="104">
        <f t="shared" si="16"/>
        <v>0</v>
      </c>
      <c r="F62" s="104">
        <f t="shared" si="16"/>
        <v>0</v>
      </c>
      <c r="G62" s="104">
        <f t="shared" si="16"/>
        <v>0</v>
      </c>
      <c r="H62" s="104">
        <f t="shared" si="16"/>
        <v>12236</v>
      </c>
      <c r="I62" s="104">
        <f t="shared" si="16"/>
        <v>29697</v>
      </c>
      <c r="J62" s="104">
        <f t="shared" si="16"/>
        <v>11324</v>
      </c>
      <c r="K62" s="104">
        <f t="shared" si="16"/>
        <v>1748</v>
      </c>
      <c r="L62" s="104">
        <f t="shared" si="16"/>
        <v>220457</v>
      </c>
      <c r="M62" s="104">
        <f t="shared" si="16"/>
        <v>247323</v>
      </c>
      <c r="N62" s="104">
        <f t="shared" si="16"/>
        <v>365978</v>
      </c>
      <c r="O62" s="104">
        <f t="shared" si="16"/>
        <v>102999</v>
      </c>
      <c r="P62" s="104">
        <f t="shared" si="16"/>
        <v>395485</v>
      </c>
      <c r="Q62" s="104">
        <f t="shared" si="16"/>
        <v>793649</v>
      </c>
      <c r="R62" s="104">
        <f t="shared" si="16"/>
        <v>956555</v>
      </c>
      <c r="S62" s="104">
        <f t="shared" si="16"/>
        <v>892924</v>
      </c>
      <c r="T62" s="104">
        <f t="shared" si="16"/>
        <v>1000711</v>
      </c>
      <c r="U62" s="104">
        <f t="shared" si="16"/>
        <v>993282</v>
      </c>
      <c r="V62" s="104">
        <f t="shared" si="16"/>
        <v>874437</v>
      </c>
      <c r="W62" s="104">
        <f t="shared" si="16"/>
        <v>724983</v>
      </c>
      <c r="X62" s="104">
        <f t="shared" si="16"/>
        <v>590615</v>
      </c>
      <c r="Y62" s="104">
        <f t="shared" si="16"/>
        <v>208639</v>
      </c>
      <c r="Z62" s="104">
        <f t="shared" si="16"/>
        <v>0</v>
      </c>
      <c r="AA62" s="104">
        <f t="shared" si="16"/>
        <v>55024</v>
      </c>
      <c r="AB62" s="104">
        <f t="shared" si="16"/>
        <v>6992</v>
      </c>
      <c r="AC62" s="104">
        <f t="shared" si="16"/>
        <v>11305</v>
      </c>
      <c r="AD62" s="104">
        <f t="shared" si="16"/>
        <v>27075</v>
      </c>
      <c r="AE62" s="104">
        <f t="shared" si="16"/>
        <v>16568</v>
      </c>
      <c r="AF62" s="104">
        <f t="shared" si="16"/>
        <v>7847</v>
      </c>
      <c r="AG62" s="104">
        <f t="shared" si="16"/>
        <v>3496</v>
      </c>
      <c r="AH62" s="104">
        <f t="shared" si="16"/>
        <v>20900</v>
      </c>
      <c r="AI62" s="104">
        <f t="shared" si="16"/>
        <v>15542</v>
      </c>
      <c r="AJ62" s="104">
        <f t="shared" si="16"/>
        <v>13851</v>
      </c>
      <c r="AK62" s="104">
        <f t="shared" si="16"/>
        <v>9576</v>
      </c>
      <c r="AL62" s="104">
        <f t="shared" si="16"/>
        <v>0</v>
      </c>
      <c r="AM62" s="104">
        <f t="shared" si="17"/>
        <v>0</v>
      </c>
      <c r="AN62" s="104">
        <f t="shared" si="17"/>
        <v>0</v>
      </c>
    </row>
    <row r="63" spans="1:40">
      <c r="B63" s="96" t="s">
        <v>51</v>
      </c>
      <c r="C63" s="111">
        <v>15</v>
      </c>
      <c r="D63" s="97">
        <f t="shared" ref="D63" si="18">D30*$C63</f>
        <v>0</v>
      </c>
      <c r="E63" s="104">
        <f t="shared" si="16"/>
        <v>0</v>
      </c>
      <c r="F63" s="104">
        <f t="shared" si="16"/>
        <v>0</v>
      </c>
      <c r="G63" s="104">
        <f t="shared" si="16"/>
        <v>0</v>
      </c>
      <c r="H63" s="104">
        <f t="shared" si="16"/>
        <v>0</v>
      </c>
      <c r="I63" s="104">
        <f t="shared" si="16"/>
        <v>0</v>
      </c>
      <c r="J63" s="104">
        <f t="shared" si="16"/>
        <v>0</v>
      </c>
      <c r="K63" s="104">
        <f t="shared" si="16"/>
        <v>0</v>
      </c>
      <c r="L63" s="104">
        <f t="shared" si="16"/>
        <v>0</v>
      </c>
      <c r="M63" s="104">
        <f t="shared" si="16"/>
        <v>0</v>
      </c>
      <c r="N63" s="104">
        <f t="shared" si="16"/>
        <v>0</v>
      </c>
      <c r="O63" s="104">
        <f t="shared" si="16"/>
        <v>0</v>
      </c>
      <c r="P63" s="104">
        <f t="shared" si="16"/>
        <v>0</v>
      </c>
      <c r="Q63" s="104">
        <f t="shared" si="16"/>
        <v>0</v>
      </c>
      <c r="R63" s="104">
        <f t="shared" si="16"/>
        <v>0</v>
      </c>
      <c r="S63" s="104">
        <f t="shared" si="16"/>
        <v>0</v>
      </c>
      <c r="T63" s="104">
        <f t="shared" si="16"/>
        <v>0</v>
      </c>
      <c r="U63" s="104">
        <f t="shared" si="16"/>
        <v>0</v>
      </c>
      <c r="V63" s="104">
        <f t="shared" si="16"/>
        <v>0</v>
      </c>
      <c r="W63" s="104">
        <f t="shared" si="16"/>
        <v>0</v>
      </c>
      <c r="X63" s="104">
        <f t="shared" si="16"/>
        <v>0</v>
      </c>
      <c r="Y63" s="104">
        <f t="shared" si="16"/>
        <v>0</v>
      </c>
      <c r="Z63" s="104">
        <f t="shared" si="16"/>
        <v>0</v>
      </c>
      <c r="AA63" s="104">
        <f t="shared" si="16"/>
        <v>0</v>
      </c>
      <c r="AB63" s="104">
        <f t="shared" si="16"/>
        <v>0</v>
      </c>
      <c r="AC63" s="104">
        <f t="shared" si="16"/>
        <v>0</v>
      </c>
      <c r="AD63" s="104">
        <f t="shared" si="16"/>
        <v>0</v>
      </c>
      <c r="AE63" s="104">
        <f t="shared" si="16"/>
        <v>0</v>
      </c>
      <c r="AF63" s="104">
        <f t="shared" si="16"/>
        <v>0</v>
      </c>
      <c r="AG63" s="104">
        <f t="shared" si="16"/>
        <v>0</v>
      </c>
      <c r="AH63" s="104">
        <f t="shared" si="16"/>
        <v>0</v>
      </c>
      <c r="AI63" s="104">
        <f t="shared" si="16"/>
        <v>0</v>
      </c>
      <c r="AJ63" s="104">
        <f t="shared" si="16"/>
        <v>0</v>
      </c>
      <c r="AK63" s="104">
        <f t="shared" si="16"/>
        <v>0</v>
      </c>
      <c r="AL63" s="104">
        <f t="shared" si="16"/>
        <v>0</v>
      </c>
      <c r="AM63" s="104">
        <f t="shared" si="17"/>
        <v>0</v>
      </c>
      <c r="AN63" s="104">
        <f t="shared" si="17"/>
        <v>0</v>
      </c>
    </row>
    <row r="64" spans="1:40">
      <c r="B64" s="96" t="s">
        <v>52</v>
      </c>
      <c r="C64" s="111">
        <v>10</v>
      </c>
      <c r="D64" s="97">
        <f>D31*$C64</f>
        <v>450220</v>
      </c>
      <c r="E64" s="104">
        <f t="shared" si="16"/>
        <v>0</v>
      </c>
      <c r="F64" s="104">
        <f t="shared" si="16"/>
        <v>0</v>
      </c>
      <c r="G64" s="104">
        <f t="shared" si="16"/>
        <v>0</v>
      </c>
      <c r="H64" s="104">
        <f t="shared" si="16"/>
        <v>31320</v>
      </c>
      <c r="I64" s="104">
        <f t="shared" si="16"/>
        <v>44300</v>
      </c>
      <c r="J64" s="104">
        <f t="shared" si="16"/>
        <v>24240</v>
      </c>
      <c r="K64" s="104">
        <f t="shared" si="16"/>
        <v>38920</v>
      </c>
      <c r="L64" s="104">
        <f t="shared" si="16"/>
        <v>12600</v>
      </c>
      <c r="M64" s="104">
        <f t="shared" si="16"/>
        <v>1620</v>
      </c>
      <c r="N64" s="104">
        <f t="shared" si="16"/>
        <v>7560</v>
      </c>
      <c r="O64" s="104">
        <f t="shared" si="16"/>
        <v>10620</v>
      </c>
      <c r="P64" s="104">
        <f t="shared" si="16"/>
        <v>6840</v>
      </c>
      <c r="Q64" s="104">
        <f t="shared" si="16"/>
        <v>3600</v>
      </c>
      <c r="R64" s="104">
        <f t="shared" si="16"/>
        <v>6840</v>
      </c>
      <c r="S64" s="104">
        <f t="shared" si="16"/>
        <v>20340</v>
      </c>
      <c r="T64" s="104">
        <f t="shared" si="16"/>
        <v>8640</v>
      </c>
      <c r="U64" s="104">
        <f t="shared" si="16"/>
        <v>11880</v>
      </c>
      <c r="V64" s="104">
        <f t="shared" si="16"/>
        <v>11880</v>
      </c>
      <c r="W64" s="104">
        <f t="shared" si="16"/>
        <v>5400</v>
      </c>
      <c r="X64" s="104">
        <f t="shared" si="16"/>
        <v>1260</v>
      </c>
      <c r="Y64" s="104">
        <f t="shared" si="16"/>
        <v>6120</v>
      </c>
      <c r="Z64" s="104">
        <f t="shared" si="16"/>
        <v>0</v>
      </c>
      <c r="AA64" s="104">
        <f t="shared" si="16"/>
        <v>17640</v>
      </c>
      <c r="AB64" s="104">
        <f t="shared" si="16"/>
        <v>7800</v>
      </c>
      <c r="AC64" s="104">
        <f t="shared" si="16"/>
        <v>4800</v>
      </c>
      <c r="AD64" s="104">
        <f t="shared" si="16"/>
        <v>0</v>
      </c>
      <c r="AE64" s="104">
        <f t="shared" si="16"/>
        <v>52380</v>
      </c>
      <c r="AF64" s="104">
        <f t="shared" si="16"/>
        <v>13800</v>
      </c>
      <c r="AG64" s="104">
        <f t="shared" si="16"/>
        <v>26200</v>
      </c>
      <c r="AH64" s="104">
        <f t="shared" si="16"/>
        <v>0</v>
      </c>
      <c r="AI64" s="104">
        <f t="shared" si="16"/>
        <v>34200</v>
      </c>
      <c r="AJ64" s="104">
        <f t="shared" si="16"/>
        <v>14940</v>
      </c>
      <c r="AK64" s="104">
        <f t="shared" si="16"/>
        <v>19440</v>
      </c>
      <c r="AL64" s="104">
        <f t="shared" si="16"/>
        <v>5040</v>
      </c>
      <c r="AM64" s="104">
        <f t="shared" si="17"/>
        <v>0</v>
      </c>
      <c r="AN64" s="104">
        <f t="shared" si="17"/>
        <v>0</v>
      </c>
    </row>
    <row r="65" spans="2:40">
      <c r="B65" s="96" t="s">
        <v>53</v>
      </c>
      <c r="C65" s="111">
        <v>19</v>
      </c>
      <c r="D65" s="97">
        <f t="shared" ref="D65:S71" si="19">D32*$C65</f>
        <v>0</v>
      </c>
      <c r="E65" s="104">
        <f t="shared" si="16"/>
        <v>0</v>
      </c>
      <c r="F65" s="104">
        <f t="shared" si="16"/>
        <v>0</v>
      </c>
      <c r="G65" s="104">
        <f t="shared" si="16"/>
        <v>0</v>
      </c>
      <c r="H65" s="104">
        <f t="shared" si="16"/>
        <v>0</v>
      </c>
      <c r="I65" s="104">
        <f t="shared" si="16"/>
        <v>0</v>
      </c>
      <c r="J65" s="104">
        <f t="shared" si="16"/>
        <v>0</v>
      </c>
      <c r="K65" s="104">
        <f t="shared" si="16"/>
        <v>0</v>
      </c>
      <c r="L65" s="104">
        <f t="shared" si="16"/>
        <v>0</v>
      </c>
      <c r="M65" s="104">
        <f t="shared" si="16"/>
        <v>0</v>
      </c>
      <c r="N65" s="104">
        <f t="shared" si="16"/>
        <v>0</v>
      </c>
      <c r="O65" s="104">
        <f t="shared" si="16"/>
        <v>0</v>
      </c>
      <c r="P65" s="104">
        <f t="shared" si="16"/>
        <v>0</v>
      </c>
      <c r="Q65" s="104">
        <f t="shared" si="16"/>
        <v>0</v>
      </c>
      <c r="R65" s="104">
        <f t="shared" si="16"/>
        <v>0</v>
      </c>
      <c r="S65" s="104">
        <f t="shared" si="16"/>
        <v>0</v>
      </c>
      <c r="T65" s="104">
        <f t="shared" si="16"/>
        <v>0</v>
      </c>
      <c r="U65" s="104">
        <f t="shared" si="16"/>
        <v>0</v>
      </c>
      <c r="V65" s="104">
        <f t="shared" si="16"/>
        <v>0</v>
      </c>
      <c r="W65" s="104">
        <f t="shared" si="16"/>
        <v>0</v>
      </c>
      <c r="X65" s="104">
        <f t="shared" si="16"/>
        <v>0</v>
      </c>
      <c r="Y65" s="104">
        <f t="shared" si="16"/>
        <v>0</v>
      </c>
      <c r="Z65" s="104">
        <f t="shared" si="16"/>
        <v>0</v>
      </c>
      <c r="AA65" s="104">
        <f t="shared" si="16"/>
        <v>0</v>
      </c>
      <c r="AB65" s="104">
        <f t="shared" si="16"/>
        <v>0</v>
      </c>
      <c r="AC65" s="104">
        <f t="shared" si="16"/>
        <v>0</v>
      </c>
      <c r="AD65" s="104">
        <f t="shared" si="16"/>
        <v>0</v>
      </c>
      <c r="AE65" s="104">
        <f t="shared" si="16"/>
        <v>0</v>
      </c>
      <c r="AF65" s="104">
        <f t="shared" si="16"/>
        <v>0</v>
      </c>
      <c r="AG65" s="104">
        <f t="shared" si="16"/>
        <v>0</v>
      </c>
      <c r="AH65" s="104">
        <f t="shared" si="16"/>
        <v>0</v>
      </c>
      <c r="AI65" s="104">
        <f t="shared" si="16"/>
        <v>0</v>
      </c>
      <c r="AJ65" s="104">
        <f t="shared" si="16"/>
        <v>0</v>
      </c>
      <c r="AK65" s="104">
        <f t="shared" si="16"/>
        <v>0</v>
      </c>
      <c r="AL65" s="104">
        <f t="shared" si="16"/>
        <v>0</v>
      </c>
      <c r="AM65" s="104">
        <f t="shared" si="17"/>
        <v>0</v>
      </c>
      <c r="AN65" s="104">
        <f t="shared" si="17"/>
        <v>0</v>
      </c>
    </row>
    <row r="66" spans="2:40">
      <c r="B66" s="96" t="s">
        <v>54</v>
      </c>
      <c r="C66" s="111">
        <v>10</v>
      </c>
      <c r="D66" s="97">
        <f t="shared" si="19"/>
        <v>0</v>
      </c>
      <c r="E66" s="104">
        <f t="shared" si="16"/>
        <v>0</v>
      </c>
      <c r="F66" s="104">
        <f t="shared" si="16"/>
        <v>0</v>
      </c>
      <c r="G66" s="104">
        <f t="shared" si="16"/>
        <v>0</v>
      </c>
      <c r="H66" s="104">
        <f t="shared" si="16"/>
        <v>0</v>
      </c>
      <c r="I66" s="104">
        <f t="shared" si="16"/>
        <v>0</v>
      </c>
      <c r="J66" s="104">
        <f t="shared" si="16"/>
        <v>0</v>
      </c>
      <c r="K66" s="104">
        <f t="shared" si="16"/>
        <v>0</v>
      </c>
      <c r="L66" s="104">
        <f t="shared" si="16"/>
        <v>0</v>
      </c>
      <c r="M66" s="104">
        <f t="shared" si="16"/>
        <v>0</v>
      </c>
      <c r="N66" s="104">
        <f t="shared" si="16"/>
        <v>0</v>
      </c>
      <c r="O66" s="104">
        <f t="shared" si="16"/>
        <v>0</v>
      </c>
      <c r="P66" s="104">
        <f t="shared" si="16"/>
        <v>0</v>
      </c>
      <c r="Q66" s="104">
        <f t="shared" si="16"/>
        <v>0</v>
      </c>
      <c r="R66" s="104">
        <f t="shared" si="16"/>
        <v>0</v>
      </c>
      <c r="S66" s="104">
        <f t="shared" si="16"/>
        <v>0</v>
      </c>
      <c r="T66" s="104">
        <f t="shared" si="16"/>
        <v>0</v>
      </c>
      <c r="U66" s="104">
        <f t="shared" si="16"/>
        <v>0</v>
      </c>
      <c r="V66" s="104">
        <f t="shared" si="16"/>
        <v>0</v>
      </c>
      <c r="W66" s="104">
        <f t="shared" si="16"/>
        <v>0</v>
      </c>
      <c r="X66" s="104">
        <f t="shared" si="16"/>
        <v>0</v>
      </c>
      <c r="Y66" s="104">
        <f t="shared" si="16"/>
        <v>0</v>
      </c>
      <c r="Z66" s="104">
        <f t="shared" si="16"/>
        <v>0</v>
      </c>
      <c r="AA66" s="104">
        <f t="shared" si="16"/>
        <v>0</v>
      </c>
      <c r="AB66" s="104">
        <f t="shared" si="16"/>
        <v>0</v>
      </c>
      <c r="AC66" s="104">
        <f t="shared" si="16"/>
        <v>0</v>
      </c>
      <c r="AD66" s="104">
        <f t="shared" si="16"/>
        <v>0</v>
      </c>
      <c r="AE66" s="104">
        <f t="shared" si="16"/>
        <v>0</v>
      </c>
      <c r="AF66" s="104">
        <f t="shared" si="16"/>
        <v>0</v>
      </c>
      <c r="AG66" s="104">
        <f t="shared" si="16"/>
        <v>0</v>
      </c>
      <c r="AH66" s="104">
        <f t="shared" si="16"/>
        <v>0</v>
      </c>
      <c r="AI66" s="104">
        <f t="shared" si="16"/>
        <v>0</v>
      </c>
      <c r="AJ66" s="104">
        <f t="shared" si="16"/>
        <v>0</v>
      </c>
      <c r="AK66" s="104">
        <f t="shared" si="16"/>
        <v>0</v>
      </c>
      <c r="AL66" s="104">
        <f t="shared" si="16"/>
        <v>0</v>
      </c>
      <c r="AM66" s="104">
        <f t="shared" si="17"/>
        <v>0</v>
      </c>
      <c r="AN66" s="104">
        <f t="shared" si="17"/>
        <v>0</v>
      </c>
    </row>
    <row r="67" spans="2:40">
      <c r="B67" s="96" t="s">
        <v>55</v>
      </c>
      <c r="C67" s="111">
        <v>50</v>
      </c>
      <c r="D67" s="97">
        <f t="shared" si="19"/>
        <v>34050</v>
      </c>
      <c r="E67" s="104">
        <f t="shared" si="16"/>
        <v>0</v>
      </c>
      <c r="F67" s="104">
        <f t="shared" si="16"/>
        <v>0</v>
      </c>
      <c r="G67" s="104">
        <f t="shared" si="16"/>
        <v>0</v>
      </c>
      <c r="H67" s="104">
        <f t="shared" si="16"/>
        <v>0</v>
      </c>
      <c r="I67" s="104">
        <f t="shared" si="16"/>
        <v>2050</v>
      </c>
      <c r="J67" s="104">
        <f t="shared" si="16"/>
        <v>21600</v>
      </c>
      <c r="K67" s="104">
        <f t="shared" si="16"/>
        <v>0</v>
      </c>
      <c r="L67" s="104">
        <f t="shared" si="16"/>
        <v>0</v>
      </c>
      <c r="M67" s="104">
        <f t="shared" si="16"/>
        <v>0</v>
      </c>
      <c r="N67" s="104">
        <f t="shared" si="16"/>
        <v>0</v>
      </c>
      <c r="O67" s="104">
        <f t="shared" si="16"/>
        <v>0</v>
      </c>
      <c r="P67" s="104">
        <f t="shared" si="16"/>
        <v>0</v>
      </c>
      <c r="Q67" s="104">
        <f t="shared" si="16"/>
        <v>0</v>
      </c>
      <c r="R67" s="104">
        <f t="shared" si="16"/>
        <v>0</v>
      </c>
      <c r="S67" s="104">
        <f t="shared" si="16"/>
        <v>0</v>
      </c>
      <c r="T67" s="104">
        <f t="shared" si="16"/>
        <v>0</v>
      </c>
      <c r="U67" s="104">
        <f t="shared" si="16"/>
        <v>0</v>
      </c>
      <c r="V67" s="104">
        <f t="shared" ref="E67:AL71" si="20">V34*$C67</f>
        <v>0</v>
      </c>
      <c r="W67" s="104">
        <f t="shared" si="20"/>
        <v>0</v>
      </c>
      <c r="X67" s="104">
        <f t="shared" si="20"/>
        <v>0</v>
      </c>
      <c r="Y67" s="104">
        <f t="shared" si="20"/>
        <v>0</v>
      </c>
      <c r="Z67" s="104">
        <f t="shared" si="20"/>
        <v>0</v>
      </c>
      <c r="AA67" s="104">
        <f t="shared" si="20"/>
        <v>0</v>
      </c>
      <c r="AB67" s="104">
        <f t="shared" si="20"/>
        <v>0</v>
      </c>
      <c r="AC67" s="104">
        <f t="shared" si="20"/>
        <v>10400</v>
      </c>
      <c r="AD67" s="104">
        <f t="shared" si="20"/>
        <v>0</v>
      </c>
      <c r="AE67" s="104">
        <f t="shared" si="20"/>
        <v>0</v>
      </c>
      <c r="AF67" s="104">
        <f t="shared" si="20"/>
        <v>0</v>
      </c>
      <c r="AG67" s="104">
        <f t="shared" si="20"/>
        <v>0</v>
      </c>
      <c r="AH67" s="104">
        <f t="shared" si="20"/>
        <v>0</v>
      </c>
      <c r="AI67" s="104">
        <f t="shared" si="20"/>
        <v>0</v>
      </c>
      <c r="AJ67" s="104">
        <f t="shared" si="20"/>
        <v>0</v>
      </c>
      <c r="AK67" s="104">
        <f t="shared" si="20"/>
        <v>0</v>
      </c>
      <c r="AL67" s="104">
        <f t="shared" si="20"/>
        <v>0</v>
      </c>
      <c r="AM67" s="104">
        <f t="shared" ref="AM67:AN67" si="21">AM34*$C67</f>
        <v>0</v>
      </c>
      <c r="AN67" s="104">
        <f t="shared" si="21"/>
        <v>0</v>
      </c>
    </row>
    <row r="68" spans="2:40">
      <c r="B68" s="96" t="s">
        <v>56</v>
      </c>
      <c r="C68" s="111">
        <v>27.39</v>
      </c>
      <c r="D68" s="97">
        <f t="shared" si="19"/>
        <v>6025.8</v>
      </c>
      <c r="E68" s="104">
        <f t="shared" si="20"/>
        <v>0</v>
      </c>
      <c r="F68" s="104">
        <f t="shared" si="20"/>
        <v>0</v>
      </c>
      <c r="G68" s="104">
        <f t="shared" si="20"/>
        <v>0</v>
      </c>
      <c r="H68" s="104">
        <f t="shared" si="20"/>
        <v>0</v>
      </c>
      <c r="I68" s="104">
        <f t="shared" si="20"/>
        <v>547.79999999999995</v>
      </c>
      <c r="J68" s="104">
        <f t="shared" si="20"/>
        <v>3834.6</v>
      </c>
      <c r="K68" s="104">
        <f t="shared" si="20"/>
        <v>0</v>
      </c>
      <c r="L68" s="104">
        <f t="shared" si="20"/>
        <v>0</v>
      </c>
      <c r="M68" s="104">
        <f t="shared" si="20"/>
        <v>0</v>
      </c>
      <c r="N68" s="104">
        <f t="shared" si="20"/>
        <v>0</v>
      </c>
      <c r="O68" s="104">
        <f t="shared" si="20"/>
        <v>0</v>
      </c>
      <c r="P68" s="104">
        <f t="shared" si="20"/>
        <v>0</v>
      </c>
      <c r="Q68" s="104">
        <f t="shared" si="20"/>
        <v>0</v>
      </c>
      <c r="R68" s="104">
        <f t="shared" si="20"/>
        <v>0</v>
      </c>
      <c r="S68" s="104">
        <f t="shared" si="20"/>
        <v>0</v>
      </c>
      <c r="T68" s="104">
        <f t="shared" si="20"/>
        <v>0</v>
      </c>
      <c r="U68" s="104">
        <f t="shared" si="20"/>
        <v>0</v>
      </c>
      <c r="V68" s="104">
        <f t="shared" si="20"/>
        <v>0</v>
      </c>
      <c r="W68" s="104">
        <f t="shared" si="20"/>
        <v>0</v>
      </c>
      <c r="X68" s="104">
        <f t="shared" si="20"/>
        <v>0</v>
      </c>
      <c r="Y68" s="104">
        <f t="shared" si="20"/>
        <v>0</v>
      </c>
      <c r="Z68" s="104">
        <f t="shared" si="20"/>
        <v>0</v>
      </c>
      <c r="AA68" s="104">
        <f t="shared" si="20"/>
        <v>0</v>
      </c>
      <c r="AB68" s="104">
        <f t="shared" si="20"/>
        <v>0</v>
      </c>
      <c r="AC68" s="104">
        <f t="shared" si="20"/>
        <v>1643.4</v>
      </c>
      <c r="AD68" s="104">
        <f t="shared" si="20"/>
        <v>0</v>
      </c>
      <c r="AE68" s="104">
        <f t="shared" si="20"/>
        <v>0</v>
      </c>
      <c r="AF68" s="104">
        <f t="shared" si="20"/>
        <v>0</v>
      </c>
      <c r="AG68" s="104">
        <f t="shared" si="20"/>
        <v>0</v>
      </c>
      <c r="AH68" s="104">
        <f t="shared" si="20"/>
        <v>0</v>
      </c>
      <c r="AI68" s="104">
        <f t="shared" si="20"/>
        <v>0</v>
      </c>
      <c r="AJ68" s="104">
        <f t="shared" si="20"/>
        <v>0</v>
      </c>
      <c r="AK68" s="104">
        <f t="shared" si="20"/>
        <v>0</v>
      </c>
      <c r="AL68" s="104">
        <f t="shared" si="20"/>
        <v>0</v>
      </c>
      <c r="AM68" s="104">
        <f t="shared" ref="AM68:AN68" si="22">AM35*$C68</f>
        <v>0</v>
      </c>
      <c r="AN68" s="104">
        <f t="shared" si="22"/>
        <v>0</v>
      </c>
    </row>
    <row r="69" spans="2:40">
      <c r="B69" s="96" t="s">
        <v>57</v>
      </c>
      <c r="C69" s="111">
        <v>26</v>
      </c>
      <c r="D69" s="97">
        <f t="shared" si="19"/>
        <v>0</v>
      </c>
      <c r="E69" s="104">
        <f t="shared" si="20"/>
        <v>0</v>
      </c>
      <c r="F69" s="104">
        <f t="shared" si="20"/>
        <v>0</v>
      </c>
      <c r="G69" s="104">
        <f t="shared" si="20"/>
        <v>0</v>
      </c>
      <c r="H69" s="104">
        <f t="shared" si="20"/>
        <v>0</v>
      </c>
      <c r="I69" s="104">
        <f t="shared" si="20"/>
        <v>0</v>
      </c>
      <c r="J69" s="104">
        <f t="shared" si="20"/>
        <v>0</v>
      </c>
      <c r="K69" s="104">
        <f t="shared" si="20"/>
        <v>0</v>
      </c>
      <c r="L69" s="104">
        <f t="shared" si="20"/>
        <v>0</v>
      </c>
      <c r="M69" s="104">
        <f t="shared" si="20"/>
        <v>0</v>
      </c>
      <c r="N69" s="104">
        <f t="shared" si="20"/>
        <v>0</v>
      </c>
      <c r="O69" s="104">
        <f t="shared" si="20"/>
        <v>0</v>
      </c>
      <c r="P69" s="104">
        <f t="shared" si="20"/>
        <v>0</v>
      </c>
      <c r="Q69" s="104">
        <f t="shared" si="20"/>
        <v>0</v>
      </c>
      <c r="R69" s="104">
        <f t="shared" si="20"/>
        <v>0</v>
      </c>
      <c r="S69" s="104">
        <f t="shared" si="20"/>
        <v>0</v>
      </c>
      <c r="T69" s="104">
        <f t="shared" si="20"/>
        <v>0</v>
      </c>
      <c r="U69" s="104">
        <f t="shared" si="20"/>
        <v>0</v>
      </c>
      <c r="V69" s="104">
        <f t="shared" si="20"/>
        <v>0</v>
      </c>
      <c r="W69" s="104">
        <f t="shared" si="20"/>
        <v>0</v>
      </c>
      <c r="X69" s="104">
        <f t="shared" si="20"/>
        <v>0</v>
      </c>
      <c r="Y69" s="104">
        <f t="shared" si="20"/>
        <v>0</v>
      </c>
      <c r="Z69" s="104">
        <f t="shared" si="20"/>
        <v>0</v>
      </c>
      <c r="AA69" s="104">
        <f t="shared" si="20"/>
        <v>0</v>
      </c>
      <c r="AB69" s="104">
        <f t="shared" si="20"/>
        <v>0</v>
      </c>
      <c r="AC69" s="104">
        <f t="shared" si="20"/>
        <v>0</v>
      </c>
      <c r="AD69" s="104">
        <f t="shared" si="20"/>
        <v>0</v>
      </c>
      <c r="AE69" s="104">
        <f t="shared" si="20"/>
        <v>0</v>
      </c>
      <c r="AF69" s="104">
        <f t="shared" si="20"/>
        <v>0</v>
      </c>
      <c r="AG69" s="104">
        <f t="shared" si="20"/>
        <v>0</v>
      </c>
      <c r="AH69" s="104">
        <f t="shared" si="20"/>
        <v>0</v>
      </c>
      <c r="AI69" s="104">
        <f t="shared" si="20"/>
        <v>0</v>
      </c>
      <c r="AJ69" s="104">
        <f t="shared" si="20"/>
        <v>0</v>
      </c>
      <c r="AK69" s="104">
        <f t="shared" si="20"/>
        <v>0</v>
      </c>
      <c r="AL69" s="104">
        <f t="shared" si="20"/>
        <v>0</v>
      </c>
      <c r="AM69" s="104">
        <f t="shared" ref="AM69:AN69" si="23">AM36*$C69</f>
        <v>0</v>
      </c>
      <c r="AN69" s="104">
        <f t="shared" si="23"/>
        <v>0</v>
      </c>
    </row>
    <row r="70" spans="2:40">
      <c r="B70" s="96" t="s">
        <v>58</v>
      </c>
      <c r="C70" s="111">
        <v>48</v>
      </c>
      <c r="D70" s="97">
        <f t="shared" si="19"/>
        <v>0</v>
      </c>
      <c r="E70" s="104">
        <f t="shared" si="20"/>
        <v>0</v>
      </c>
      <c r="F70" s="104">
        <f t="shared" si="20"/>
        <v>0</v>
      </c>
      <c r="G70" s="104">
        <f t="shared" si="20"/>
        <v>0</v>
      </c>
      <c r="H70" s="104">
        <f t="shared" si="20"/>
        <v>0</v>
      </c>
      <c r="I70" s="104">
        <f t="shared" si="20"/>
        <v>0</v>
      </c>
      <c r="J70" s="104">
        <f t="shared" si="20"/>
        <v>0</v>
      </c>
      <c r="K70" s="104">
        <f t="shared" si="20"/>
        <v>0</v>
      </c>
      <c r="L70" s="104">
        <f t="shared" si="20"/>
        <v>0</v>
      </c>
      <c r="M70" s="104">
        <f t="shared" si="20"/>
        <v>0</v>
      </c>
      <c r="N70" s="104">
        <f t="shared" si="20"/>
        <v>0</v>
      </c>
      <c r="O70" s="104">
        <f t="shared" si="20"/>
        <v>0</v>
      </c>
      <c r="P70" s="104">
        <f t="shared" si="20"/>
        <v>0</v>
      </c>
      <c r="Q70" s="104">
        <f t="shared" si="20"/>
        <v>0</v>
      </c>
      <c r="R70" s="104">
        <f t="shared" si="20"/>
        <v>0</v>
      </c>
      <c r="S70" s="104">
        <f t="shared" si="20"/>
        <v>0</v>
      </c>
      <c r="T70" s="104">
        <f t="shared" si="20"/>
        <v>0</v>
      </c>
      <c r="U70" s="104">
        <f t="shared" si="20"/>
        <v>0</v>
      </c>
      <c r="V70" s="104">
        <f t="shared" si="20"/>
        <v>0</v>
      </c>
      <c r="W70" s="104">
        <f t="shared" si="20"/>
        <v>0</v>
      </c>
      <c r="X70" s="104">
        <f t="shared" si="20"/>
        <v>0</v>
      </c>
      <c r="Y70" s="104">
        <f t="shared" si="20"/>
        <v>0</v>
      </c>
      <c r="Z70" s="104">
        <f t="shared" si="20"/>
        <v>0</v>
      </c>
      <c r="AA70" s="104">
        <f t="shared" si="20"/>
        <v>0</v>
      </c>
      <c r="AB70" s="104">
        <f t="shared" si="20"/>
        <v>0</v>
      </c>
      <c r="AC70" s="104">
        <f t="shared" si="20"/>
        <v>0</v>
      </c>
      <c r="AD70" s="104">
        <f t="shared" si="20"/>
        <v>0</v>
      </c>
      <c r="AE70" s="104">
        <f t="shared" si="20"/>
        <v>0</v>
      </c>
      <c r="AF70" s="104">
        <f t="shared" si="20"/>
        <v>0</v>
      </c>
      <c r="AG70" s="104">
        <f t="shared" si="20"/>
        <v>0</v>
      </c>
      <c r="AH70" s="104">
        <f t="shared" si="20"/>
        <v>0</v>
      </c>
      <c r="AI70" s="104">
        <f t="shared" si="20"/>
        <v>0</v>
      </c>
      <c r="AJ70" s="104">
        <f t="shared" si="20"/>
        <v>0</v>
      </c>
      <c r="AK70" s="104">
        <f t="shared" si="20"/>
        <v>0</v>
      </c>
      <c r="AL70" s="104">
        <f t="shared" si="20"/>
        <v>0</v>
      </c>
      <c r="AM70" s="104">
        <f t="shared" ref="AM70:AN70" si="24">AM37*$C70</f>
        <v>0</v>
      </c>
      <c r="AN70" s="104">
        <f t="shared" si="24"/>
        <v>0</v>
      </c>
    </row>
    <row r="71" spans="2:40">
      <c r="B71" s="96" t="s">
        <v>59</v>
      </c>
      <c r="C71" s="112">
        <v>8</v>
      </c>
      <c r="D71" s="97">
        <f t="shared" si="19"/>
        <v>286248</v>
      </c>
      <c r="E71" s="104">
        <f t="shared" si="19"/>
        <v>0</v>
      </c>
      <c r="F71" s="104">
        <f t="shared" si="19"/>
        <v>0</v>
      </c>
      <c r="G71" s="104">
        <f t="shared" si="19"/>
        <v>0</v>
      </c>
      <c r="H71" s="104">
        <f t="shared" si="19"/>
        <v>2544</v>
      </c>
      <c r="I71" s="104">
        <f t="shared" si="19"/>
        <v>3520</v>
      </c>
      <c r="J71" s="104">
        <f t="shared" si="19"/>
        <v>2912</v>
      </c>
      <c r="K71" s="104">
        <f t="shared" si="19"/>
        <v>0</v>
      </c>
      <c r="L71" s="104">
        <f t="shared" si="19"/>
        <v>7648</v>
      </c>
      <c r="M71" s="104">
        <f t="shared" si="19"/>
        <v>2760</v>
      </c>
      <c r="N71" s="104">
        <f t="shared" si="19"/>
        <v>32960</v>
      </c>
      <c r="O71" s="104">
        <f t="shared" si="19"/>
        <v>6928</v>
      </c>
      <c r="P71" s="104">
        <f t="shared" si="19"/>
        <v>3328</v>
      </c>
      <c r="Q71" s="104">
        <f t="shared" si="19"/>
        <v>3776</v>
      </c>
      <c r="R71" s="104">
        <f t="shared" si="19"/>
        <v>1952</v>
      </c>
      <c r="S71" s="104">
        <f t="shared" si="19"/>
        <v>1960</v>
      </c>
      <c r="T71" s="104">
        <f t="shared" si="20"/>
        <v>1024</v>
      </c>
      <c r="U71" s="104">
        <f t="shared" si="20"/>
        <v>2760</v>
      </c>
      <c r="V71" s="104">
        <f t="shared" si="20"/>
        <v>6816</v>
      </c>
      <c r="W71" s="104">
        <f t="shared" si="20"/>
        <v>4064</v>
      </c>
      <c r="X71" s="104">
        <f t="shared" si="20"/>
        <v>4008</v>
      </c>
      <c r="Y71" s="104">
        <f t="shared" si="20"/>
        <v>800</v>
      </c>
      <c r="Z71" s="104">
        <f t="shared" si="20"/>
        <v>0</v>
      </c>
      <c r="AA71" s="104">
        <f t="shared" si="20"/>
        <v>1976</v>
      </c>
      <c r="AB71" s="104">
        <f t="shared" si="20"/>
        <v>22864</v>
      </c>
      <c r="AC71" s="104">
        <f t="shared" si="20"/>
        <v>28448</v>
      </c>
      <c r="AD71" s="104">
        <f t="shared" si="20"/>
        <v>0</v>
      </c>
      <c r="AE71" s="104">
        <f t="shared" si="20"/>
        <v>2496</v>
      </c>
      <c r="AF71" s="104">
        <f t="shared" si="20"/>
        <v>55256</v>
      </c>
      <c r="AG71" s="104">
        <f t="shared" si="20"/>
        <v>70800</v>
      </c>
      <c r="AH71" s="104">
        <f t="shared" si="20"/>
        <v>8128</v>
      </c>
      <c r="AI71" s="104">
        <f t="shared" si="20"/>
        <v>984</v>
      </c>
      <c r="AJ71" s="104">
        <f t="shared" si="20"/>
        <v>2784</v>
      </c>
      <c r="AK71" s="104">
        <f t="shared" si="20"/>
        <v>1456</v>
      </c>
      <c r="AL71" s="104">
        <f t="shared" si="20"/>
        <v>1296</v>
      </c>
      <c r="AM71" s="104">
        <f t="shared" ref="AM71:AN71" si="25">AM38*$C71</f>
        <v>0</v>
      </c>
      <c r="AN71" s="104">
        <f t="shared" si="25"/>
        <v>0</v>
      </c>
    </row>
    <row r="72" spans="2:40">
      <c r="B72" s="35" t="s">
        <v>85</v>
      </c>
      <c r="C72" s="263">
        <v>3.2</v>
      </c>
      <c r="D72" s="264">
        <f>D50*$C72</f>
        <v>1633920</v>
      </c>
      <c r="E72" s="107">
        <f>+$C$72*E50</f>
        <v>0</v>
      </c>
      <c r="F72" s="107">
        <f>+$C$72*F50</f>
        <v>0</v>
      </c>
      <c r="G72" s="107">
        <f t="shared" ref="G72:AL72" si="26">+$C$72*G50</f>
        <v>0</v>
      </c>
      <c r="H72" s="107">
        <f t="shared" si="26"/>
        <v>58880</v>
      </c>
      <c r="I72" s="107">
        <f t="shared" si="26"/>
        <v>88960</v>
      </c>
      <c r="J72" s="107">
        <f t="shared" si="26"/>
        <v>58880</v>
      </c>
      <c r="K72" s="107">
        <f t="shared" si="26"/>
        <v>58880</v>
      </c>
      <c r="L72" s="107">
        <f t="shared" si="26"/>
        <v>58880</v>
      </c>
      <c r="M72" s="107">
        <f t="shared" si="26"/>
        <v>58880</v>
      </c>
      <c r="N72" s="107">
        <f t="shared" si="26"/>
        <v>117760</v>
      </c>
      <c r="O72" s="107">
        <f t="shared" si="26"/>
        <v>58880</v>
      </c>
      <c r="P72" s="107">
        <f t="shared" si="26"/>
        <v>58880</v>
      </c>
      <c r="Q72" s="107">
        <f t="shared" si="26"/>
        <v>58880</v>
      </c>
      <c r="R72" s="107">
        <f t="shared" si="26"/>
        <v>58880</v>
      </c>
      <c r="S72" s="107">
        <f t="shared" si="26"/>
        <v>58880</v>
      </c>
      <c r="T72" s="107">
        <f t="shared" si="26"/>
        <v>58880</v>
      </c>
      <c r="U72" s="107">
        <f t="shared" si="26"/>
        <v>58880</v>
      </c>
      <c r="V72" s="107">
        <f t="shared" si="26"/>
        <v>58880</v>
      </c>
      <c r="W72" s="107">
        <f t="shared" si="26"/>
        <v>58880</v>
      </c>
      <c r="X72" s="107">
        <f t="shared" si="26"/>
        <v>58880</v>
      </c>
      <c r="Y72" s="107">
        <f t="shared" si="26"/>
        <v>0</v>
      </c>
      <c r="Z72" s="107">
        <f t="shared" si="26"/>
        <v>0</v>
      </c>
      <c r="AA72" s="107">
        <f t="shared" si="26"/>
        <v>58240</v>
      </c>
      <c r="AB72" s="107">
        <f t="shared" si="26"/>
        <v>58240</v>
      </c>
      <c r="AC72" s="107">
        <f t="shared" si="26"/>
        <v>58240</v>
      </c>
      <c r="AD72" s="107">
        <f t="shared" si="26"/>
        <v>58240</v>
      </c>
      <c r="AE72" s="107">
        <f t="shared" si="26"/>
        <v>58240</v>
      </c>
      <c r="AF72" s="107">
        <f t="shared" si="26"/>
        <v>58240</v>
      </c>
      <c r="AG72" s="107">
        <f t="shared" si="26"/>
        <v>58240</v>
      </c>
      <c r="AH72" s="107">
        <f t="shared" si="26"/>
        <v>58240</v>
      </c>
      <c r="AI72" s="107">
        <f t="shared" si="26"/>
        <v>78080</v>
      </c>
      <c r="AJ72" s="107">
        <f t="shared" si="26"/>
        <v>0</v>
      </c>
      <c r="AK72" s="107">
        <f t="shared" si="26"/>
        <v>0</v>
      </c>
      <c r="AL72" s="107">
        <f t="shared" si="26"/>
        <v>0</v>
      </c>
      <c r="AM72" s="107">
        <f t="shared" ref="AM72:AN72" si="27">+$C$72*AM50</f>
        <v>0</v>
      </c>
      <c r="AN72" s="107">
        <f t="shared" si="27"/>
        <v>0</v>
      </c>
    </row>
    <row r="74" spans="2:40">
      <c r="B74" s="318" t="s">
        <v>86</v>
      </c>
      <c r="C74" s="319"/>
      <c r="D74" s="108">
        <f>AVERAGEIF(E59:N59, "&gt;0")</f>
        <v>1217983.6285714286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6" spans="2:40">
      <c r="B76" s="12" t="s">
        <v>87</v>
      </c>
      <c r="C76" s="13">
        <v>0.31</v>
      </c>
      <c r="D76" s="231">
        <f>SUM(E76:AB76)</f>
        <v>6375383.5540000005</v>
      </c>
      <c r="E76" s="171">
        <f t="shared" ref="E76" si="28">E59*$C$76</f>
        <v>0</v>
      </c>
      <c r="F76" s="14">
        <f>F59*$C$76</f>
        <v>0</v>
      </c>
      <c r="G76" s="14">
        <f>G59*$C$76</f>
        <v>0</v>
      </c>
      <c r="H76" s="14">
        <f t="shared" ref="H76:AL76" si="29">H59*$C$76</f>
        <v>373150.41</v>
      </c>
      <c r="I76" s="14">
        <f t="shared" si="29"/>
        <v>412288.158</v>
      </c>
      <c r="J76" s="14">
        <f t="shared" si="29"/>
        <v>244157.736</v>
      </c>
      <c r="K76" s="14">
        <f t="shared" si="29"/>
        <v>242099.46</v>
      </c>
      <c r="L76" s="14">
        <f t="shared" si="29"/>
        <v>297924.88</v>
      </c>
      <c r="M76" s="14">
        <f t="shared" si="29"/>
        <v>415313.2</v>
      </c>
      <c r="N76" s="14">
        <f t="shared" si="29"/>
        <v>658090.63</v>
      </c>
      <c r="O76" s="14">
        <f t="shared" si="29"/>
        <v>272315.46999999997</v>
      </c>
      <c r="P76" s="14">
        <f t="shared" si="29"/>
        <v>225140.6</v>
      </c>
      <c r="Q76" s="14">
        <f t="shared" si="29"/>
        <v>379978.77999999997</v>
      </c>
      <c r="R76" s="14">
        <f t="shared" si="29"/>
        <v>375892.36</v>
      </c>
      <c r="S76" s="14">
        <f t="shared" si="29"/>
        <v>343928.26</v>
      </c>
      <c r="T76" s="14">
        <f t="shared" si="29"/>
        <v>384631.57</v>
      </c>
      <c r="U76" s="14">
        <f t="shared" si="29"/>
        <v>367413.55</v>
      </c>
      <c r="V76" s="14">
        <f t="shared" si="29"/>
        <v>324463.35999999999</v>
      </c>
      <c r="W76" s="14">
        <f t="shared" si="29"/>
        <v>276035.15999999997</v>
      </c>
      <c r="X76" s="14">
        <f t="shared" si="29"/>
        <v>229684.27</v>
      </c>
      <c r="Y76" s="14">
        <f t="shared" si="29"/>
        <v>70390.460000000006</v>
      </c>
      <c r="Z76" s="14">
        <f t="shared" si="29"/>
        <v>0</v>
      </c>
      <c r="AA76" s="14">
        <f t="shared" si="29"/>
        <v>278340.94</v>
      </c>
      <c r="AB76" s="14">
        <f t="shared" si="29"/>
        <v>204144.3</v>
      </c>
      <c r="AC76" s="14">
        <f t="shared" si="29"/>
        <v>341427.30399999995</v>
      </c>
      <c r="AD76" s="14">
        <f t="shared" si="29"/>
        <v>662941.19999999995</v>
      </c>
      <c r="AE76" s="14">
        <f t="shared" si="29"/>
        <v>291691.71000000002</v>
      </c>
      <c r="AF76" s="14">
        <f t="shared" si="29"/>
        <v>365320.74</v>
      </c>
      <c r="AG76" s="14">
        <f t="shared" si="29"/>
        <v>302523.42</v>
      </c>
      <c r="AH76" s="14">
        <f t="shared" si="29"/>
        <v>443146.55</v>
      </c>
      <c r="AI76" s="14">
        <f t="shared" si="29"/>
        <v>587536.80000000005</v>
      </c>
      <c r="AJ76" s="14">
        <f t="shared" si="29"/>
        <v>545146.16</v>
      </c>
      <c r="AK76" s="14">
        <f t="shared" si="29"/>
        <v>292620.15999999997</v>
      </c>
      <c r="AL76" s="14">
        <f t="shared" si="29"/>
        <v>126884.24</v>
      </c>
      <c r="AM76" s="14">
        <f t="shared" ref="AM76:AN76" si="30">AM59*$C$76</f>
        <v>0</v>
      </c>
      <c r="AN76" s="14">
        <f t="shared" si="30"/>
        <v>0</v>
      </c>
    </row>
    <row r="77" spans="2:40">
      <c r="B77" s="16" t="s">
        <v>88</v>
      </c>
      <c r="C77" s="17">
        <v>73000</v>
      </c>
      <c r="D77" s="232">
        <f>SUM(E77:AB77)</f>
        <v>1752000</v>
      </c>
      <c r="E77" s="172">
        <f t="shared" ref="E77:AN77" si="31">$C$77</f>
        <v>73000</v>
      </c>
      <c r="F77" s="18">
        <f t="shared" si="31"/>
        <v>73000</v>
      </c>
      <c r="G77" s="18">
        <f t="shared" si="31"/>
        <v>73000</v>
      </c>
      <c r="H77" s="18">
        <f t="shared" si="31"/>
        <v>73000</v>
      </c>
      <c r="I77" s="18">
        <f t="shared" si="31"/>
        <v>73000</v>
      </c>
      <c r="J77" s="18">
        <f t="shared" si="31"/>
        <v>73000</v>
      </c>
      <c r="K77" s="18">
        <f t="shared" si="31"/>
        <v>73000</v>
      </c>
      <c r="L77" s="18">
        <f t="shared" si="31"/>
        <v>73000</v>
      </c>
      <c r="M77" s="18">
        <f t="shared" si="31"/>
        <v>73000</v>
      </c>
      <c r="N77" s="18">
        <f t="shared" si="31"/>
        <v>73000</v>
      </c>
      <c r="O77" s="18">
        <f t="shared" si="31"/>
        <v>73000</v>
      </c>
      <c r="P77" s="18">
        <f t="shared" si="31"/>
        <v>73000</v>
      </c>
      <c r="Q77" s="18">
        <f t="shared" si="31"/>
        <v>73000</v>
      </c>
      <c r="R77" s="18">
        <f t="shared" si="31"/>
        <v>73000</v>
      </c>
      <c r="S77" s="18">
        <f t="shared" si="31"/>
        <v>73000</v>
      </c>
      <c r="T77" s="18">
        <f t="shared" si="31"/>
        <v>73000</v>
      </c>
      <c r="U77" s="18">
        <f t="shared" si="31"/>
        <v>73000</v>
      </c>
      <c r="V77" s="18">
        <f t="shared" si="31"/>
        <v>73000</v>
      </c>
      <c r="W77" s="18">
        <f t="shared" si="31"/>
        <v>73000</v>
      </c>
      <c r="X77" s="18">
        <f t="shared" si="31"/>
        <v>73000</v>
      </c>
      <c r="Y77" s="18">
        <f t="shared" si="31"/>
        <v>73000</v>
      </c>
      <c r="Z77" s="18">
        <f t="shared" si="31"/>
        <v>73000</v>
      </c>
      <c r="AA77" s="18">
        <f t="shared" si="31"/>
        <v>73000</v>
      </c>
      <c r="AB77" s="18">
        <f t="shared" si="31"/>
        <v>73000</v>
      </c>
      <c r="AC77" s="18">
        <f t="shared" si="31"/>
        <v>73000</v>
      </c>
      <c r="AD77" s="18">
        <f t="shared" si="31"/>
        <v>73000</v>
      </c>
      <c r="AE77" s="18">
        <f t="shared" si="31"/>
        <v>73000</v>
      </c>
      <c r="AF77" s="18">
        <f t="shared" si="31"/>
        <v>73000</v>
      </c>
      <c r="AG77" s="18">
        <f t="shared" si="31"/>
        <v>73000</v>
      </c>
      <c r="AH77" s="18">
        <f t="shared" si="31"/>
        <v>73000</v>
      </c>
      <c r="AI77" s="18">
        <f t="shared" si="31"/>
        <v>73000</v>
      </c>
      <c r="AJ77" s="18">
        <f t="shared" si="31"/>
        <v>73000</v>
      </c>
      <c r="AK77" s="18">
        <f t="shared" si="31"/>
        <v>73000</v>
      </c>
      <c r="AL77" s="18">
        <f t="shared" si="31"/>
        <v>73000</v>
      </c>
      <c r="AM77" s="18">
        <f t="shared" si="31"/>
        <v>73000</v>
      </c>
      <c r="AN77" s="18">
        <f t="shared" si="31"/>
        <v>73000</v>
      </c>
    </row>
    <row r="78" spans="2:40">
      <c r="B78" s="16" t="s">
        <v>89</v>
      </c>
      <c r="C78" s="17">
        <v>45000</v>
      </c>
      <c r="D78" s="232">
        <f>SUM(E78:AB78)</f>
        <v>1080000</v>
      </c>
      <c r="E78" s="172">
        <f t="shared" ref="E78:AN78" si="32">$C$78</f>
        <v>45000</v>
      </c>
      <c r="F78" s="18">
        <f t="shared" si="32"/>
        <v>45000</v>
      </c>
      <c r="G78" s="18">
        <f t="shared" si="32"/>
        <v>45000</v>
      </c>
      <c r="H78" s="18">
        <f t="shared" si="32"/>
        <v>45000</v>
      </c>
      <c r="I78" s="18">
        <f t="shared" si="32"/>
        <v>45000</v>
      </c>
      <c r="J78" s="18">
        <f t="shared" si="32"/>
        <v>45000</v>
      </c>
      <c r="K78" s="18">
        <f t="shared" si="32"/>
        <v>45000</v>
      </c>
      <c r="L78" s="18">
        <f t="shared" si="32"/>
        <v>45000</v>
      </c>
      <c r="M78" s="18">
        <f t="shared" si="32"/>
        <v>45000</v>
      </c>
      <c r="N78" s="18">
        <f t="shared" si="32"/>
        <v>45000</v>
      </c>
      <c r="O78" s="18">
        <f t="shared" si="32"/>
        <v>45000</v>
      </c>
      <c r="P78" s="18">
        <f t="shared" si="32"/>
        <v>45000</v>
      </c>
      <c r="Q78" s="18">
        <f t="shared" si="32"/>
        <v>45000</v>
      </c>
      <c r="R78" s="18">
        <f t="shared" si="32"/>
        <v>45000</v>
      </c>
      <c r="S78" s="18">
        <f t="shared" si="32"/>
        <v>45000</v>
      </c>
      <c r="T78" s="18">
        <f t="shared" si="32"/>
        <v>45000</v>
      </c>
      <c r="U78" s="18">
        <f t="shared" si="32"/>
        <v>45000</v>
      </c>
      <c r="V78" s="18">
        <f t="shared" si="32"/>
        <v>45000</v>
      </c>
      <c r="W78" s="18">
        <f t="shared" si="32"/>
        <v>45000</v>
      </c>
      <c r="X78" s="18">
        <f t="shared" si="32"/>
        <v>45000</v>
      </c>
      <c r="Y78" s="18">
        <f t="shared" si="32"/>
        <v>45000</v>
      </c>
      <c r="Z78" s="18">
        <f t="shared" si="32"/>
        <v>45000</v>
      </c>
      <c r="AA78" s="18">
        <f t="shared" si="32"/>
        <v>45000</v>
      </c>
      <c r="AB78" s="18">
        <f t="shared" si="32"/>
        <v>45000</v>
      </c>
      <c r="AC78" s="18">
        <f t="shared" si="32"/>
        <v>45000</v>
      </c>
      <c r="AD78" s="18">
        <f t="shared" si="32"/>
        <v>45000</v>
      </c>
      <c r="AE78" s="18">
        <f t="shared" si="32"/>
        <v>45000</v>
      </c>
      <c r="AF78" s="18">
        <f t="shared" si="32"/>
        <v>45000</v>
      </c>
      <c r="AG78" s="18">
        <f t="shared" si="32"/>
        <v>45000</v>
      </c>
      <c r="AH78" s="18">
        <f t="shared" si="32"/>
        <v>45000</v>
      </c>
      <c r="AI78" s="18">
        <f t="shared" si="32"/>
        <v>45000</v>
      </c>
      <c r="AJ78" s="18">
        <f t="shared" si="32"/>
        <v>45000</v>
      </c>
      <c r="AK78" s="18">
        <f t="shared" si="32"/>
        <v>45000</v>
      </c>
      <c r="AL78" s="18">
        <f t="shared" si="32"/>
        <v>45000</v>
      </c>
      <c r="AM78" s="18">
        <f t="shared" si="32"/>
        <v>45000</v>
      </c>
      <c r="AN78" s="18">
        <f t="shared" si="32"/>
        <v>45000</v>
      </c>
    </row>
    <row r="79" spans="2:40">
      <c r="B79" s="20" t="s">
        <v>90</v>
      </c>
      <c r="C79" s="21">
        <v>9.67</v>
      </c>
      <c r="D79" s="233">
        <f>SUM(E79:AB79)</f>
        <v>2664085</v>
      </c>
      <c r="E79" s="173">
        <f t="shared" ref="E79:AL79" si="33">$C$79*E41</f>
        <v>38680</v>
      </c>
      <c r="F79" s="23">
        <f t="shared" si="33"/>
        <v>38680</v>
      </c>
      <c r="G79" s="23">
        <f t="shared" si="33"/>
        <v>38680</v>
      </c>
      <c r="H79" s="23">
        <f t="shared" si="33"/>
        <v>116040</v>
      </c>
      <c r="I79" s="23">
        <f t="shared" si="33"/>
        <v>145050</v>
      </c>
      <c r="J79" s="23">
        <f t="shared" si="33"/>
        <v>106370</v>
      </c>
      <c r="K79" s="23">
        <f t="shared" si="33"/>
        <v>145050</v>
      </c>
      <c r="L79" s="23">
        <f t="shared" si="33"/>
        <v>116040</v>
      </c>
      <c r="M79" s="23">
        <f t="shared" si="33"/>
        <v>125710</v>
      </c>
      <c r="N79" s="23">
        <f t="shared" si="33"/>
        <v>135380</v>
      </c>
      <c r="O79" s="23">
        <f t="shared" si="33"/>
        <v>145050</v>
      </c>
      <c r="P79" s="23">
        <f t="shared" si="33"/>
        <v>125710</v>
      </c>
      <c r="Q79" s="23">
        <f t="shared" si="33"/>
        <v>125710</v>
      </c>
      <c r="R79" s="23">
        <f t="shared" si="33"/>
        <v>116040</v>
      </c>
      <c r="S79" s="23">
        <f t="shared" si="33"/>
        <v>106370</v>
      </c>
      <c r="T79" s="23">
        <f t="shared" si="33"/>
        <v>120875</v>
      </c>
      <c r="U79" s="23">
        <f t="shared" si="33"/>
        <v>135380</v>
      </c>
      <c r="V79" s="23">
        <f t="shared" si="33"/>
        <v>154720</v>
      </c>
      <c r="W79" s="23">
        <f t="shared" si="33"/>
        <v>135380</v>
      </c>
      <c r="X79" s="23">
        <f t="shared" si="33"/>
        <v>125710</v>
      </c>
      <c r="Y79" s="23">
        <f t="shared" si="33"/>
        <v>77360</v>
      </c>
      <c r="Z79" s="23">
        <f t="shared" si="33"/>
        <v>33845</v>
      </c>
      <c r="AA79" s="23">
        <f t="shared" si="33"/>
        <v>130545</v>
      </c>
      <c r="AB79" s="23">
        <f t="shared" si="33"/>
        <v>125710</v>
      </c>
      <c r="AC79" s="23">
        <f t="shared" si="33"/>
        <v>135380</v>
      </c>
      <c r="AD79" s="23">
        <f t="shared" si="33"/>
        <v>130545</v>
      </c>
      <c r="AE79" s="23">
        <f t="shared" si="33"/>
        <v>135380</v>
      </c>
      <c r="AF79" s="23">
        <f t="shared" si="33"/>
        <v>135380</v>
      </c>
      <c r="AG79" s="23">
        <f t="shared" si="33"/>
        <v>154720</v>
      </c>
      <c r="AH79" s="23">
        <f t="shared" si="33"/>
        <v>169225</v>
      </c>
      <c r="AI79" s="23">
        <f t="shared" si="33"/>
        <v>135380</v>
      </c>
      <c r="AJ79" s="23">
        <f t="shared" si="33"/>
        <v>140215</v>
      </c>
      <c r="AK79" s="23">
        <f t="shared" si="33"/>
        <v>130545</v>
      </c>
      <c r="AL79" s="23">
        <f t="shared" si="33"/>
        <v>91865</v>
      </c>
      <c r="AM79" s="23">
        <f t="shared" ref="AM79:AN79" si="34">$C$79*AM41</f>
        <v>0</v>
      </c>
      <c r="AN79" s="23">
        <f t="shared" si="34"/>
        <v>0</v>
      </c>
    </row>
    <row r="80" spans="2:40">
      <c r="B80" s="24" t="s">
        <v>91</v>
      </c>
      <c r="C80" s="25">
        <f>SUM(E80:AB80)</f>
        <v>8694284.845999999</v>
      </c>
      <c r="D80" s="174">
        <f>D59-D76-D77-D78-D79</f>
        <v>21466021.245999999</v>
      </c>
      <c r="E80" s="26">
        <f t="shared" ref="E80:AL80" si="35">E59-E76-E77-E78-E79</f>
        <v>-156680</v>
      </c>
      <c r="F80" s="26">
        <f t="shared" si="35"/>
        <v>-156680</v>
      </c>
      <c r="G80" s="26">
        <f>G59-G76-G77-G78-G79</f>
        <v>-156680</v>
      </c>
      <c r="H80" s="26">
        <f t="shared" si="35"/>
        <v>596520.59000000008</v>
      </c>
      <c r="I80" s="26">
        <f t="shared" si="35"/>
        <v>654623.64199999999</v>
      </c>
      <c r="J80" s="26">
        <f t="shared" si="35"/>
        <v>319077.86399999994</v>
      </c>
      <c r="K80" s="27">
        <f t="shared" si="35"/>
        <v>275816.54000000004</v>
      </c>
      <c r="L80" s="26">
        <f t="shared" si="35"/>
        <v>429083.12</v>
      </c>
      <c r="M80" s="27">
        <f t="shared" si="35"/>
        <v>680696.8</v>
      </c>
      <c r="N80" s="26">
        <f t="shared" si="35"/>
        <v>1211402.3700000001</v>
      </c>
      <c r="O80" s="26">
        <f t="shared" si="35"/>
        <v>343071.53</v>
      </c>
      <c r="P80" s="26">
        <f t="shared" si="35"/>
        <v>257409.40000000002</v>
      </c>
      <c r="Q80" s="26">
        <f t="shared" si="35"/>
        <v>602049.22</v>
      </c>
      <c r="R80" s="26">
        <f t="shared" si="35"/>
        <v>602623.64</v>
      </c>
      <c r="S80" s="26">
        <f t="shared" si="35"/>
        <v>541147.74</v>
      </c>
      <c r="T80" s="26">
        <f t="shared" si="35"/>
        <v>617240.42999999993</v>
      </c>
      <c r="U80" s="26">
        <f t="shared" si="35"/>
        <v>564411.44999999995</v>
      </c>
      <c r="V80" s="26">
        <f t="shared" si="35"/>
        <v>449472.64</v>
      </c>
      <c r="W80" s="26">
        <f t="shared" si="35"/>
        <v>361020.84000000008</v>
      </c>
      <c r="X80" s="26">
        <f t="shared" si="35"/>
        <v>267522.73</v>
      </c>
      <c r="Y80" s="26">
        <f t="shared" si="35"/>
        <v>-38684.460000000021</v>
      </c>
      <c r="Z80" s="26">
        <f t="shared" si="35"/>
        <v>-151845</v>
      </c>
      <c r="AA80" s="26">
        <f t="shared" si="35"/>
        <v>370988.06000000006</v>
      </c>
      <c r="AB80" s="26">
        <f t="shared" si="35"/>
        <v>210675.7</v>
      </c>
      <c r="AC80" s="26">
        <f t="shared" si="35"/>
        <v>506571.0959999999</v>
      </c>
      <c r="AD80" s="26">
        <f t="shared" si="35"/>
        <v>1227033.8</v>
      </c>
      <c r="AE80" s="26">
        <f t="shared" si="35"/>
        <v>395869.29000000004</v>
      </c>
      <c r="AF80" s="26">
        <f t="shared" si="35"/>
        <v>559753.26</v>
      </c>
      <c r="AG80" s="26">
        <f t="shared" si="35"/>
        <v>400638.58000000007</v>
      </c>
      <c r="AH80" s="26">
        <f t="shared" si="35"/>
        <v>699133.45</v>
      </c>
      <c r="AI80" s="26">
        <f t="shared" si="35"/>
        <v>1054363.2</v>
      </c>
      <c r="AJ80" s="26">
        <f t="shared" si="35"/>
        <v>955174.83999999985</v>
      </c>
      <c r="AK80" s="26">
        <f t="shared" si="35"/>
        <v>402770.84000000008</v>
      </c>
      <c r="AL80" s="26">
        <f t="shared" si="35"/>
        <v>72554.760000000009</v>
      </c>
      <c r="AM80" s="26">
        <f t="shared" ref="AM80:AN80" si="36">AM59-AM76-AM77-AM78-AM79</f>
        <v>-118000</v>
      </c>
      <c r="AN80" s="26">
        <f t="shared" si="36"/>
        <v>-118000</v>
      </c>
    </row>
    <row r="81" spans="2:40">
      <c r="B81" s="320" t="s">
        <v>92</v>
      </c>
      <c r="C81" s="321"/>
      <c r="D81" s="326"/>
      <c r="E81" s="29">
        <f>+E80</f>
        <v>-156680</v>
      </c>
      <c r="F81" s="29">
        <f t="shared" ref="F81:AM81" si="37">F80+E81</f>
        <v>-313360</v>
      </c>
      <c r="G81" s="29">
        <f t="shared" si="37"/>
        <v>-470040</v>
      </c>
      <c r="H81" s="29">
        <f t="shared" si="37"/>
        <v>126480.59000000008</v>
      </c>
      <c r="I81" s="29">
        <f t="shared" si="37"/>
        <v>781104.23200000008</v>
      </c>
      <c r="J81" s="29">
        <f t="shared" si="37"/>
        <v>1100182.0959999999</v>
      </c>
      <c r="K81" s="28">
        <f t="shared" si="37"/>
        <v>1375998.6359999999</v>
      </c>
      <c r="L81" s="29">
        <f t="shared" si="37"/>
        <v>1805081.7560000001</v>
      </c>
      <c r="M81" s="28">
        <f t="shared" si="37"/>
        <v>2485778.5559999999</v>
      </c>
      <c r="N81" s="29">
        <f t="shared" si="37"/>
        <v>3697180.926</v>
      </c>
      <c r="O81" s="29">
        <f t="shared" si="37"/>
        <v>4040252.4560000002</v>
      </c>
      <c r="P81" s="29">
        <f t="shared" si="37"/>
        <v>4297661.8560000006</v>
      </c>
      <c r="Q81" s="29">
        <f t="shared" si="37"/>
        <v>4899711.0760000004</v>
      </c>
      <c r="R81" s="29">
        <f t="shared" si="37"/>
        <v>5502334.716</v>
      </c>
      <c r="S81" s="29">
        <f t="shared" si="37"/>
        <v>6043482.4560000002</v>
      </c>
      <c r="T81" s="29">
        <f t="shared" si="37"/>
        <v>6660722.8859999999</v>
      </c>
      <c r="U81" s="29">
        <f t="shared" si="37"/>
        <v>7225134.3360000001</v>
      </c>
      <c r="V81" s="29">
        <f t="shared" si="37"/>
        <v>7674606.9759999998</v>
      </c>
      <c r="W81" s="29">
        <f t="shared" si="37"/>
        <v>8035627.8159999996</v>
      </c>
      <c r="X81" s="29">
        <f t="shared" si="37"/>
        <v>8303150.5460000001</v>
      </c>
      <c r="Y81" s="29">
        <f t="shared" si="37"/>
        <v>8264466.0860000001</v>
      </c>
      <c r="Z81" s="29">
        <f t="shared" si="37"/>
        <v>8112621.0860000001</v>
      </c>
      <c r="AA81" s="29">
        <f t="shared" si="37"/>
        <v>8483609.1459999997</v>
      </c>
      <c r="AB81" s="29">
        <f t="shared" si="37"/>
        <v>8694284.845999999</v>
      </c>
      <c r="AC81" s="29">
        <f t="shared" si="37"/>
        <v>9200855.9419999979</v>
      </c>
      <c r="AD81" s="29">
        <f t="shared" si="37"/>
        <v>10427889.741999999</v>
      </c>
      <c r="AE81" s="29">
        <f t="shared" si="37"/>
        <v>10823759.031999998</v>
      </c>
      <c r="AF81" s="29">
        <f t="shared" si="37"/>
        <v>11383512.291999998</v>
      </c>
      <c r="AG81" s="29">
        <f t="shared" si="37"/>
        <v>11784150.871999998</v>
      </c>
      <c r="AH81" s="29">
        <f t="shared" si="37"/>
        <v>12483284.321999997</v>
      </c>
      <c r="AI81" s="29">
        <f t="shared" si="37"/>
        <v>13537647.521999996</v>
      </c>
      <c r="AJ81" s="29">
        <f t="shared" si="37"/>
        <v>14492822.361999996</v>
      </c>
      <c r="AK81" s="29">
        <f t="shared" si="37"/>
        <v>14895593.201999996</v>
      </c>
      <c r="AL81" s="29">
        <f t="shared" si="37"/>
        <v>14968147.961999996</v>
      </c>
      <c r="AM81" s="29">
        <f t="shared" si="37"/>
        <v>14850147.961999996</v>
      </c>
      <c r="AN81" s="29">
        <f t="shared" ref="AN81" si="38">AN80+AM81</f>
        <v>14732147.961999996</v>
      </c>
    </row>
    <row r="82" spans="2:40">
      <c r="D82" s="258">
        <f>D80/D59</f>
        <v>0.6439003468701473</v>
      </c>
    </row>
    <row r="83" spans="2:40">
      <c r="D83" s="11"/>
    </row>
    <row r="84" spans="2:40">
      <c r="B84" s="30" t="s">
        <v>93</v>
      </c>
      <c r="C84" s="31">
        <f>D41/D26</f>
        <v>0.34947175999354824</v>
      </c>
    </row>
    <row r="89" spans="2:40">
      <c r="B89" s="10">
        <f>SUM(AA26:AN26)</f>
        <v>418414</v>
      </c>
    </row>
  </sheetData>
  <mergeCells count="6">
    <mergeCell ref="B81:D81"/>
    <mergeCell ref="A26:A38"/>
    <mergeCell ref="A41:A42"/>
    <mergeCell ref="A46:A51"/>
    <mergeCell ref="A53:A57"/>
    <mergeCell ref="B74:C74"/>
  </mergeCells>
  <conditionalFormatting sqref="E81:AN81 B8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96C5-63A3-430E-B602-AB8AE9547859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2859-BC7E-43CF-ABF3-4019C2A833BE}">
  <dimension ref="A2:AN121"/>
  <sheetViews>
    <sheetView topLeftCell="A30" zoomScale="90" zoomScaleNormal="90" workbookViewId="0">
      <selection activeCell="E6" sqref="E6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3" customWidth="1"/>
    <col min="7" max="7" width="9.7109375" customWidth="1"/>
    <col min="8" max="8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>
        <v>4</v>
      </c>
    </row>
    <row r="4" spans="2:40" ht="15.75">
      <c r="B4" s="54" t="s">
        <v>3</v>
      </c>
      <c r="C4" s="110">
        <v>45385</v>
      </c>
    </row>
    <row r="5" spans="2:40" ht="15.75">
      <c r="B5" s="54" t="s">
        <v>4</v>
      </c>
      <c r="C5" s="110">
        <v>45420</v>
      </c>
    </row>
    <row r="6" spans="2:40" ht="15.75">
      <c r="B6" s="179" t="s">
        <v>442</v>
      </c>
      <c r="C6" s="268">
        <f>_xlfn.DAYS(C5, C4)</f>
        <v>35</v>
      </c>
      <c r="E6">
        <f>+D10/24</f>
        <v>22.625</v>
      </c>
    </row>
    <row r="7" spans="2:40" ht="15.75">
      <c r="B7" s="179" t="s">
        <v>230</v>
      </c>
      <c r="C7" s="110" t="s">
        <v>421</v>
      </c>
    </row>
    <row r="8" spans="2:40" ht="15.75">
      <c r="B8" s="2"/>
      <c r="C8" s="2"/>
    </row>
    <row r="9" spans="2:40" ht="15.75">
      <c r="B9" s="54" t="s">
        <v>5</v>
      </c>
      <c r="D9" s="41" t="s">
        <v>6</v>
      </c>
      <c r="E9" s="42">
        <v>45385</v>
      </c>
      <c r="F9" s="42">
        <v>45386</v>
      </c>
      <c r="G9" s="42">
        <v>45387</v>
      </c>
      <c r="H9" s="42">
        <v>45388</v>
      </c>
      <c r="I9" s="42">
        <v>45389</v>
      </c>
      <c r="J9" s="42">
        <v>45390</v>
      </c>
      <c r="K9" s="42">
        <v>45391</v>
      </c>
      <c r="L9" s="42">
        <v>45392</v>
      </c>
      <c r="M9" s="42">
        <v>45393</v>
      </c>
      <c r="N9" s="42">
        <v>45394</v>
      </c>
      <c r="O9" s="42">
        <v>45395</v>
      </c>
      <c r="P9" s="42">
        <v>45396</v>
      </c>
      <c r="Q9" s="42">
        <v>45397</v>
      </c>
      <c r="R9" s="42">
        <v>45398</v>
      </c>
      <c r="S9" s="42">
        <v>45399</v>
      </c>
      <c r="T9" s="42">
        <v>45400</v>
      </c>
      <c r="U9" s="42">
        <v>45401</v>
      </c>
      <c r="V9" s="42">
        <v>45402</v>
      </c>
      <c r="W9" s="42">
        <v>45403</v>
      </c>
      <c r="X9" s="42">
        <v>45404</v>
      </c>
      <c r="Y9" s="42">
        <v>45405</v>
      </c>
      <c r="Z9" s="42">
        <v>45406</v>
      </c>
      <c r="AA9" s="42">
        <v>45407</v>
      </c>
      <c r="AB9" s="42">
        <v>45408</v>
      </c>
      <c r="AC9" s="42">
        <v>45409</v>
      </c>
      <c r="AD9" s="42">
        <v>45410</v>
      </c>
      <c r="AE9" s="42">
        <v>45411</v>
      </c>
      <c r="AF9" s="42">
        <v>45412</v>
      </c>
      <c r="AG9" s="42">
        <v>45413</v>
      </c>
      <c r="AH9" s="42">
        <v>45414</v>
      </c>
      <c r="AI9" s="42">
        <v>45415</v>
      </c>
      <c r="AJ9" s="42">
        <v>45416</v>
      </c>
      <c r="AK9" s="42">
        <v>45417</v>
      </c>
      <c r="AL9" s="42">
        <v>45418</v>
      </c>
      <c r="AM9" s="42">
        <v>45419</v>
      </c>
      <c r="AN9" s="42">
        <v>45420</v>
      </c>
    </row>
    <row r="10" spans="2:40">
      <c r="B10" s="46" t="s">
        <v>7</v>
      </c>
      <c r="C10" s="47" t="s">
        <v>8</v>
      </c>
      <c r="D10" s="71">
        <f t="shared" ref="D10:D11" si="0">SUM(E10:AL10)</f>
        <v>543</v>
      </c>
      <c r="E10" s="114">
        <v>0</v>
      </c>
      <c r="F10" s="114">
        <v>0</v>
      </c>
      <c r="G10" s="114">
        <v>7</v>
      </c>
      <c r="H10" s="114">
        <v>20</v>
      </c>
      <c r="I10" s="114">
        <v>23</v>
      </c>
      <c r="J10" s="114">
        <v>18</v>
      </c>
      <c r="K10" s="114">
        <v>18</v>
      </c>
      <c r="L10" s="114">
        <v>18</v>
      </c>
      <c r="M10" s="114">
        <v>14</v>
      </c>
      <c r="N10" s="114">
        <v>19</v>
      </c>
      <c r="O10" s="114">
        <v>20</v>
      </c>
      <c r="P10" s="114">
        <v>20</v>
      </c>
      <c r="Q10" s="114">
        <v>20</v>
      </c>
      <c r="R10" s="114">
        <v>20</v>
      </c>
      <c r="S10" s="114">
        <v>17</v>
      </c>
      <c r="T10" s="114">
        <v>16</v>
      </c>
      <c r="U10" s="114">
        <v>20</v>
      </c>
      <c r="V10" s="114">
        <v>21</v>
      </c>
      <c r="W10" s="114">
        <v>14</v>
      </c>
      <c r="X10" s="114">
        <v>13</v>
      </c>
      <c r="Y10" s="114">
        <v>22</v>
      </c>
      <c r="Z10" s="114">
        <v>12</v>
      </c>
      <c r="AA10" s="114">
        <v>11</v>
      </c>
      <c r="AB10" s="114">
        <v>14</v>
      </c>
      <c r="AC10" s="114">
        <v>19</v>
      </c>
      <c r="AD10" s="114">
        <v>20</v>
      </c>
      <c r="AE10" s="114">
        <v>19</v>
      </c>
      <c r="AF10" s="114">
        <v>20</v>
      </c>
      <c r="AG10" s="114">
        <v>13</v>
      </c>
      <c r="AH10" s="114">
        <v>21</v>
      </c>
      <c r="AI10" s="114">
        <v>18</v>
      </c>
      <c r="AJ10" s="114">
        <v>15</v>
      </c>
      <c r="AK10" s="114">
        <v>21</v>
      </c>
      <c r="AL10" s="114">
        <v>0</v>
      </c>
      <c r="AM10" s="114">
        <v>0</v>
      </c>
      <c r="AN10" s="114">
        <v>0</v>
      </c>
    </row>
    <row r="11" spans="2:40">
      <c r="B11" s="48" t="s">
        <v>9</v>
      </c>
      <c r="C11" s="38" t="s">
        <v>8</v>
      </c>
      <c r="D11" s="71">
        <f t="shared" si="0"/>
        <v>69</v>
      </c>
      <c r="E11" s="115" t="s">
        <v>225</v>
      </c>
      <c r="F11" s="115">
        <v>19</v>
      </c>
      <c r="G11" s="115">
        <v>17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7</v>
      </c>
      <c r="X11" s="115">
        <v>0</v>
      </c>
      <c r="Y11" s="115">
        <v>0</v>
      </c>
      <c r="Z11" s="115">
        <v>8</v>
      </c>
      <c r="AA11" s="115">
        <v>8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7</v>
      </c>
      <c r="AH11" s="115">
        <v>0</v>
      </c>
      <c r="AI11" s="115">
        <v>0</v>
      </c>
      <c r="AJ11" s="115">
        <v>3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10</v>
      </c>
      <c r="C12" s="38" t="s">
        <v>8</v>
      </c>
      <c r="D12" s="71">
        <f>SUM(E12:AL12)</f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11</v>
      </c>
      <c r="C13" s="38" t="s">
        <v>8</v>
      </c>
      <c r="D13" s="71">
        <f t="shared" ref="D13:D16" si="1">SUM(E13:AL13)</f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</row>
    <row r="14" spans="2:40">
      <c r="B14" s="48" t="s">
        <v>12</v>
      </c>
      <c r="C14" s="38" t="s">
        <v>8</v>
      </c>
      <c r="D14" s="71">
        <f t="shared" si="1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8" t="s">
        <v>13</v>
      </c>
      <c r="C15" s="38" t="s">
        <v>8</v>
      </c>
      <c r="D15" s="71">
        <f t="shared" si="1"/>
        <v>5</v>
      </c>
      <c r="E15" s="115">
        <v>0</v>
      </c>
      <c r="F15" s="115">
        <v>5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0</v>
      </c>
      <c r="M15" s="115">
        <v>0</v>
      </c>
      <c r="N15" s="115">
        <v>0</v>
      </c>
      <c r="O15" s="115">
        <v>0</v>
      </c>
      <c r="P15" s="115">
        <v>0</v>
      </c>
      <c r="Q15" s="115">
        <v>0</v>
      </c>
      <c r="R15" s="115">
        <v>0</v>
      </c>
      <c r="S15" s="115">
        <v>0</v>
      </c>
      <c r="T15" s="115">
        <v>0</v>
      </c>
      <c r="U15" s="115">
        <v>0</v>
      </c>
      <c r="V15" s="115">
        <v>0</v>
      </c>
      <c r="W15" s="115">
        <v>0</v>
      </c>
      <c r="X15" s="115">
        <v>0</v>
      </c>
      <c r="Y15" s="115">
        <v>0</v>
      </c>
      <c r="Z15" s="115">
        <v>0</v>
      </c>
      <c r="AA15" s="115">
        <v>0</v>
      </c>
      <c r="AB15" s="115">
        <v>0</v>
      </c>
      <c r="AC15" s="115">
        <v>0</v>
      </c>
      <c r="AD15" s="115">
        <v>0</v>
      </c>
      <c r="AE15" s="115">
        <v>0</v>
      </c>
      <c r="AF15" s="115">
        <v>0</v>
      </c>
      <c r="AG15" s="115">
        <v>0</v>
      </c>
      <c r="AH15" s="115">
        <v>0</v>
      </c>
      <c r="AI15" s="115">
        <v>0</v>
      </c>
      <c r="AJ15" s="115">
        <v>0</v>
      </c>
      <c r="AK15" s="115">
        <v>0</v>
      </c>
      <c r="AL15" s="115">
        <v>0</v>
      </c>
      <c r="AM15" s="115">
        <v>0</v>
      </c>
      <c r="AN15" s="115">
        <v>0</v>
      </c>
    </row>
    <row r="16" spans="2:40">
      <c r="B16" s="49" t="s">
        <v>14</v>
      </c>
      <c r="C16" s="40" t="s">
        <v>8</v>
      </c>
      <c r="D16" s="71">
        <f t="shared" si="1"/>
        <v>151</v>
      </c>
      <c r="E16" s="116">
        <v>0</v>
      </c>
      <c r="F16" s="116">
        <v>0</v>
      </c>
      <c r="G16" s="116">
        <v>0</v>
      </c>
      <c r="H16" s="116">
        <v>4</v>
      </c>
      <c r="I16" s="116">
        <v>1</v>
      </c>
      <c r="J16" s="116">
        <v>6</v>
      </c>
      <c r="K16" s="116">
        <v>6</v>
      </c>
      <c r="L16" s="116">
        <v>6</v>
      </c>
      <c r="M16" s="116">
        <v>10</v>
      </c>
      <c r="N16" s="116">
        <v>5</v>
      </c>
      <c r="O16" s="116">
        <v>4</v>
      </c>
      <c r="P16" s="116">
        <v>4</v>
      </c>
      <c r="Q16" s="116">
        <v>4</v>
      </c>
      <c r="R16" s="116">
        <v>4</v>
      </c>
      <c r="S16" s="116">
        <v>7</v>
      </c>
      <c r="T16" s="116">
        <v>8</v>
      </c>
      <c r="U16" s="116">
        <v>4</v>
      </c>
      <c r="V16" s="116">
        <v>3</v>
      </c>
      <c r="W16" s="116">
        <v>3</v>
      </c>
      <c r="X16" s="116">
        <v>11</v>
      </c>
      <c r="Y16" s="116">
        <v>2</v>
      </c>
      <c r="Z16" s="116">
        <v>4</v>
      </c>
      <c r="AA16" s="116">
        <v>5</v>
      </c>
      <c r="AB16" s="116">
        <v>10</v>
      </c>
      <c r="AC16" s="116">
        <v>5</v>
      </c>
      <c r="AD16" s="116">
        <v>4</v>
      </c>
      <c r="AE16" s="116">
        <v>5</v>
      </c>
      <c r="AF16" s="116">
        <v>4</v>
      </c>
      <c r="AG16" s="116">
        <v>4</v>
      </c>
      <c r="AH16" s="116">
        <v>3</v>
      </c>
      <c r="AI16" s="116">
        <v>6</v>
      </c>
      <c r="AJ16" s="116">
        <v>6</v>
      </c>
      <c r="AK16" s="116">
        <v>3</v>
      </c>
      <c r="AL16" s="116">
        <v>0</v>
      </c>
      <c r="AM16" s="116">
        <v>0</v>
      </c>
      <c r="AN16" s="116">
        <v>0</v>
      </c>
    </row>
    <row r="17" spans="1:40">
      <c r="B17" s="68" t="s">
        <v>15</v>
      </c>
      <c r="C17" s="69" t="s">
        <v>8</v>
      </c>
      <c r="D17" s="70">
        <f t="shared" ref="D17" si="2">SUM(E17:K17)</f>
        <v>144</v>
      </c>
      <c r="E17" s="117">
        <f t="shared" ref="E17:AL17" si="3">SUM(E10:E16)</f>
        <v>0</v>
      </c>
      <c r="F17" s="117">
        <f>SUM(F10:F16)</f>
        <v>24</v>
      </c>
      <c r="G17" s="117">
        <f t="shared" si="3"/>
        <v>24</v>
      </c>
      <c r="H17" s="117">
        <f t="shared" si="3"/>
        <v>24</v>
      </c>
      <c r="I17" s="117">
        <f t="shared" si="3"/>
        <v>24</v>
      </c>
      <c r="J17" s="117">
        <f t="shared" si="3"/>
        <v>24</v>
      </c>
      <c r="K17" s="117">
        <f t="shared" si="3"/>
        <v>24</v>
      </c>
      <c r="L17" s="117">
        <f t="shared" si="3"/>
        <v>24</v>
      </c>
      <c r="M17" s="117">
        <f t="shared" si="3"/>
        <v>24</v>
      </c>
      <c r="N17" s="117">
        <f t="shared" si="3"/>
        <v>24</v>
      </c>
      <c r="O17" s="117">
        <f t="shared" si="3"/>
        <v>24</v>
      </c>
      <c r="P17" s="117">
        <f t="shared" si="3"/>
        <v>24</v>
      </c>
      <c r="Q17" s="117">
        <f t="shared" si="3"/>
        <v>24</v>
      </c>
      <c r="R17" s="117">
        <f t="shared" si="3"/>
        <v>24</v>
      </c>
      <c r="S17" s="117">
        <f t="shared" si="3"/>
        <v>24</v>
      </c>
      <c r="T17" s="117">
        <f t="shared" si="3"/>
        <v>24</v>
      </c>
      <c r="U17" s="117">
        <f t="shared" si="3"/>
        <v>24</v>
      </c>
      <c r="V17" s="117">
        <f t="shared" si="3"/>
        <v>24</v>
      </c>
      <c r="W17" s="117">
        <f t="shared" si="3"/>
        <v>24</v>
      </c>
      <c r="X17" s="117">
        <f t="shared" si="3"/>
        <v>24</v>
      </c>
      <c r="Y17" s="117">
        <f t="shared" si="3"/>
        <v>24</v>
      </c>
      <c r="Z17" s="117">
        <f t="shared" si="3"/>
        <v>24</v>
      </c>
      <c r="AA17" s="117">
        <f t="shared" si="3"/>
        <v>24</v>
      </c>
      <c r="AB17" s="117">
        <f t="shared" si="3"/>
        <v>24</v>
      </c>
      <c r="AC17" s="117">
        <f t="shared" si="3"/>
        <v>24</v>
      </c>
      <c r="AD17" s="117">
        <f t="shared" si="3"/>
        <v>24</v>
      </c>
      <c r="AE17" s="117">
        <f t="shared" si="3"/>
        <v>24</v>
      </c>
      <c r="AF17" s="117">
        <f t="shared" si="3"/>
        <v>24</v>
      </c>
      <c r="AG17" s="117">
        <f t="shared" si="3"/>
        <v>24</v>
      </c>
      <c r="AH17" s="117">
        <f t="shared" si="3"/>
        <v>24</v>
      </c>
      <c r="AI17" s="117">
        <f t="shared" si="3"/>
        <v>24</v>
      </c>
      <c r="AJ17" s="117">
        <f t="shared" si="3"/>
        <v>24</v>
      </c>
      <c r="AK17" s="117">
        <f t="shared" si="3"/>
        <v>24</v>
      </c>
      <c r="AL17" s="117">
        <f t="shared" si="3"/>
        <v>0</v>
      </c>
      <c r="AM17" s="117">
        <f t="shared" ref="AM17:AN17" si="4">SUM(AM10:AM16)</f>
        <v>0</v>
      </c>
      <c r="AN17" s="117">
        <f t="shared" si="4"/>
        <v>0</v>
      </c>
    </row>
    <row r="19" spans="1:40">
      <c r="B19" s="50" t="s">
        <v>16</v>
      </c>
      <c r="C19" s="50" t="s">
        <v>0</v>
      </c>
      <c r="D19" s="58">
        <f>SUM(E19:K19)</f>
        <v>0</v>
      </c>
      <c r="E19" s="226">
        <v>0</v>
      </c>
      <c r="F19" s="127">
        <v>0</v>
      </c>
      <c r="G19" s="127" t="s">
        <v>443</v>
      </c>
      <c r="H19" s="127" t="s">
        <v>444</v>
      </c>
      <c r="I19" s="127" t="s">
        <v>444</v>
      </c>
      <c r="J19" s="127" t="s">
        <v>444</v>
      </c>
      <c r="K19" s="127" t="s">
        <v>444</v>
      </c>
      <c r="L19" s="127" t="s">
        <v>445</v>
      </c>
      <c r="M19" s="127" t="s">
        <v>446</v>
      </c>
      <c r="N19" s="127" t="s">
        <v>446</v>
      </c>
      <c r="O19" s="127" t="s">
        <v>446</v>
      </c>
      <c r="P19" s="127" t="s">
        <v>446</v>
      </c>
      <c r="Q19" s="127" t="s">
        <v>446</v>
      </c>
      <c r="R19" s="127" t="s">
        <v>446</v>
      </c>
      <c r="S19" s="127" t="s">
        <v>446</v>
      </c>
      <c r="T19" s="127" t="s">
        <v>446</v>
      </c>
      <c r="U19" s="127" t="s">
        <v>446</v>
      </c>
      <c r="V19" s="127" t="s">
        <v>446</v>
      </c>
      <c r="W19" s="127" t="s">
        <v>446</v>
      </c>
      <c r="X19" s="127" t="s">
        <v>447</v>
      </c>
      <c r="Y19" s="127" t="s">
        <v>447</v>
      </c>
      <c r="Z19" s="127" t="s">
        <v>448</v>
      </c>
      <c r="AA19" s="127" t="s">
        <v>449</v>
      </c>
      <c r="AB19" s="127" t="s">
        <v>450</v>
      </c>
      <c r="AC19" s="127" t="s">
        <v>450</v>
      </c>
      <c r="AD19" s="127" t="s">
        <v>450</v>
      </c>
      <c r="AE19" s="127" t="s">
        <v>450</v>
      </c>
      <c r="AF19" s="127" t="s">
        <v>450</v>
      </c>
      <c r="AG19" s="127" t="s">
        <v>196</v>
      </c>
      <c r="AH19" s="127" t="s">
        <v>196</v>
      </c>
      <c r="AI19" s="127" t="s">
        <v>196</v>
      </c>
      <c r="AJ19" s="127" t="s">
        <v>196</v>
      </c>
      <c r="AK19" s="127" t="s">
        <v>196</v>
      </c>
      <c r="AL19" s="196" t="s">
        <v>196</v>
      </c>
      <c r="AM19" s="196">
        <v>1</v>
      </c>
      <c r="AN19" s="196">
        <v>2</v>
      </c>
    </row>
    <row r="20" spans="1:40">
      <c r="B20" s="37" t="s">
        <v>31</v>
      </c>
      <c r="C20" s="37" t="s">
        <v>32</v>
      </c>
      <c r="D20" s="131">
        <f>SUM(E20:AB20)</f>
        <v>359</v>
      </c>
      <c r="E20" s="126">
        <v>0</v>
      </c>
      <c r="F20" s="128">
        <v>0</v>
      </c>
      <c r="G20" s="128">
        <v>7</v>
      </c>
      <c r="H20" s="128">
        <v>20</v>
      </c>
      <c r="I20" s="128">
        <v>23</v>
      </c>
      <c r="J20" s="128">
        <v>18</v>
      </c>
      <c r="K20" s="128">
        <v>0</v>
      </c>
      <c r="L20" s="128">
        <v>18</v>
      </c>
      <c r="M20" s="128">
        <v>14</v>
      </c>
      <c r="N20" s="128">
        <v>19</v>
      </c>
      <c r="O20" s="128">
        <v>20</v>
      </c>
      <c r="P20" s="128">
        <v>20</v>
      </c>
      <c r="Q20" s="128">
        <v>20</v>
      </c>
      <c r="R20" s="128">
        <v>20</v>
      </c>
      <c r="S20" s="128">
        <v>17</v>
      </c>
      <c r="T20" s="128">
        <v>16</v>
      </c>
      <c r="U20" s="128">
        <v>20</v>
      </c>
      <c r="V20" s="128">
        <v>21</v>
      </c>
      <c r="W20" s="128">
        <v>14</v>
      </c>
      <c r="X20" s="128">
        <v>13</v>
      </c>
      <c r="Y20" s="128">
        <v>22</v>
      </c>
      <c r="Z20" s="128">
        <v>12</v>
      </c>
      <c r="AA20" s="128">
        <v>11</v>
      </c>
      <c r="AB20" s="128">
        <v>14</v>
      </c>
      <c r="AC20" s="128">
        <v>19</v>
      </c>
      <c r="AD20" s="128">
        <v>20</v>
      </c>
      <c r="AE20" s="128">
        <v>19</v>
      </c>
      <c r="AF20" s="128">
        <v>20</v>
      </c>
      <c r="AG20" s="128">
        <v>13</v>
      </c>
      <c r="AH20" s="128">
        <v>21</v>
      </c>
      <c r="AI20" s="128">
        <v>18</v>
      </c>
      <c r="AJ20" s="128">
        <v>15</v>
      </c>
      <c r="AK20" s="128">
        <v>21</v>
      </c>
      <c r="AL20" s="197">
        <v>0</v>
      </c>
      <c r="AM20" s="197">
        <v>0</v>
      </c>
      <c r="AN20" s="197">
        <v>0</v>
      </c>
    </row>
    <row r="21" spans="1:40">
      <c r="B21" s="37" t="s">
        <v>35</v>
      </c>
      <c r="C21" s="37" t="s">
        <v>36</v>
      </c>
      <c r="D21" s="131">
        <f>SUM(E21:AB21)</f>
        <v>56</v>
      </c>
      <c r="E21" s="126">
        <v>0</v>
      </c>
      <c r="F21" s="128">
        <v>0</v>
      </c>
      <c r="G21" s="128">
        <v>1</v>
      </c>
      <c r="H21" s="128">
        <v>3</v>
      </c>
      <c r="I21" s="128">
        <v>3</v>
      </c>
      <c r="J21" s="128">
        <v>3</v>
      </c>
      <c r="K21" s="128">
        <v>0</v>
      </c>
      <c r="L21" s="128">
        <v>3</v>
      </c>
      <c r="M21" s="128">
        <v>2</v>
      </c>
      <c r="N21" s="128">
        <v>3</v>
      </c>
      <c r="O21" s="128">
        <v>3</v>
      </c>
      <c r="P21" s="128">
        <v>3</v>
      </c>
      <c r="Q21" s="128">
        <v>3</v>
      </c>
      <c r="R21" s="128">
        <v>3</v>
      </c>
      <c r="S21" s="128">
        <v>3</v>
      </c>
      <c r="T21" s="128">
        <v>3</v>
      </c>
      <c r="U21" s="128">
        <v>3</v>
      </c>
      <c r="V21" s="128">
        <v>3</v>
      </c>
      <c r="W21" s="128">
        <v>2</v>
      </c>
      <c r="X21" s="128">
        <v>2</v>
      </c>
      <c r="Y21" s="128">
        <v>3</v>
      </c>
      <c r="Z21" s="128">
        <v>2</v>
      </c>
      <c r="AA21" s="128">
        <v>2</v>
      </c>
      <c r="AB21" s="128">
        <v>3</v>
      </c>
      <c r="AC21" s="128">
        <v>3</v>
      </c>
      <c r="AD21" s="128">
        <v>3</v>
      </c>
      <c r="AE21" s="128">
        <v>3</v>
      </c>
      <c r="AF21" s="128">
        <v>3</v>
      </c>
      <c r="AG21" s="128">
        <v>2</v>
      </c>
      <c r="AH21" s="128">
        <v>3</v>
      </c>
      <c r="AI21" s="128">
        <v>3</v>
      </c>
      <c r="AJ21" s="128">
        <v>2</v>
      </c>
      <c r="AK21" s="128">
        <v>3</v>
      </c>
      <c r="AL21" s="197">
        <v>0</v>
      </c>
      <c r="AM21" s="197">
        <v>0</v>
      </c>
      <c r="AN21" s="197">
        <v>0</v>
      </c>
    </row>
    <row r="22" spans="1:40">
      <c r="B22" s="39" t="s">
        <v>451</v>
      </c>
      <c r="C22" s="39" t="s">
        <v>38</v>
      </c>
      <c r="D22" s="67">
        <f>SUM(E22:K22)</f>
        <v>0</v>
      </c>
      <c r="E22" s="160">
        <v>0</v>
      </c>
      <c r="F22" s="225">
        <v>0</v>
      </c>
      <c r="G22" s="225">
        <v>0</v>
      </c>
      <c r="H22" s="225">
        <v>0</v>
      </c>
      <c r="I22" s="225">
        <v>0</v>
      </c>
      <c r="J22" s="225">
        <v>0</v>
      </c>
      <c r="K22" s="225">
        <v>0</v>
      </c>
      <c r="L22" s="225">
        <v>0</v>
      </c>
      <c r="M22" s="225">
        <v>0</v>
      </c>
      <c r="N22" s="225">
        <v>0</v>
      </c>
      <c r="O22" s="225">
        <v>0</v>
      </c>
      <c r="P22" s="225">
        <v>0</v>
      </c>
      <c r="Q22" s="225">
        <v>0</v>
      </c>
      <c r="R22" s="225">
        <v>0</v>
      </c>
      <c r="S22" s="225">
        <v>0</v>
      </c>
      <c r="T22" s="225">
        <v>0</v>
      </c>
      <c r="U22" s="225">
        <v>0</v>
      </c>
      <c r="V22" s="225">
        <v>0</v>
      </c>
      <c r="W22" s="225">
        <v>0</v>
      </c>
      <c r="X22" s="225">
        <v>0</v>
      </c>
      <c r="Y22" s="225">
        <v>0</v>
      </c>
      <c r="Z22" s="225">
        <v>0</v>
      </c>
      <c r="AA22" s="225">
        <v>2</v>
      </c>
      <c r="AB22" s="225">
        <v>0</v>
      </c>
      <c r="AC22" s="225">
        <v>0</v>
      </c>
      <c r="AD22" s="225">
        <v>0</v>
      </c>
      <c r="AE22" s="225">
        <v>0</v>
      </c>
      <c r="AF22" s="225">
        <v>0</v>
      </c>
      <c r="AG22" s="225">
        <v>0</v>
      </c>
      <c r="AH22" s="225">
        <v>0</v>
      </c>
      <c r="AI22" s="225">
        <v>0</v>
      </c>
      <c r="AJ22" s="225">
        <v>0</v>
      </c>
      <c r="AK22" s="225">
        <v>0</v>
      </c>
      <c r="AL22" s="57">
        <v>0</v>
      </c>
      <c r="AM22" s="57">
        <v>1</v>
      </c>
      <c r="AN22" s="57">
        <v>2</v>
      </c>
    </row>
    <row r="23" spans="1:40">
      <c r="B23" s="39" t="s">
        <v>41</v>
      </c>
      <c r="C23" s="39" t="s">
        <v>42</v>
      </c>
      <c r="D23" s="130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</row>
    <row r="25" spans="1:40">
      <c r="B25" s="167" t="s">
        <v>43</v>
      </c>
      <c r="C25" s="168">
        <f>D27/D20</f>
        <v>1586.8857938718663</v>
      </c>
    </row>
    <row r="27" spans="1:40">
      <c r="A27" s="312" t="s">
        <v>44</v>
      </c>
      <c r="B27" s="35" t="s">
        <v>45</v>
      </c>
      <c r="C27" s="35"/>
      <c r="D27" s="175">
        <f>SUM(E27:AL27)</f>
        <v>569692</v>
      </c>
      <c r="E27" s="75">
        <f t="shared" ref="E27:AL27" si="5">SUM(E28:E39)</f>
        <v>0</v>
      </c>
      <c r="F27" s="175">
        <f t="shared" si="5"/>
        <v>0</v>
      </c>
      <c r="G27" s="75">
        <f>SUM(G28:G39)</f>
        <v>5392</v>
      </c>
      <c r="H27" s="175">
        <f t="shared" si="5"/>
        <v>23677</v>
      </c>
      <c r="I27" s="75">
        <f t="shared" si="5"/>
        <v>24524</v>
      </c>
      <c r="J27" s="175">
        <f t="shared" si="5"/>
        <v>27554</v>
      </c>
      <c r="K27" s="75">
        <f t="shared" si="5"/>
        <v>25820</v>
      </c>
      <c r="L27" s="175">
        <f t="shared" si="5"/>
        <v>27168</v>
      </c>
      <c r="M27" s="75">
        <f t="shared" si="5"/>
        <v>17585</v>
      </c>
      <c r="N27" s="175">
        <f t="shared" si="5"/>
        <v>26394</v>
      </c>
      <c r="O27" s="75">
        <f t="shared" si="5"/>
        <v>28481</v>
      </c>
      <c r="P27" s="175">
        <f t="shared" si="5"/>
        <v>24910</v>
      </c>
      <c r="Q27" s="75">
        <f t="shared" si="5"/>
        <v>22959</v>
      </c>
      <c r="R27" s="175">
        <f t="shared" si="5"/>
        <v>23516</v>
      </c>
      <c r="S27" s="75">
        <f t="shared" si="5"/>
        <v>18614</v>
      </c>
      <c r="T27" s="175">
        <f t="shared" si="5"/>
        <v>14499</v>
      </c>
      <c r="U27" s="75">
        <f t="shared" si="5"/>
        <v>21722</v>
      </c>
      <c r="V27" s="175">
        <f t="shared" si="5"/>
        <v>20525</v>
      </c>
      <c r="W27" s="75">
        <f t="shared" si="5"/>
        <v>14053</v>
      </c>
      <c r="X27" s="175">
        <f t="shared" si="5"/>
        <v>10661</v>
      </c>
      <c r="Y27" s="75">
        <f t="shared" si="5"/>
        <v>12377</v>
      </c>
      <c r="Z27" s="175">
        <f t="shared" si="5"/>
        <v>10892</v>
      </c>
      <c r="AA27" s="75">
        <f t="shared" si="5"/>
        <v>13501</v>
      </c>
      <c r="AB27" s="175">
        <f t="shared" si="5"/>
        <v>25639</v>
      </c>
      <c r="AC27" s="175">
        <f t="shared" si="5"/>
        <v>20088</v>
      </c>
      <c r="AD27" s="175">
        <f t="shared" si="5"/>
        <v>15822</v>
      </c>
      <c r="AE27" s="175">
        <f t="shared" si="5"/>
        <v>15068</v>
      </c>
      <c r="AF27" s="175">
        <f t="shared" si="5"/>
        <v>17904</v>
      </c>
      <c r="AG27" s="175">
        <f t="shared" si="5"/>
        <v>6917</v>
      </c>
      <c r="AH27" s="175">
        <f t="shared" si="5"/>
        <v>14094</v>
      </c>
      <c r="AI27" s="175">
        <f t="shared" si="5"/>
        <v>10878</v>
      </c>
      <c r="AJ27" s="175">
        <f t="shared" si="5"/>
        <v>11964</v>
      </c>
      <c r="AK27" s="175">
        <f t="shared" si="5"/>
        <v>16494</v>
      </c>
      <c r="AL27" s="175">
        <f t="shared" si="5"/>
        <v>0</v>
      </c>
      <c r="AM27" s="175">
        <f t="shared" ref="AM27:AN27" si="6">SUM(AM28:AM39)</f>
        <v>0</v>
      </c>
      <c r="AN27" s="175">
        <f t="shared" si="6"/>
        <v>0</v>
      </c>
    </row>
    <row r="28" spans="1:40">
      <c r="A28" s="313"/>
      <c r="B28" s="37" t="s">
        <v>47</v>
      </c>
      <c r="C28" s="38" t="s">
        <v>48</v>
      </c>
      <c r="D28" s="73">
        <f>SUM(E28:AL28)</f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</row>
    <row r="29" spans="1:40">
      <c r="A29" s="313"/>
      <c r="B29" s="37" t="s">
        <v>49</v>
      </c>
      <c r="C29" s="38" t="s">
        <v>48</v>
      </c>
      <c r="D29" s="73">
        <f>SUM(E29:AL29)</f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</row>
    <row r="30" spans="1:40">
      <c r="A30" s="313"/>
      <c r="B30" s="37" t="s">
        <v>50</v>
      </c>
      <c r="C30" s="38" t="s">
        <v>48</v>
      </c>
      <c r="D30" s="73">
        <f t="shared" ref="D30:D39" si="7">SUM(E30:AL30)</f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51</v>
      </c>
      <c r="C31" s="38" t="s">
        <v>48</v>
      </c>
      <c r="D31" s="73">
        <f t="shared" si="7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</row>
    <row r="32" spans="1:40">
      <c r="A32" s="313"/>
      <c r="B32" s="37" t="s">
        <v>52</v>
      </c>
      <c r="C32" s="38" t="s">
        <v>48</v>
      </c>
      <c r="D32" s="73">
        <f t="shared" si="7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3"/>
      <c r="B33" s="37" t="s">
        <v>53</v>
      </c>
      <c r="C33" s="38" t="s">
        <v>48</v>
      </c>
      <c r="D33" s="73">
        <f t="shared" si="7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54</v>
      </c>
      <c r="C34" s="38" t="s">
        <v>48</v>
      </c>
      <c r="D34" s="73">
        <f t="shared" si="7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55</v>
      </c>
      <c r="C35" s="38" t="s">
        <v>48</v>
      </c>
      <c r="D35" s="73">
        <f t="shared" si="7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3"/>
      <c r="B36" s="37" t="s">
        <v>56</v>
      </c>
      <c r="C36" s="38" t="s">
        <v>48</v>
      </c>
      <c r="D36" s="73">
        <f t="shared" si="7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</row>
    <row r="37" spans="1:40">
      <c r="A37" s="313"/>
      <c r="B37" s="37" t="s">
        <v>57</v>
      </c>
      <c r="C37" s="38" t="s">
        <v>48</v>
      </c>
      <c r="D37" s="73">
        <f t="shared" si="7"/>
        <v>353026</v>
      </c>
      <c r="E37" s="55">
        <v>0</v>
      </c>
      <c r="F37" s="55">
        <v>0</v>
      </c>
      <c r="G37" s="55">
        <v>1297</v>
      </c>
      <c r="H37" s="55">
        <v>14070</v>
      </c>
      <c r="I37" s="55">
        <v>15813</v>
      </c>
      <c r="J37" s="55">
        <v>19278</v>
      </c>
      <c r="K37" s="55">
        <v>15708</v>
      </c>
      <c r="L37" s="55">
        <v>16422</v>
      </c>
      <c r="M37" s="55">
        <v>14070</v>
      </c>
      <c r="N37" s="55">
        <v>15666</v>
      </c>
      <c r="O37" s="55">
        <v>20958</v>
      </c>
      <c r="P37" s="55">
        <v>17031</v>
      </c>
      <c r="Q37" s="55">
        <v>14133</v>
      </c>
      <c r="R37" s="55">
        <v>13965</v>
      </c>
      <c r="S37" s="55">
        <v>11046</v>
      </c>
      <c r="T37" s="55">
        <v>7140</v>
      </c>
      <c r="U37" s="55">
        <v>11571</v>
      </c>
      <c r="V37" s="55">
        <v>11319</v>
      </c>
      <c r="W37" s="55">
        <v>6510</v>
      </c>
      <c r="X37" s="55">
        <v>5628</v>
      </c>
      <c r="Y37" s="55">
        <v>8988</v>
      </c>
      <c r="Z37" s="55">
        <v>6342</v>
      </c>
      <c r="AA37" s="55">
        <v>9177</v>
      </c>
      <c r="AB37" s="55">
        <v>21294</v>
      </c>
      <c r="AC37" s="55">
        <v>11613</v>
      </c>
      <c r="AD37" s="55">
        <v>8883</v>
      </c>
      <c r="AE37" s="55">
        <v>9681</v>
      </c>
      <c r="AF37" s="55">
        <v>8463</v>
      </c>
      <c r="AG37" s="55">
        <v>2520</v>
      </c>
      <c r="AH37" s="55">
        <v>8820</v>
      </c>
      <c r="AI37" s="55">
        <v>5838</v>
      </c>
      <c r="AJ37" s="55">
        <v>9030</v>
      </c>
      <c r="AK37" s="55">
        <v>10752</v>
      </c>
      <c r="AL37" s="55">
        <v>0</v>
      </c>
      <c r="AM37" s="55">
        <v>0</v>
      </c>
      <c r="AN37" s="55">
        <v>0</v>
      </c>
    </row>
    <row r="38" spans="1:40">
      <c r="A38" s="313"/>
      <c r="B38" s="37" t="s">
        <v>58</v>
      </c>
      <c r="C38" s="38" t="s">
        <v>48</v>
      </c>
      <c r="D38" s="73">
        <f t="shared" si="7"/>
        <v>216666</v>
      </c>
      <c r="E38" s="55">
        <v>0</v>
      </c>
      <c r="F38" s="55">
        <v>0</v>
      </c>
      <c r="G38" s="55">
        <v>4095</v>
      </c>
      <c r="H38" s="55">
        <v>9607</v>
      </c>
      <c r="I38" s="55">
        <v>8711</v>
      </c>
      <c r="J38" s="55">
        <v>8276</v>
      </c>
      <c r="K38" s="55">
        <v>10112</v>
      </c>
      <c r="L38" s="55">
        <v>10746</v>
      </c>
      <c r="M38" s="55">
        <v>3515</v>
      </c>
      <c r="N38" s="55">
        <v>10728</v>
      </c>
      <c r="O38" s="55">
        <v>7523</v>
      </c>
      <c r="P38" s="55">
        <v>7879</v>
      </c>
      <c r="Q38" s="55">
        <v>8826</v>
      </c>
      <c r="R38" s="55">
        <v>9551</v>
      </c>
      <c r="S38" s="55">
        <v>7568</v>
      </c>
      <c r="T38" s="55">
        <v>7359</v>
      </c>
      <c r="U38" s="55">
        <v>10151</v>
      </c>
      <c r="V38" s="55">
        <v>9206</v>
      </c>
      <c r="W38" s="55">
        <v>7543</v>
      </c>
      <c r="X38" s="55">
        <v>5033</v>
      </c>
      <c r="Y38" s="55">
        <v>3389</v>
      </c>
      <c r="Z38" s="55">
        <v>4550</v>
      </c>
      <c r="AA38" s="55">
        <v>4324</v>
      </c>
      <c r="AB38" s="55">
        <v>4345</v>
      </c>
      <c r="AC38" s="55">
        <v>8475</v>
      </c>
      <c r="AD38" s="55">
        <v>6939</v>
      </c>
      <c r="AE38" s="55">
        <v>5387</v>
      </c>
      <c r="AF38" s="55">
        <v>9441</v>
      </c>
      <c r="AG38" s="55">
        <v>4397</v>
      </c>
      <c r="AH38" s="55">
        <v>5274</v>
      </c>
      <c r="AI38" s="55">
        <v>5040</v>
      </c>
      <c r="AJ38" s="55">
        <v>2934</v>
      </c>
      <c r="AK38" s="55">
        <v>5742</v>
      </c>
      <c r="AL38" s="55">
        <v>0</v>
      </c>
      <c r="AM38" s="55">
        <v>0</v>
      </c>
      <c r="AN38" s="55">
        <v>0</v>
      </c>
    </row>
    <row r="39" spans="1:40">
      <c r="A39" s="314"/>
      <c r="B39" s="39" t="s">
        <v>59</v>
      </c>
      <c r="C39" s="40" t="s">
        <v>48</v>
      </c>
      <c r="D39" s="73">
        <f t="shared" si="7"/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/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55">
        <v>0</v>
      </c>
      <c r="AN39" s="55">
        <v>0</v>
      </c>
    </row>
    <row r="40" spans="1:40">
      <c r="A40" s="164"/>
      <c r="B40" s="94" t="s">
        <v>149</v>
      </c>
      <c r="C40" s="166"/>
      <c r="D40" s="192">
        <f t="shared" ref="D40:AL40" si="8">D38/D27</f>
        <v>0.38032129641981982</v>
      </c>
      <c r="E40" s="262" t="e">
        <f t="shared" si="8"/>
        <v>#DIV/0!</v>
      </c>
      <c r="F40" s="170" t="e">
        <f t="shared" si="8"/>
        <v>#DIV/0!</v>
      </c>
      <c r="G40" s="170">
        <f t="shared" si="8"/>
        <v>0.75945845697329373</v>
      </c>
      <c r="H40" s="170">
        <f t="shared" si="8"/>
        <v>0.4057524179583562</v>
      </c>
      <c r="I40" s="170">
        <f t="shared" si="8"/>
        <v>0.35520306638395044</v>
      </c>
      <c r="J40" s="170">
        <f t="shared" si="8"/>
        <v>0.30035566523916674</v>
      </c>
      <c r="K40" s="170">
        <f t="shared" si="8"/>
        <v>0.39163439194422928</v>
      </c>
      <c r="L40" s="170">
        <f t="shared" si="8"/>
        <v>0.39553886925795051</v>
      </c>
      <c r="M40" s="170">
        <f t="shared" si="8"/>
        <v>0.19988626670457776</v>
      </c>
      <c r="N40" s="170">
        <f t="shared" si="8"/>
        <v>0.40645601273016596</v>
      </c>
      <c r="O40" s="170">
        <f t="shared" si="8"/>
        <v>0.26414100628489168</v>
      </c>
      <c r="P40" s="170">
        <f t="shared" si="8"/>
        <v>0.31629867523083099</v>
      </c>
      <c r="Q40" s="170">
        <f t="shared" si="8"/>
        <v>0.38442440872860317</v>
      </c>
      <c r="R40" s="170">
        <f t="shared" si="8"/>
        <v>0.4061490049328117</v>
      </c>
      <c r="S40" s="170">
        <f t="shared" si="8"/>
        <v>0.40657569571290425</v>
      </c>
      <c r="T40" s="170">
        <f t="shared" si="8"/>
        <v>0.50755224498241258</v>
      </c>
      <c r="U40" s="170">
        <f t="shared" si="8"/>
        <v>0.46731424362397567</v>
      </c>
      <c r="V40" s="170">
        <f t="shared" si="8"/>
        <v>0.44852618757612667</v>
      </c>
      <c r="W40" s="170">
        <f t="shared" si="8"/>
        <v>0.53675371806731653</v>
      </c>
      <c r="X40" s="170">
        <f t="shared" si="8"/>
        <v>0.47209455022980956</v>
      </c>
      <c r="Y40" s="170">
        <f t="shared" si="8"/>
        <v>0.27381433303708491</v>
      </c>
      <c r="Z40" s="170">
        <f t="shared" si="8"/>
        <v>0.41773778920308485</v>
      </c>
      <c r="AA40" s="170">
        <f t="shared" si="8"/>
        <v>0.32027257240204432</v>
      </c>
      <c r="AB40" s="170">
        <f t="shared" si="8"/>
        <v>0.16946838800265221</v>
      </c>
      <c r="AC40" s="170">
        <f t="shared" si="8"/>
        <v>0.4218936678614098</v>
      </c>
      <c r="AD40" s="170">
        <f t="shared" si="8"/>
        <v>0.43856655290102387</v>
      </c>
      <c r="AE40" s="170">
        <f t="shared" si="8"/>
        <v>0.35751260950358377</v>
      </c>
      <c r="AF40" s="170">
        <f t="shared" si="8"/>
        <v>0.52731233243967823</v>
      </c>
      <c r="AG40" s="170">
        <f t="shared" si="8"/>
        <v>0.63568020818273818</v>
      </c>
      <c r="AH40" s="170">
        <f t="shared" si="8"/>
        <v>0.37420178799489145</v>
      </c>
      <c r="AI40" s="170">
        <f t="shared" si="8"/>
        <v>0.46332046332046334</v>
      </c>
      <c r="AJ40" s="170">
        <f t="shared" si="8"/>
        <v>0.24523570712136408</v>
      </c>
      <c r="AK40" s="170">
        <f t="shared" si="8"/>
        <v>0.34812659148781377</v>
      </c>
      <c r="AL40" s="170" t="e">
        <f t="shared" si="8"/>
        <v>#DIV/0!</v>
      </c>
      <c r="AM40" s="170" t="e">
        <f t="shared" ref="AM40:AN40" si="9">AM38/AM27</f>
        <v>#DIV/0!</v>
      </c>
      <c r="AN40" s="170" t="e">
        <f t="shared" si="9"/>
        <v>#DIV/0!</v>
      </c>
    </row>
    <row r="41" spans="1:40">
      <c r="A41" s="33"/>
      <c r="C41" s="5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</row>
    <row r="42" spans="1:40">
      <c r="A42" s="324" t="s">
        <v>60</v>
      </c>
      <c r="B42" s="50" t="s">
        <v>61</v>
      </c>
      <c r="C42" s="91" t="s">
        <v>62</v>
      </c>
      <c r="D42" s="229">
        <f>SUM(E42:AM42)</f>
        <v>543000</v>
      </c>
      <c r="E42" s="86">
        <v>3000</v>
      </c>
      <c r="F42" s="86">
        <v>15000</v>
      </c>
      <c r="G42" s="86">
        <v>15000</v>
      </c>
      <c r="H42" s="86">
        <v>16000</v>
      </c>
      <c r="I42" s="86">
        <v>17000</v>
      </c>
      <c r="J42" s="86">
        <v>15000</v>
      </c>
      <c r="K42" s="86">
        <v>16000</v>
      </c>
      <c r="L42" s="86">
        <v>16000</v>
      </c>
      <c r="M42" s="86">
        <v>18000</v>
      </c>
      <c r="N42" s="86">
        <v>16000</v>
      </c>
      <c r="O42" s="86">
        <v>17000</v>
      </c>
      <c r="P42" s="86">
        <v>17000</v>
      </c>
      <c r="Q42" s="86">
        <v>16000</v>
      </c>
      <c r="R42" s="86">
        <v>15000</v>
      </c>
      <c r="S42" s="86">
        <v>15000</v>
      </c>
      <c r="T42" s="86">
        <v>13000</v>
      </c>
      <c r="U42" s="86">
        <v>16000</v>
      </c>
      <c r="V42" s="86">
        <v>17000</v>
      </c>
      <c r="W42" s="86">
        <v>16000</v>
      </c>
      <c r="X42" s="86">
        <v>16000</v>
      </c>
      <c r="Y42" s="86">
        <v>18000</v>
      </c>
      <c r="Z42" s="86">
        <v>16000</v>
      </c>
      <c r="AA42" s="86">
        <v>14000</v>
      </c>
      <c r="AB42" s="86">
        <v>15000</v>
      </c>
      <c r="AC42" s="86">
        <v>16000</v>
      </c>
      <c r="AD42" s="86">
        <v>16000</v>
      </c>
      <c r="AE42" s="86">
        <v>15000</v>
      </c>
      <c r="AF42" s="86">
        <v>16000</v>
      </c>
      <c r="AG42" s="86">
        <v>15000</v>
      </c>
      <c r="AH42" s="86">
        <v>16000</v>
      </c>
      <c r="AI42" s="86">
        <v>16000</v>
      </c>
      <c r="AJ42" s="86">
        <v>17000</v>
      </c>
      <c r="AK42" s="86">
        <v>16000</v>
      </c>
      <c r="AL42" s="86">
        <v>17000</v>
      </c>
      <c r="AM42" s="86">
        <v>15000</v>
      </c>
      <c r="AN42" s="86">
        <v>0</v>
      </c>
    </row>
    <row r="43" spans="1:40">
      <c r="A43" s="325"/>
      <c r="B43" s="39" t="s">
        <v>63</v>
      </c>
      <c r="C43" s="92" t="s">
        <v>62</v>
      </c>
      <c r="D43" s="230">
        <f>SUM(E43:AM43)</f>
        <v>900</v>
      </c>
      <c r="E43" s="87">
        <v>0</v>
      </c>
      <c r="F43" s="87">
        <v>0</v>
      </c>
      <c r="G43" s="87">
        <v>0</v>
      </c>
      <c r="H43" s="87">
        <v>0</v>
      </c>
      <c r="I43" s="87">
        <v>0</v>
      </c>
      <c r="J43" s="87">
        <v>200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200</v>
      </c>
      <c r="T43" s="87">
        <v>0</v>
      </c>
      <c r="U43" s="87">
        <v>0</v>
      </c>
      <c r="V43" s="87">
        <v>0</v>
      </c>
      <c r="W43" s="87">
        <v>0</v>
      </c>
      <c r="X43" s="87">
        <v>0</v>
      </c>
      <c r="Y43" s="87">
        <v>200</v>
      </c>
      <c r="Z43" s="87">
        <v>0</v>
      </c>
      <c r="AA43" s="87">
        <v>0</v>
      </c>
      <c r="AB43" s="87">
        <v>0</v>
      </c>
      <c r="AC43" s="87">
        <v>0</v>
      </c>
      <c r="AD43" s="87">
        <v>0</v>
      </c>
      <c r="AE43" s="87">
        <v>0</v>
      </c>
      <c r="AF43" s="87">
        <v>0</v>
      </c>
      <c r="AG43" s="87">
        <v>0</v>
      </c>
      <c r="AH43" s="87">
        <v>0</v>
      </c>
      <c r="AI43" s="87">
        <v>0</v>
      </c>
      <c r="AJ43" s="87">
        <v>0</v>
      </c>
      <c r="AK43" s="87">
        <v>300</v>
      </c>
      <c r="AL43" s="87">
        <v>0</v>
      </c>
      <c r="AM43" s="87">
        <v>0</v>
      </c>
      <c r="AN43" s="87">
        <v>0</v>
      </c>
    </row>
    <row r="45" spans="1:40">
      <c r="B45" s="167" t="s">
        <v>240</v>
      </c>
      <c r="C45" s="184" t="s">
        <v>241</v>
      </c>
      <c r="D45" s="187">
        <f>D42/D27</f>
        <v>0.95314661255555633</v>
      </c>
      <c r="E45" s="185" t="e">
        <f t="shared" ref="E45:AL45" si="10">E42/E27</f>
        <v>#DIV/0!</v>
      </c>
      <c r="F45" s="188" t="e">
        <f t="shared" si="10"/>
        <v>#DIV/0!</v>
      </c>
      <c r="G45" s="186">
        <f t="shared" si="10"/>
        <v>2.7818991097922847</v>
      </c>
      <c r="H45" s="188">
        <f t="shared" si="10"/>
        <v>0.67576128732525231</v>
      </c>
      <c r="I45" s="186">
        <f t="shared" si="10"/>
        <v>0.6931984994291307</v>
      </c>
      <c r="J45" s="188">
        <f t="shared" si="10"/>
        <v>0.54438557015315381</v>
      </c>
      <c r="K45" s="186">
        <f t="shared" si="10"/>
        <v>0.61967467079783112</v>
      </c>
      <c r="L45" s="188">
        <f t="shared" si="10"/>
        <v>0.58892815076560656</v>
      </c>
      <c r="M45" s="186">
        <f t="shared" si="10"/>
        <v>1.0235996588001137</v>
      </c>
      <c r="N45" s="188">
        <f t="shared" si="10"/>
        <v>0.60619837841933777</v>
      </c>
      <c r="O45" s="186">
        <f t="shared" si="10"/>
        <v>0.5968891541729574</v>
      </c>
      <c r="P45" s="188">
        <f t="shared" si="10"/>
        <v>0.68245684464070655</v>
      </c>
      <c r="Q45" s="186">
        <f t="shared" si="10"/>
        <v>0.6968944640446012</v>
      </c>
      <c r="R45" s="188">
        <f t="shared" si="10"/>
        <v>0.63786358224187789</v>
      </c>
      <c r="S45" s="186">
        <f t="shared" si="10"/>
        <v>0.80584506285591495</v>
      </c>
      <c r="T45" s="188">
        <f t="shared" si="10"/>
        <v>0.89661355955583144</v>
      </c>
      <c r="U45" s="186">
        <f t="shared" si="10"/>
        <v>0.73658042537519564</v>
      </c>
      <c r="V45" s="188">
        <f t="shared" si="10"/>
        <v>0.82825822168087693</v>
      </c>
      <c r="W45" s="186">
        <f t="shared" si="10"/>
        <v>1.1385469294812496</v>
      </c>
      <c r="X45" s="188">
        <f t="shared" si="10"/>
        <v>1.5007972985648625</v>
      </c>
      <c r="Y45" s="186">
        <f t="shared" si="10"/>
        <v>1.4543104144784682</v>
      </c>
      <c r="Z45" s="188">
        <f t="shared" si="10"/>
        <v>1.4689680499449136</v>
      </c>
      <c r="AA45" s="186">
        <f t="shared" si="10"/>
        <v>1.0369602251685059</v>
      </c>
      <c r="AB45" s="188">
        <f t="shared" si="10"/>
        <v>0.58504621865127349</v>
      </c>
      <c r="AC45" s="188">
        <f t="shared" si="10"/>
        <v>0.79649542015133412</v>
      </c>
      <c r="AD45" s="188">
        <f t="shared" si="10"/>
        <v>1.0112501580078372</v>
      </c>
      <c r="AE45" s="188">
        <f t="shared" si="10"/>
        <v>0.99548712503318293</v>
      </c>
      <c r="AF45" s="188">
        <f t="shared" si="10"/>
        <v>0.89365504915102767</v>
      </c>
      <c r="AG45" s="188">
        <f t="shared" si="10"/>
        <v>2.168570189388463</v>
      </c>
      <c r="AH45" s="188">
        <f t="shared" si="10"/>
        <v>1.1352348517099475</v>
      </c>
      <c r="AI45" s="188">
        <f t="shared" si="10"/>
        <v>1.4708586137157567</v>
      </c>
      <c r="AJ45" s="188">
        <f t="shared" si="10"/>
        <v>1.4209294550317619</v>
      </c>
      <c r="AK45" s="188">
        <f t="shared" si="10"/>
        <v>0.97004971504789617</v>
      </c>
      <c r="AL45" s="188" t="e">
        <f t="shared" si="10"/>
        <v>#DIV/0!</v>
      </c>
      <c r="AM45" s="188" t="e">
        <f t="shared" ref="AM45:AN45" si="11">AM42/AM27</f>
        <v>#DIV/0!</v>
      </c>
      <c r="AN45" s="188" t="e">
        <f t="shared" si="11"/>
        <v>#DIV/0!</v>
      </c>
    </row>
    <row r="47" spans="1:40">
      <c r="A47" s="312" t="s">
        <v>64</v>
      </c>
      <c r="B47" s="93" t="s">
        <v>65</v>
      </c>
      <c r="C47" s="47" t="s">
        <v>8</v>
      </c>
      <c r="D47" s="181">
        <f>SUM(E47:AL47)</f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88">
        <v>0</v>
      </c>
      <c r="AI47" s="88">
        <v>0</v>
      </c>
      <c r="AJ47" s="88">
        <v>0</v>
      </c>
      <c r="AK47" s="88">
        <v>0</v>
      </c>
      <c r="AL47" s="88">
        <v>0</v>
      </c>
      <c r="AM47" s="88">
        <v>0</v>
      </c>
      <c r="AN47" s="88">
        <v>0</v>
      </c>
    </row>
    <row r="48" spans="1:40">
      <c r="A48" s="313"/>
      <c r="B48" s="94" t="s">
        <v>66</v>
      </c>
      <c r="C48" s="38" t="s">
        <v>8</v>
      </c>
      <c r="D48" s="182">
        <f>SUM(E48:AL48)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</row>
    <row r="49" spans="1:40">
      <c r="A49" s="313"/>
      <c r="B49" s="94" t="s">
        <v>67</v>
      </c>
      <c r="C49" s="38" t="s">
        <v>8</v>
      </c>
      <c r="D49" s="182">
        <f t="shared" ref="D49:D50" si="12">SUM(E49:AL49)</f>
        <v>0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</row>
    <row r="50" spans="1:40">
      <c r="A50" s="313"/>
      <c r="B50" s="95" t="s">
        <v>68</v>
      </c>
      <c r="C50" s="40" t="s">
        <v>8</v>
      </c>
      <c r="D50" s="183">
        <f t="shared" si="12"/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90">
        <v>0</v>
      </c>
      <c r="AJ50" s="90">
        <v>0</v>
      </c>
      <c r="AK50" s="90">
        <v>0</v>
      </c>
      <c r="AL50" s="90">
        <v>0</v>
      </c>
      <c r="AM50" s="90">
        <v>0</v>
      </c>
      <c r="AN50" s="90">
        <v>0</v>
      </c>
    </row>
    <row r="51" spans="1:40">
      <c r="A51" s="313"/>
      <c r="B51" s="93" t="s">
        <v>69</v>
      </c>
      <c r="C51" s="91" t="s">
        <v>48</v>
      </c>
      <c r="D51" s="195">
        <f>SUM(E51:AL51)</f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6">
        <v>0</v>
      </c>
      <c r="O51" s="86">
        <v>0</v>
      </c>
      <c r="P51" s="86">
        <v>0</v>
      </c>
      <c r="Q51" s="86">
        <v>0</v>
      </c>
      <c r="R51" s="86">
        <v>0</v>
      </c>
      <c r="S51" s="86">
        <v>0</v>
      </c>
      <c r="T51" s="86">
        <v>0</v>
      </c>
      <c r="U51" s="86">
        <v>0</v>
      </c>
      <c r="V51" s="86">
        <v>0</v>
      </c>
      <c r="W51" s="86">
        <v>0</v>
      </c>
      <c r="X51" s="86">
        <v>0</v>
      </c>
      <c r="Y51" s="86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6">
        <v>0</v>
      </c>
      <c r="AK51" s="86">
        <v>0</v>
      </c>
      <c r="AL51" s="86">
        <v>0</v>
      </c>
      <c r="AM51" s="86">
        <v>0</v>
      </c>
      <c r="AN51" s="86">
        <v>0</v>
      </c>
    </row>
    <row r="52" spans="1:40">
      <c r="A52" s="314"/>
      <c r="B52" s="95" t="s">
        <v>70</v>
      </c>
      <c r="C52" s="92" t="s">
        <v>48</v>
      </c>
      <c r="D52" s="199">
        <f>SUM(E52:AL52)</f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Z52" s="87">
        <v>0</v>
      </c>
      <c r="AA52" s="87">
        <v>0</v>
      </c>
      <c r="AB52" s="87">
        <v>0</v>
      </c>
      <c r="AC52" s="87">
        <v>0</v>
      </c>
      <c r="AD52" s="87">
        <v>0</v>
      </c>
      <c r="AE52" s="87">
        <v>0</v>
      </c>
      <c r="AF52" s="87">
        <v>0</v>
      </c>
      <c r="AG52" s="87">
        <v>0</v>
      </c>
      <c r="AH52" s="87">
        <v>0</v>
      </c>
      <c r="AI52" s="87">
        <v>0</v>
      </c>
      <c r="AJ52" s="87">
        <v>0</v>
      </c>
      <c r="AK52" s="87">
        <v>0</v>
      </c>
      <c r="AL52" s="87">
        <v>0</v>
      </c>
      <c r="AM52" s="87">
        <v>0</v>
      </c>
      <c r="AN52" s="87">
        <v>0</v>
      </c>
    </row>
    <row r="53" spans="1:40"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>
      <c r="A54" s="315" t="s">
        <v>71</v>
      </c>
      <c r="B54" s="50" t="s">
        <v>72</v>
      </c>
      <c r="C54" s="45" t="s">
        <v>73</v>
      </c>
      <c r="D54" s="7" t="s">
        <v>73</v>
      </c>
      <c r="E54" s="7" t="s">
        <v>73</v>
      </c>
      <c r="F54" s="7" t="s">
        <v>73</v>
      </c>
      <c r="G54" s="7" t="s">
        <v>73</v>
      </c>
      <c r="H54" s="7" t="s">
        <v>73</v>
      </c>
      <c r="I54" s="7" t="s">
        <v>73</v>
      </c>
      <c r="J54" s="7" t="s">
        <v>73</v>
      </c>
      <c r="K54" s="7" t="s">
        <v>73</v>
      </c>
      <c r="L54" s="7" t="s">
        <v>73</v>
      </c>
      <c r="M54" s="7" t="s">
        <v>73</v>
      </c>
      <c r="N54" s="7" t="s">
        <v>73</v>
      </c>
      <c r="O54" s="7" t="s">
        <v>73</v>
      </c>
      <c r="P54" s="7" t="s">
        <v>73</v>
      </c>
      <c r="Q54" s="7" t="s">
        <v>73</v>
      </c>
      <c r="R54" s="7" t="s">
        <v>73</v>
      </c>
      <c r="S54" s="7" t="s">
        <v>73</v>
      </c>
      <c r="T54" s="7" t="s">
        <v>73</v>
      </c>
      <c r="U54" s="7" t="s">
        <v>73</v>
      </c>
      <c r="V54" s="7" t="s">
        <v>73</v>
      </c>
      <c r="W54" s="7" t="s">
        <v>73</v>
      </c>
      <c r="X54" s="7" t="s">
        <v>73</v>
      </c>
      <c r="Y54" s="7" t="s">
        <v>73</v>
      </c>
      <c r="Z54" s="7" t="s">
        <v>73</v>
      </c>
      <c r="AA54" s="7" t="s">
        <v>73</v>
      </c>
      <c r="AB54" s="7" t="s">
        <v>73</v>
      </c>
      <c r="AC54" s="7" t="s">
        <v>73</v>
      </c>
      <c r="AD54" s="7" t="s">
        <v>73</v>
      </c>
      <c r="AE54" s="7" t="s">
        <v>73</v>
      </c>
      <c r="AF54" s="7" t="s">
        <v>73</v>
      </c>
      <c r="AG54" s="7" t="s">
        <v>73</v>
      </c>
      <c r="AH54" s="7" t="s">
        <v>73</v>
      </c>
      <c r="AI54" s="7" t="s">
        <v>73</v>
      </c>
      <c r="AJ54" s="7" t="s">
        <v>73</v>
      </c>
      <c r="AK54" s="7" t="s">
        <v>73</v>
      </c>
      <c r="AL54" s="7" t="s">
        <v>73</v>
      </c>
      <c r="AM54" s="7" t="s">
        <v>73</v>
      </c>
      <c r="AN54" s="7" t="s">
        <v>73</v>
      </c>
    </row>
    <row r="55" spans="1:40">
      <c r="A55" s="316"/>
      <c r="B55" s="37" t="s">
        <v>74</v>
      </c>
      <c r="C55" s="51" t="s">
        <v>75</v>
      </c>
      <c r="D55" s="8" t="s">
        <v>75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 spans="1:40">
      <c r="A56" s="316"/>
      <c r="B56" s="37" t="s">
        <v>7</v>
      </c>
      <c r="C56" s="51" t="s">
        <v>75</v>
      </c>
      <c r="D56" s="8" t="s">
        <v>75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>
      <c r="A57" s="316"/>
      <c r="B57" s="37" t="s">
        <v>76</v>
      </c>
      <c r="C57" s="51" t="s">
        <v>75</v>
      </c>
      <c r="D57" s="8" t="s">
        <v>75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pans="1:40">
      <c r="A58" s="317"/>
      <c r="B58" s="39" t="s">
        <v>82</v>
      </c>
      <c r="C58" s="52" t="s">
        <v>75</v>
      </c>
      <c r="D58" s="9" t="s">
        <v>75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60" spans="1:40" ht="15.75">
      <c r="B60" s="53" t="s">
        <v>83</v>
      </c>
      <c r="C60" s="99" t="s">
        <v>84</v>
      </c>
      <c r="D60" s="100">
        <f>SUM(D61:D73)</f>
        <v>15915773.510732122</v>
      </c>
      <c r="E60" s="101">
        <f>SUM(E61:E73)</f>
        <v>0</v>
      </c>
      <c r="F60" s="101">
        <f t="shared" ref="F60:AL60" si="13">SUM(F61:F73)</f>
        <v>0</v>
      </c>
      <c r="G60" s="101">
        <f>SUM(G61:G73)</f>
        <v>191154.72154951881</v>
      </c>
      <c r="H60" s="101">
        <f>SUM(H61:H73)</f>
        <v>673409.86039712513</v>
      </c>
      <c r="I60" s="101">
        <f t="shared" ref="I60:Y60" si="14">SUM(I61:I73)</f>
        <v>672931.02969911066</v>
      </c>
      <c r="J60" s="101">
        <f t="shared" si="14"/>
        <v>726121.85854549881</v>
      </c>
      <c r="K60" s="101">
        <f t="shared" si="14"/>
        <v>727135.54644901934</v>
      </c>
      <c r="L60" s="101">
        <f t="shared" si="14"/>
        <v>767199.85567060544</v>
      </c>
      <c r="M60" s="101">
        <f t="shared" si="14"/>
        <v>428397.02667803632</v>
      </c>
      <c r="N60" s="101">
        <f t="shared" si="14"/>
        <v>751053.51755390421</v>
      </c>
      <c r="O60" s="101">
        <f t="shared" si="14"/>
        <v>730109.11399683263</v>
      </c>
      <c r="P60" s="101">
        <f t="shared" si="14"/>
        <v>664316.2011938116</v>
      </c>
      <c r="Q60" s="101">
        <f t="shared" si="14"/>
        <v>643284.18988914602</v>
      </c>
      <c r="R60" s="101">
        <f t="shared" si="14"/>
        <v>669015.60847849923</v>
      </c>
      <c r="S60" s="101">
        <f t="shared" si="14"/>
        <v>529714.15928858565</v>
      </c>
      <c r="T60" s="101">
        <f t="shared" si="14"/>
        <v>441626.03337799979</v>
      </c>
      <c r="U60" s="101">
        <f t="shared" si="14"/>
        <v>644309.27903520525</v>
      </c>
      <c r="V60" s="101">
        <f t="shared" si="14"/>
        <v>601161.72790839314</v>
      </c>
      <c r="W60" s="101">
        <f t="shared" si="14"/>
        <v>436174.28968205629</v>
      </c>
      <c r="X60" s="101">
        <f t="shared" si="14"/>
        <v>317232.3411865026</v>
      </c>
      <c r="Y60" s="101">
        <f t="shared" si="14"/>
        <v>319656.65986112802</v>
      </c>
      <c r="Z60" s="101">
        <f t="shared" si="13"/>
        <v>312372.26838835422</v>
      </c>
      <c r="AA60" s="101">
        <f t="shared" si="13"/>
        <v>361116.82314532832</v>
      </c>
      <c r="AB60" s="101">
        <f t="shared" si="13"/>
        <v>609148.21761481301</v>
      </c>
      <c r="AC60" s="101">
        <f t="shared" si="13"/>
        <v>577759.39661347296</v>
      </c>
      <c r="AD60" s="101">
        <f t="shared" si="13"/>
        <v>460291.34398830554</v>
      </c>
      <c r="AE60" s="101">
        <f t="shared" si="13"/>
        <v>414150.99081495916</v>
      </c>
      <c r="AF60" s="101">
        <f t="shared" si="13"/>
        <v>552350.74220976979</v>
      </c>
      <c r="AG60" s="101">
        <f t="shared" si="13"/>
        <v>228249.99439639421</v>
      </c>
      <c r="AH60" s="101">
        <f t="shared" si="13"/>
        <v>392041.86819344619</v>
      </c>
      <c r="AI60" s="101">
        <f t="shared" si="13"/>
        <v>321797.87267633085</v>
      </c>
      <c r="AJ60" s="101">
        <f t="shared" si="13"/>
        <v>302213.9130222926</v>
      </c>
      <c r="AK60" s="101">
        <f t="shared" si="13"/>
        <v>450277.05922767695</v>
      </c>
      <c r="AL60" s="101">
        <f t="shared" si="13"/>
        <v>0</v>
      </c>
      <c r="AM60" s="101">
        <f t="shared" ref="AM60:AN60" si="15">SUM(AM61:AM73)</f>
        <v>0</v>
      </c>
      <c r="AN60" s="101">
        <f t="shared" si="15"/>
        <v>0</v>
      </c>
    </row>
    <row r="61" spans="1:40">
      <c r="B61" s="96" t="s">
        <v>47</v>
      </c>
      <c r="C61" s="111">
        <v>49</v>
      </c>
      <c r="D61" s="97">
        <f t="shared" ref="D61:AN61" si="16">D28*$C61</f>
        <v>0</v>
      </c>
      <c r="E61" s="104">
        <f t="shared" si="16"/>
        <v>0</v>
      </c>
      <c r="F61" s="104">
        <f t="shared" si="16"/>
        <v>0</v>
      </c>
      <c r="G61" s="104">
        <f t="shared" si="16"/>
        <v>0</v>
      </c>
      <c r="H61" s="104">
        <f t="shared" si="16"/>
        <v>0</v>
      </c>
      <c r="I61" s="104">
        <f t="shared" si="16"/>
        <v>0</v>
      </c>
      <c r="J61" s="104">
        <f t="shared" si="16"/>
        <v>0</v>
      </c>
      <c r="K61" s="104">
        <f t="shared" si="16"/>
        <v>0</v>
      </c>
      <c r="L61" s="104">
        <f t="shared" si="16"/>
        <v>0</v>
      </c>
      <c r="M61" s="104">
        <f t="shared" si="16"/>
        <v>0</v>
      </c>
      <c r="N61" s="104">
        <f t="shared" si="16"/>
        <v>0</v>
      </c>
      <c r="O61" s="104">
        <f t="shared" si="16"/>
        <v>0</v>
      </c>
      <c r="P61" s="104">
        <f t="shared" si="16"/>
        <v>0</v>
      </c>
      <c r="Q61" s="104">
        <f t="shared" si="16"/>
        <v>0</v>
      </c>
      <c r="R61" s="104">
        <f t="shared" si="16"/>
        <v>0</v>
      </c>
      <c r="S61" s="104">
        <f t="shared" si="16"/>
        <v>0</v>
      </c>
      <c r="T61" s="104">
        <f t="shared" si="16"/>
        <v>0</v>
      </c>
      <c r="U61" s="104">
        <f t="shared" si="16"/>
        <v>0</v>
      </c>
      <c r="V61" s="104">
        <f t="shared" si="16"/>
        <v>0</v>
      </c>
      <c r="W61" s="104">
        <f t="shared" si="16"/>
        <v>0</v>
      </c>
      <c r="X61" s="104">
        <f t="shared" si="16"/>
        <v>0</v>
      </c>
      <c r="Y61" s="104">
        <f t="shared" si="16"/>
        <v>0</v>
      </c>
      <c r="Z61" s="104">
        <f t="shared" si="16"/>
        <v>0</v>
      </c>
      <c r="AA61" s="104">
        <f t="shared" si="16"/>
        <v>0</v>
      </c>
      <c r="AB61" s="104">
        <f t="shared" si="16"/>
        <v>0</v>
      </c>
      <c r="AC61" s="104">
        <f t="shared" si="16"/>
        <v>0</v>
      </c>
      <c r="AD61" s="104">
        <f t="shared" si="16"/>
        <v>0</v>
      </c>
      <c r="AE61" s="104">
        <f t="shared" si="16"/>
        <v>0</v>
      </c>
      <c r="AF61" s="104">
        <f t="shared" si="16"/>
        <v>0</v>
      </c>
      <c r="AG61" s="104">
        <f t="shared" si="16"/>
        <v>0</v>
      </c>
      <c r="AH61" s="104">
        <f t="shared" si="16"/>
        <v>0</v>
      </c>
      <c r="AI61" s="104">
        <f t="shared" si="16"/>
        <v>0</v>
      </c>
      <c r="AJ61" s="104">
        <f t="shared" si="16"/>
        <v>0</v>
      </c>
      <c r="AK61" s="104">
        <f t="shared" si="16"/>
        <v>0</v>
      </c>
      <c r="AL61" s="104">
        <f t="shared" si="16"/>
        <v>0</v>
      </c>
      <c r="AM61" s="104">
        <f t="shared" si="16"/>
        <v>0</v>
      </c>
      <c r="AN61" s="104">
        <f t="shared" si="16"/>
        <v>0</v>
      </c>
    </row>
    <row r="62" spans="1:40">
      <c r="B62" s="96" t="s">
        <v>49</v>
      </c>
      <c r="C62" s="111">
        <v>19</v>
      </c>
      <c r="D62" s="97">
        <f t="shared" ref="D62:AN62" si="17">D29*$C62</f>
        <v>0</v>
      </c>
      <c r="E62" s="104">
        <f t="shared" si="17"/>
        <v>0</v>
      </c>
      <c r="F62" s="104">
        <f t="shared" si="17"/>
        <v>0</v>
      </c>
      <c r="G62" s="104">
        <f t="shared" si="17"/>
        <v>0</v>
      </c>
      <c r="H62" s="104">
        <f t="shared" si="17"/>
        <v>0</v>
      </c>
      <c r="I62" s="104">
        <f t="shared" si="17"/>
        <v>0</v>
      </c>
      <c r="J62" s="104">
        <f t="shared" si="17"/>
        <v>0</v>
      </c>
      <c r="K62" s="104">
        <f t="shared" si="17"/>
        <v>0</v>
      </c>
      <c r="L62" s="104">
        <f t="shared" si="17"/>
        <v>0</v>
      </c>
      <c r="M62" s="104">
        <f t="shared" si="17"/>
        <v>0</v>
      </c>
      <c r="N62" s="104">
        <f t="shared" si="17"/>
        <v>0</v>
      </c>
      <c r="O62" s="104">
        <f t="shared" si="17"/>
        <v>0</v>
      </c>
      <c r="P62" s="104">
        <f t="shared" si="17"/>
        <v>0</v>
      </c>
      <c r="Q62" s="104">
        <f t="shared" si="17"/>
        <v>0</v>
      </c>
      <c r="R62" s="104">
        <f t="shared" si="17"/>
        <v>0</v>
      </c>
      <c r="S62" s="104">
        <f t="shared" si="17"/>
        <v>0</v>
      </c>
      <c r="T62" s="104">
        <f t="shared" si="17"/>
        <v>0</v>
      </c>
      <c r="U62" s="104">
        <f t="shared" si="17"/>
        <v>0</v>
      </c>
      <c r="V62" s="104">
        <f t="shared" si="17"/>
        <v>0</v>
      </c>
      <c r="W62" s="104">
        <f t="shared" si="17"/>
        <v>0</v>
      </c>
      <c r="X62" s="104">
        <f t="shared" si="17"/>
        <v>0</v>
      </c>
      <c r="Y62" s="104">
        <f t="shared" si="17"/>
        <v>0</v>
      </c>
      <c r="Z62" s="104">
        <f t="shared" si="17"/>
        <v>0</v>
      </c>
      <c r="AA62" s="104">
        <f t="shared" si="17"/>
        <v>0</v>
      </c>
      <c r="AB62" s="104">
        <f t="shared" si="17"/>
        <v>0</v>
      </c>
      <c r="AC62" s="104">
        <f t="shared" si="17"/>
        <v>0</v>
      </c>
      <c r="AD62" s="104">
        <f t="shared" si="17"/>
        <v>0</v>
      </c>
      <c r="AE62" s="104">
        <f t="shared" si="17"/>
        <v>0</v>
      </c>
      <c r="AF62" s="104">
        <f t="shared" si="17"/>
        <v>0</v>
      </c>
      <c r="AG62" s="104">
        <f t="shared" si="17"/>
        <v>0</v>
      </c>
      <c r="AH62" s="104">
        <f t="shared" si="17"/>
        <v>0</v>
      </c>
      <c r="AI62" s="104">
        <f t="shared" si="17"/>
        <v>0</v>
      </c>
      <c r="AJ62" s="104">
        <f t="shared" si="17"/>
        <v>0</v>
      </c>
      <c r="AK62" s="104">
        <f t="shared" si="17"/>
        <v>0</v>
      </c>
      <c r="AL62" s="104">
        <f t="shared" si="17"/>
        <v>0</v>
      </c>
      <c r="AM62" s="104">
        <f t="shared" si="17"/>
        <v>0</v>
      </c>
      <c r="AN62" s="104">
        <f t="shared" si="17"/>
        <v>0</v>
      </c>
    </row>
    <row r="63" spans="1:40">
      <c r="B63" s="96" t="s">
        <v>50</v>
      </c>
      <c r="C63" s="111">
        <v>19</v>
      </c>
      <c r="D63" s="97">
        <f t="shared" ref="D63:AN63" si="18">D30*$C63</f>
        <v>0</v>
      </c>
      <c r="E63" s="104">
        <f t="shared" si="18"/>
        <v>0</v>
      </c>
      <c r="F63" s="104">
        <f t="shared" si="18"/>
        <v>0</v>
      </c>
      <c r="G63" s="104">
        <f t="shared" si="18"/>
        <v>0</v>
      </c>
      <c r="H63" s="104">
        <f t="shared" si="18"/>
        <v>0</v>
      </c>
      <c r="I63" s="104">
        <f t="shared" si="18"/>
        <v>0</v>
      </c>
      <c r="J63" s="104">
        <f t="shared" si="18"/>
        <v>0</v>
      </c>
      <c r="K63" s="104">
        <f t="shared" si="18"/>
        <v>0</v>
      </c>
      <c r="L63" s="104">
        <f t="shared" si="18"/>
        <v>0</v>
      </c>
      <c r="M63" s="104">
        <f t="shared" si="18"/>
        <v>0</v>
      </c>
      <c r="N63" s="104">
        <f t="shared" si="18"/>
        <v>0</v>
      </c>
      <c r="O63" s="104">
        <f t="shared" si="18"/>
        <v>0</v>
      </c>
      <c r="P63" s="104">
        <f t="shared" si="18"/>
        <v>0</v>
      </c>
      <c r="Q63" s="104">
        <f t="shared" si="18"/>
        <v>0</v>
      </c>
      <c r="R63" s="104">
        <f t="shared" si="18"/>
        <v>0</v>
      </c>
      <c r="S63" s="104">
        <f t="shared" si="18"/>
        <v>0</v>
      </c>
      <c r="T63" s="104">
        <f t="shared" si="18"/>
        <v>0</v>
      </c>
      <c r="U63" s="104">
        <f t="shared" si="18"/>
        <v>0</v>
      </c>
      <c r="V63" s="104">
        <f t="shared" si="18"/>
        <v>0</v>
      </c>
      <c r="W63" s="104">
        <f t="shared" si="18"/>
        <v>0</v>
      </c>
      <c r="X63" s="104">
        <f t="shared" si="18"/>
        <v>0</v>
      </c>
      <c r="Y63" s="104">
        <f t="shared" si="18"/>
        <v>0</v>
      </c>
      <c r="Z63" s="104">
        <f t="shared" si="18"/>
        <v>0</v>
      </c>
      <c r="AA63" s="104">
        <f t="shared" si="18"/>
        <v>0</v>
      </c>
      <c r="AB63" s="104">
        <f t="shared" si="18"/>
        <v>0</v>
      </c>
      <c r="AC63" s="104">
        <f t="shared" si="18"/>
        <v>0</v>
      </c>
      <c r="AD63" s="104">
        <f t="shared" si="18"/>
        <v>0</v>
      </c>
      <c r="AE63" s="104">
        <f t="shared" si="18"/>
        <v>0</v>
      </c>
      <c r="AF63" s="104">
        <f t="shared" si="18"/>
        <v>0</v>
      </c>
      <c r="AG63" s="104">
        <f t="shared" si="18"/>
        <v>0</v>
      </c>
      <c r="AH63" s="104">
        <f t="shared" si="18"/>
        <v>0</v>
      </c>
      <c r="AI63" s="104">
        <f t="shared" si="18"/>
        <v>0</v>
      </c>
      <c r="AJ63" s="104">
        <f t="shared" si="18"/>
        <v>0</v>
      </c>
      <c r="AK63" s="104">
        <f t="shared" si="18"/>
        <v>0</v>
      </c>
      <c r="AL63" s="104">
        <f t="shared" si="18"/>
        <v>0</v>
      </c>
      <c r="AM63" s="104">
        <f t="shared" si="18"/>
        <v>0</v>
      </c>
      <c r="AN63" s="104">
        <f t="shared" si="18"/>
        <v>0</v>
      </c>
    </row>
    <row r="64" spans="1:40">
      <c r="B64" s="96" t="s">
        <v>51</v>
      </c>
      <c r="C64" s="111">
        <v>15</v>
      </c>
      <c r="D64" s="97">
        <f t="shared" ref="D64:AN64" si="19">D31*$C64</f>
        <v>0</v>
      </c>
      <c r="E64" s="104">
        <f t="shared" si="19"/>
        <v>0</v>
      </c>
      <c r="F64" s="104">
        <f t="shared" si="19"/>
        <v>0</v>
      </c>
      <c r="G64" s="104">
        <f t="shared" si="19"/>
        <v>0</v>
      </c>
      <c r="H64" s="104">
        <f t="shared" si="19"/>
        <v>0</v>
      </c>
      <c r="I64" s="104">
        <f t="shared" si="19"/>
        <v>0</v>
      </c>
      <c r="J64" s="104">
        <f t="shared" si="19"/>
        <v>0</v>
      </c>
      <c r="K64" s="104">
        <f t="shared" si="19"/>
        <v>0</v>
      </c>
      <c r="L64" s="104">
        <f t="shared" si="19"/>
        <v>0</v>
      </c>
      <c r="M64" s="104">
        <f t="shared" si="19"/>
        <v>0</v>
      </c>
      <c r="N64" s="104">
        <f t="shared" si="19"/>
        <v>0</v>
      </c>
      <c r="O64" s="104">
        <f t="shared" si="19"/>
        <v>0</v>
      </c>
      <c r="P64" s="104">
        <f t="shared" si="19"/>
        <v>0</v>
      </c>
      <c r="Q64" s="104">
        <f t="shared" si="19"/>
        <v>0</v>
      </c>
      <c r="R64" s="104">
        <f t="shared" si="19"/>
        <v>0</v>
      </c>
      <c r="S64" s="104">
        <f t="shared" si="19"/>
        <v>0</v>
      </c>
      <c r="T64" s="104">
        <f t="shared" si="19"/>
        <v>0</v>
      </c>
      <c r="U64" s="104">
        <f t="shared" si="19"/>
        <v>0</v>
      </c>
      <c r="V64" s="104">
        <f t="shared" si="19"/>
        <v>0</v>
      </c>
      <c r="W64" s="104">
        <f t="shared" si="19"/>
        <v>0</v>
      </c>
      <c r="X64" s="104">
        <f t="shared" si="19"/>
        <v>0</v>
      </c>
      <c r="Y64" s="104">
        <f t="shared" si="19"/>
        <v>0</v>
      </c>
      <c r="Z64" s="104">
        <f t="shared" si="19"/>
        <v>0</v>
      </c>
      <c r="AA64" s="104">
        <f t="shared" si="19"/>
        <v>0</v>
      </c>
      <c r="AB64" s="104">
        <f t="shared" si="19"/>
        <v>0</v>
      </c>
      <c r="AC64" s="104">
        <f t="shared" si="19"/>
        <v>0</v>
      </c>
      <c r="AD64" s="104">
        <f t="shared" si="19"/>
        <v>0</v>
      </c>
      <c r="AE64" s="104">
        <f t="shared" si="19"/>
        <v>0</v>
      </c>
      <c r="AF64" s="104">
        <f t="shared" si="19"/>
        <v>0</v>
      </c>
      <c r="AG64" s="104">
        <f t="shared" si="19"/>
        <v>0</v>
      </c>
      <c r="AH64" s="104">
        <f t="shared" si="19"/>
        <v>0</v>
      </c>
      <c r="AI64" s="104">
        <f t="shared" si="19"/>
        <v>0</v>
      </c>
      <c r="AJ64" s="104">
        <f t="shared" si="19"/>
        <v>0</v>
      </c>
      <c r="AK64" s="104">
        <f t="shared" si="19"/>
        <v>0</v>
      </c>
      <c r="AL64" s="104">
        <f t="shared" si="19"/>
        <v>0</v>
      </c>
      <c r="AM64" s="104">
        <f t="shared" si="19"/>
        <v>0</v>
      </c>
      <c r="AN64" s="104">
        <f t="shared" si="19"/>
        <v>0</v>
      </c>
    </row>
    <row r="65" spans="2:40">
      <c r="B65" s="96" t="s">
        <v>52</v>
      </c>
      <c r="C65" s="111">
        <v>10</v>
      </c>
      <c r="D65" s="97">
        <f t="shared" ref="D65:AN65" si="20">D32*$C65</f>
        <v>0</v>
      </c>
      <c r="E65" s="104">
        <f t="shared" si="20"/>
        <v>0</v>
      </c>
      <c r="F65" s="104">
        <f t="shared" si="20"/>
        <v>0</v>
      </c>
      <c r="G65" s="104">
        <f t="shared" si="20"/>
        <v>0</v>
      </c>
      <c r="H65" s="104">
        <f t="shared" si="20"/>
        <v>0</v>
      </c>
      <c r="I65" s="104">
        <f t="shared" si="20"/>
        <v>0</v>
      </c>
      <c r="J65" s="104">
        <f t="shared" si="20"/>
        <v>0</v>
      </c>
      <c r="K65" s="104">
        <f t="shared" si="20"/>
        <v>0</v>
      </c>
      <c r="L65" s="104">
        <f t="shared" si="20"/>
        <v>0</v>
      </c>
      <c r="M65" s="104">
        <f t="shared" si="20"/>
        <v>0</v>
      </c>
      <c r="N65" s="104">
        <f t="shared" si="20"/>
        <v>0</v>
      </c>
      <c r="O65" s="104">
        <f t="shared" si="20"/>
        <v>0</v>
      </c>
      <c r="P65" s="104">
        <f t="shared" si="20"/>
        <v>0</v>
      </c>
      <c r="Q65" s="104">
        <f t="shared" si="20"/>
        <v>0</v>
      </c>
      <c r="R65" s="104">
        <f t="shared" si="20"/>
        <v>0</v>
      </c>
      <c r="S65" s="104">
        <f t="shared" si="20"/>
        <v>0</v>
      </c>
      <c r="T65" s="104">
        <f t="shared" si="20"/>
        <v>0</v>
      </c>
      <c r="U65" s="104">
        <f t="shared" si="20"/>
        <v>0</v>
      </c>
      <c r="V65" s="104">
        <f t="shared" si="20"/>
        <v>0</v>
      </c>
      <c r="W65" s="104">
        <f t="shared" si="20"/>
        <v>0</v>
      </c>
      <c r="X65" s="104">
        <f t="shared" si="20"/>
        <v>0</v>
      </c>
      <c r="Y65" s="104">
        <f t="shared" si="20"/>
        <v>0</v>
      </c>
      <c r="Z65" s="104">
        <f t="shared" si="20"/>
        <v>0</v>
      </c>
      <c r="AA65" s="104">
        <f t="shared" si="20"/>
        <v>0</v>
      </c>
      <c r="AB65" s="104">
        <f t="shared" si="20"/>
        <v>0</v>
      </c>
      <c r="AC65" s="104">
        <f t="shared" si="20"/>
        <v>0</v>
      </c>
      <c r="AD65" s="104">
        <f t="shared" si="20"/>
        <v>0</v>
      </c>
      <c r="AE65" s="104">
        <f t="shared" si="20"/>
        <v>0</v>
      </c>
      <c r="AF65" s="104">
        <f t="shared" si="20"/>
        <v>0</v>
      </c>
      <c r="AG65" s="104">
        <f t="shared" si="20"/>
        <v>0</v>
      </c>
      <c r="AH65" s="104">
        <f t="shared" si="20"/>
        <v>0</v>
      </c>
      <c r="AI65" s="104">
        <f t="shared" si="20"/>
        <v>0</v>
      </c>
      <c r="AJ65" s="104">
        <f t="shared" si="20"/>
        <v>0</v>
      </c>
      <c r="AK65" s="104">
        <f t="shared" si="20"/>
        <v>0</v>
      </c>
      <c r="AL65" s="104">
        <f t="shared" si="20"/>
        <v>0</v>
      </c>
      <c r="AM65" s="104">
        <f t="shared" si="20"/>
        <v>0</v>
      </c>
      <c r="AN65" s="104">
        <f t="shared" si="20"/>
        <v>0</v>
      </c>
    </row>
    <row r="66" spans="2:40">
      <c r="B66" s="96" t="s">
        <v>53</v>
      </c>
      <c r="C66" s="111">
        <v>19</v>
      </c>
      <c r="D66" s="97">
        <f t="shared" ref="D66:AN66" si="21">D33*$C66</f>
        <v>0</v>
      </c>
      <c r="E66" s="104">
        <f t="shared" si="21"/>
        <v>0</v>
      </c>
      <c r="F66" s="104">
        <f t="shared" si="21"/>
        <v>0</v>
      </c>
      <c r="G66" s="104">
        <f t="shared" si="21"/>
        <v>0</v>
      </c>
      <c r="H66" s="104">
        <f t="shared" si="21"/>
        <v>0</v>
      </c>
      <c r="I66" s="104">
        <f t="shared" si="21"/>
        <v>0</v>
      </c>
      <c r="J66" s="104">
        <f t="shared" si="21"/>
        <v>0</v>
      </c>
      <c r="K66" s="104">
        <f t="shared" si="21"/>
        <v>0</v>
      </c>
      <c r="L66" s="104">
        <f t="shared" si="21"/>
        <v>0</v>
      </c>
      <c r="M66" s="104">
        <f t="shared" si="21"/>
        <v>0</v>
      </c>
      <c r="N66" s="104">
        <f t="shared" si="21"/>
        <v>0</v>
      </c>
      <c r="O66" s="104">
        <f t="shared" si="21"/>
        <v>0</v>
      </c>
      <c r="P66" s="104">
        <f t="shared" si="21"/>
        <v>0</v>
      </c>
      <c r="Q66" s="104">
        <f t="shared" si="21"/>
        <v>0</v>
      </c>
      <c r="R66" s="104">
        <f t="shared" si="21"/>
        <v>0</v>
      </c>
      <c r="S66" s="104">
        <f t="shared" si="21"/>
        <v>0</v>
      </c>
      <c r="T66" s="104">
        <f t="shared" si="21"/>
        <v>0</v>
      </c>
      <c r="U66" s="104">
        <f t="shared" si="21"/>
        <v>0</v>
      </c>
      <c r="V66" s="104">
        <f t="shared" si="21"/>
        <v>0</v>
      </c>
      <c r="W66" s="104">
        <f t="shared" si="21"/>
        <v>0</v>
      </c>
      <c r="X66" s="104">
        <f t="shared" si="21"/>
        <v>0</v>
      </c>
      <c r="Y66" s="104">
        <f t="shared" si="21"/>
        <v>0</v>
      </c>
      <c r="Z66" s="104">
        <f t="shared" si="21"/>
        <v>0</v>
      </c>
      <c r="AA66" s="104">
        <f t="shared" si="21"/>
        <v>0</v>
      </c>
      <c r="AB66" s="104">
        <f t="shared" si="21"/>
        <v>0</v>
      </c>
      <c r="AC66" s="104">
        <f t="shared" si="21"/>
        <v>0</v>
      </c>
      <c r="AD66" s="104">
        <f t="shared" si="21"/>
        <v>0</v>
      </c>
      <c r="AE66" s="104">
        <f t="shared" si="21"/>
        <v>0</v>
      </c>
      <c r="AF66" s="104">
        <f t="shared" si="21"/>
        <v>0</v>
      </c>
      <c r="AG66" s="104">
        <f t="shared" si="21"/>
        <v>0</v>
      </c>
      <c r="AH66" s="104">
        <f t="shared" si="21"/>
        <v>0</v>
      </c>
      <c r="AI66" s="104">
        <f t="shared" si="21"/>
        <v>0</v>
      </c>
      <c r="AJ66" s="104">
        <f t="shared" si="21"/>
        <v>0</v>
      </c>
      <c r="AK66" s="104">
        <f t="shared" si="21"/>
        <v>0</v>
      </c>
      <c r="AL66" s="104">
        <f t="shared" si="21"/>
        <v>0</v>
      </c>
      <c r="AM66" s="104">
        <f t="shared" si="21"/>
        <v>0</v>
      </c>
      <c r="AN66" s="104">
        <f t="shared" si="21"/>
        <v>0</v>
      </c>
    </row>
    <row r="67" spans="2:40">
      <c r="B67" s="96" t="s">
        <v>54</v>
      </c>
      <c r="C67" s="111">
        <v>10</v>
      </c>
      <c r="D67" s="97">
        <f t="shared" ref="D67:AN67" si="22">D34*$C67</f>
        <v>0</v>
      </c>
      <c r="E67" s="104">
        <f t="shared" si="22"/>
        <v>0</v>
      </c>
      <c r="F67" s="104">
        <f t="shared" si="22"/>
        <v>0</v>
      </c>
      <c r="G67" s="104">
        <f t="shared" si="22"/>
        <v>0</v>
      </c>
      <c r="H67" s="104">
        <f t="shared" si="22"/>
        <v>0</v>
      </c>
      <c r="I67" s="104">
        <f t="shared" si="22"/>
        <v>0</v>
      </c>
      <c r="J67" s="104">
        <f t="shared" si="22"/>
        <v>0</v>
      </c>
      <c r="K67" s="104">
        <f t="shared" si="22"/>
        <v>0</v>
      </c>
      <c r="L67" s="104">
        <f t="shared" si="22"/>
        <v>0</v>
      </c>
      <c r="M67" s="104">
        <f t="shared" si="22"/>
        <v>0</v>
      </c>
      <c r="N67" s="104">
        <f t="shared" si="22"/>
        <v>0</v>
      </c>
      <c r="O67" s="104">
        <f t="shared" si="22"/>
        <v>0</v>
      </c>
      <c r="P67" s="104">
        <f t="shared" si="22"/>
        <v>0</v>
      </c>
      <c r="Q67" s="104">
        <f t="shared" si="22"/>
        <v>0</v>
      </c>
      <c r="R67" s="104">
        <f t="shared" si="22"/>
        <v>0</v>
      </c>
      <c r="S67" s="104">
        <f t="shared" si="22"/>
        <v>0</v>
      </c>
      <c r="T67" s="104">
        <f t="shared" si="22"/>
        <v>0</v>
      </c>
      <c r="U67" s="104">
        <f t="shared" si="22"/>
        <v>0</v>
      </c>
      <c r="V67" s="104">
        <f t="shared" si="22"/>
        <v>0</v>
      </c>
      <c r="W67" s="104">
        <f t="shared" si="22"/>
        <v>0</v>
      </c>
      <c r="X67" s="104">
        <f t="shared" si="22"/>
        <v>0</v>
      </c>
      <c r="Y67" s="104">
        <f t="shared" si="22"/>
        <v>0</v>
      </c>
      <c r="Z67" s="104">
        <f t="shared" si="22"/>
        <v>0</v>
      </c>
      <c r="AA67" s="104">
        <f t="shared" si="22"/>
        <v>0</v>
      </c>
      <c r="AB67" s="104">
        <f t="shared" si="22"/>
        <v>0</v>
      </c>
      <c r="AC67" s="104">
        <f t="shared" si="22"/>
        <v>0</v>
      </c>
      <c r="AD67" s="104">
        <f t="shared" si="22"/>
        <v>0</v>
      </c>
      <c r="AE67" s="104">
        <f t="shared" si="22"/>
        <v>0</v>
      </c>
      <c r="AF67" s="104">
        <f t="shared" si="22"/>
        <v>0</v>
      </c>
      <c r="AG67" s="104">
        <f t="shared" si="22"/>
        <v>0</v>
      </c>
      <c r="AH67" s="104">
        <f t="shared" si="22"/>
        <v>0</v>
      </c>
      <c r="AI67" s="104">
        <f t="shared" si="22"/>
        <v>0</v>
      </c>
      <c r="AJ67" s="104">
        <f t="shared" si="22"/>
        <v>0</v>
      </c>
      <c r="AK67" s="104">
        <f t="shared" si="22"/>
        <v>0</v>
      </c>
      <c r="AL67" s="104">
        <f t="shared" si="22"/>
        <v>0</v>
      </c>
      <c r="AM67" s="104">
        <f t="shared" si="22"/>
        <v>0</v>
      </c>
      <c r="AN67" s="104">
        <f t="shared" si="22"/>
        <v>0</v>
      </c>
    </row>
    <row r="68" spans="2:40">
      <c r="B68" s="96" t="s">
        <v>55</v>
      </c>
      <c r="C68" s="111">
        <v>50</v>
      </c>
      <c r="D68" s="97">
        <f t="shared" ref="D68:AN68" si="23">D35*$C68</f>
        <v>0</v>
      </c>
      <c r="E68" s="104">
        <f t="shared" si="23"/>
        <v>0</v>
      </c>
      <c r="F68" s="104">
        <f t="shared" si="23"/>
        <v>0</v>
      </c>
      <c r="G68" s="104">
        <f t="shared" si="23"/>
        <v>0</v>
      </c>
      <c r="H68" s="104">
        <f t="shared" si="23"/>
        <v>0</v>
      </c>
      <c r="I68" s="104">
        <f t="shared" si="23"/>
        <v>0</v>
      </c>
      <c r="J68" s="104">
        <f t="shared" si="23"/>
        <v>0</v>
      </c>
      <c r="K68" s="104">
        <f t="shared" si="23"/>
        <v>0</v>
      </c>
      <c r="L68" s="104">
        <f t="shared" si="23"/>
        <v>0</v>
      </c>
      <c r="M68" s="104">
        <f t="shared" si="23"/>
        <v>0</v>
      </c>
      <c r="N68" s="104">
        <f t="shared" si="23"/>
        <v>0</v>
      </c>
      <c r="O68" s="104">
        <f t="shared" si="23"/>
        <v>0</v>
      </c>
      <c r="P68" s="104">
        <f t="shared" si="23"/>
        <v>0</v>
      </c>
      <c r="Q68" s="104">
        <f t="shared" si="23"/>
        <v>0</v>
      </c>
      <c r="R68" s="104">
        <f t="shared" si="23"/>
        <v>0</v>
      </c>
      <c r="S68" s="104">
        <f t="shared" si="23"/>
        <v>0</v>
      </c>
      <c r="T68" s="104">
        <f t="shared" si="23"/>
        <v>0</v>
      </c>
      <c r="U68" s="104">
        <f t="shared" si="23"/>
        <v>0</v>
      </c>
      <c r="V68" s="104">
        <f t="shared" si="23"/>
        <v>0</v>
      </c>
      <c r="W68" s="104">
        <f t="shared" si="23"/>
        <v>0</v>
      </c>
      <c r="X68" s="104">
        <f t="shared" si="23"/>
        <v>0</v>
      </c>
      <c r="Y68" s="104">
        <f t="shared" si="23"/>
        <v>0</v>
      </c>
      <c r="Z68" s="104">
        <f t="shared" si="23"/>
        <v>0</v>
      </c>
      <c r="AA68" s="104">
        <f t="shared" si="23"/>
        <v>0</v>
      </c>
      <c r="AB68" s="104">
        <f t="shared" si="23"/>
        <v>0</v>
      </c>
      <c r="AC68" s="104">
        <f t="shared" si="23"/>
        <v>0</v>
      </c>
      <c r="AD68" s="104">
        <f t="shared" si="23"/>
        <v>0</v>
      </c>
      <c r="AE68" s="104">
        <f t="shared" si="23"/>
        <v>0</v>
      </c>
      <c r="AF68" s="104">
        <f t="shared" si="23"/>
        <v>0</v>
      </c>
      <c r="AG68" s="104">
        <f t="shared" si="23"/>
        <v>0</v>
      </c>
      <c r="AH68" s="104">
        <f t="shared" si="23"/>
        <v>0</v>
      </c>
      <c r="AI68" s="104">
        <f t="shared" si="23"/>
        <v>0</v>
      </c>
      <c r="AJ68" s="104">
        <f t="shared" si="23"/>
        <v>0</v>
      </c>
      <c r="AK68" s="104">
        <f t="shared" si="23"/>
        <v>0</v>
      </c>
      <c r="AL68" s="104">
        <f t="shared" si="23"/>
        <v>0</v>
      </c>
      <c r="AM68" s="104">
        <f t="shared" si="23"/>
        <v>0</v>
      </c>
      <c r="AN68" s="104">
        <f t="shared" si="23"/>
        <v>0</v>
      </c>
    </row>
    <row r="69" spans="2:40">
      <c r="B69" s="96" t="s">
        <v>56</v>
      </c>
      <c r="C69" s="111">
        <v>27.39</v>
      </c>
      <c r="D69" s="97">
        <f t="shared" ref="D69:AN69" si="24">D36*$C69</f>
        <v>0</v>
      </c>
      <c r="E69" s="104">
        <f t="shared" si="24"/>
        <v>0</v>
      </c>
      <c r="F69" s="104">
        <f t="shared" si="24"/>
        <v>0</v>
      </c>
      <c r="G69" s="104">
        <f t="shared" si="24"/>
        <v>0</v>
      </c>
      <c r="H69" s="104">
        <f t="shared" si="24"/>
        <v>0</v>
      </c>
      <c r="I69" s="104">
        <f t="shared" si="24"/>
        <v>0</v>
      </c>
      <c r="J69" s="104">
        <f t="shared" si="24"/>
        <v>0</v>
      </c>
      <c r="K69" s="104">
        <f t="shared" si="24"/>
        <v>0</v>
      </c>
      <c r="L69" s="104">
        <f t="shared" si="24"/>
        <v>0</v>
      </c>
      <c r="M69" s="104">
        <f t="shared" si="24"/>
        <v>0</v>
      </c>
      <c r="N69" s="104">
        <f t="shared" si="24"/>
        <v>0</v>
      </c>
      <c r="O69" s="104">
        <f t="shared" si="24"/>
        <v>0</v>
      </c>
      <c r="P69" s="104">
        <f t="shared" si="24"/>
        <v>0</v>
      </c>
      <c r="Q69" s="104">
        <f t="shared" si="24"/>
        <v>0</v>
      </c>
      <c r="R69" s="104">
        <f t="shared" si="24"/>
        <v>0</v>
      </c>
      <c r="S69" s="104">
        <f t="shared" si="24"/>
        <v>0</v>
      </c>
      <c r="T69" s="104">
        <f t="shared" si="24"/>
        <v>0</v>
      </c>
      <c r="U69" s="104">
        <f t="shared" si="24"/>
        <v>0</v>
      </c>
      <c r="V69" s="104">
        <f t="shared" si="24"/>
        <v>0</v>
      </c>
      <c r="W69" s="104">
        <f t="shared" si="24"/>
        <v>0</v>
      </c>
      <c r="X69" s="104">
        <f t="shared" si="24"/>
        <v>0</v>
      </c>
      <c r="Y69" s="104">
        <f t="shared" si="24"/>
        <v>0</v>
      </c>
      <c r="Z69" s="104">
        <f t="shared" si="24"/>
        <v>0</v>
      </c>
      <c r="AA69" s="104">
        <f t="shared" si="24"/>
        <v>0</v>
      </c>
      <c r="AB69" s="104">
        <f t="shared" si="24"/>
        <v>0</v>
      </c>
      <c r="AC69" s="104">
        <f t="shared" si="24"/>
        <v>0</v>
      </c>
      <c r="AD69" s="104">
        <f t="shared" si="24"/>
        <v>0</v>
      </c>
      <c r="AE69" s="104">
        <f t="shared" si="24"/>
        <v>0</v>
      </c>
      <c r="AF69" s="104">
        <f t="shared" si="24"/>
        <v>0</v>
      </c>
      <c r="AG69" s="104">
        <f t="shared" si="24"/>
        <v>0</v>
      </c>
      <c r="AH69" s="104">
        <f t="shared" si="24"/>
        <v>0</v>
      </c>
      <c r="AI69" s="104">
        <f t="shared" si="24"/>
        <v>0</v>
      </c>
      <c r="AJ69" s="104">
        <f t="shared" si="24"/>
        <v>0</v>
      </c>
      <c r="AK69" s="104">
        <f t="shared" si="24"/>
        <v>0</v>
      </c>
      <c r="AL69" s="104">
        <f t="shared" si="24"/>
        <v>0</v>
      </c>
      <c r="AM69" s="104">
        <f t="shared" si="24"/>
        <v>0</v>
      </c>
      <c r="AN69" s="104">
        <f t="shared" si="24"/>
        <v>0</v>
      </c>
    </row>
    <row r="70" spans="2:40">
      <c r="B70" s="96" t="s">
        <v>57</v>
      </c>
      <c r="C70" s="111">
        <v>20.399999999999999</v>
      </c>
      <c r="D70" s="97">
        <f t="shared" ref="D70:AN70" si="25">D37*$C70</f>
        <v>7201730.3999999994</v>
      </c>
      <c r="E70" s="104">
        <f t="shared" si="25"/>
        <v>0</v>
      </c>
      <c r="F70" s="104">
        <f t="shared" si="25"/>
        <v>0</v>
      </c>
      <c r="G70" s="104">
        <f t="shared" si="25"/>
        <v>26458.799999999999</v>
      </c>
      <c r="H70" s="104">
        <f t="shared" si="25"/>
        <v>287028</v>
      </c>
      <c r="I70" s="104">
        <f t="shared" si="25"/>
        <v>322585.19999999995</v>
      </c>
      <c r="J70" s="104">
        <f t="shared" si="25"/>
        <v>393271.19999999995</v>
      </c>
      <c r="K70" s="104">
        <f t="shared" si="25"/>
        <v>320443.19999999995</v>
      </c>
      <c r="L70" s="104">
        <f t="shared" si="25"/>
        <v>335008.8</v>
      </c>
      <c r="M70" s="104">
        <f t="shared" si="25"/>
        <v>287028</v>
      </c>
      <c r="N70" s="104">
        <f t="shared" si="25"/>
        <v>319586.39999999997</v>
      </c>
      <c r="O70" s="104">
        <f t="shared" si="25"/>
        <v>427543.19999999995</v>
      </c>
      <c r="P70" s="104">
        <f t="shared" si="25"/>
        <v>347432.39999999997</v>
      </c>
      <c r="Q70" s="104">
        <f t="shared" si="25"/>
        <v>288313.19999999995</v>
      </c>
      <c r="R70" s="104">
        <f t="shared" si="25"/>
        <v>284886</v>
      </c>
      <c r="S70" s="104">
        <f t="shared" si="25"/>
        <v>225338.4</v>
      </c>
      <c r="T70" s="104">
        <f t="shared" si="25"/>
        <v>145656</v>
      </c>
      <c r="U70" s="104">
        <f t="shared" si="25"/>
        <v>236048.4</v>
      </c>
      <c r="V70" s="104">
        <f t="shared" si="25"/>
        <v>230907.59999999998</v>
      </c>
      <c r="W70" s="104">
        <f t="shared" si="25"/>
        <v>132804</v>
      </c>
      <c r="X70" s="104">
        <f t="shared" si="25"/>
        <v>114811.2</v>
      </c>
      <c r="Y70" s="104">
        <f t="shared" si="25"/>
        <v>183355.19999999998</v>
      </c>
      <c r="Z70" s="104">
        <f t="shared" si="25"/>
        <v>129376.79999999999</v>
      </c>
      <c r="AA70" s="104">
        <f t="shared" si="25"/>
        <v>187210.8</v>
      </c>
      <c r="AB70" s="104">
        <f t="shared" si="25"/>
        <v>434397.6</v>
      </c>
      <c r="AC70" s="104">
        <f t="shared" si="25"/>
        <v>236905.19999999998</v>
      </c>
      <c r="AD70" s="104">
        <f t="shared" si="25"/>
        <v>181213.19999999998</v>
      </c>
      <c r="AE70" s="104">
        <f t="shared" si="25"/>
        <v>197492.4</v>
      </c>
      <c r="AF70" s="104">
        <f t="shared" si="25"/>
        <v>172645.19999999998</v>
      </c>
      <c r="AG70" s="104">
        <f t="shared" si="25"/>
        <v>51408</v>
      </c>
      <c r="AH70" s="104">
        <f t="shared" si="25"/>
        <v>179928</v>
      </c>
      <c r="AI70" s="104">
        <f t="shared" si="25"/>
        <v>119095.2</v>
      </c>
      <c r="AJ70" s="104">
        <f t="shared" si="25"/>
        <v>184212</v>
      </c>
      <c r="AK70" s="104">
        <f t="shared" si="25"/>
        <v>219340.79999999999</v>
      </c>
      <c r="AL70" s="104">
        <f t="shared" si="25"/>
        <v>0</v>
      </c>
      <c r="AM70" s="104">
        <f t="shared" si="25"/>
        <v>0</v>
      </c>
      <c r="AN70" s="104">
        <f t="shared" si="25"/>
        <v>0</v>
      </c>
    </row>
    <row r="71" spans="2:40">
      <c r="B71" s="96" t="s">
        <v>58</v>
      </c>
      <c r="C71" s="111">
        <f>+C121</f>
        <v>40.218784261176758</v>
      </c>
      <c r="D71" s="97">
        <f t="shared" ref="D71:AN71" si="26">D38*$C71</f>
        <v>8714043.1107321233</v>
      </c>
      <c r="E71" s="104">
        <f t="shared" si="26"/>
        <v>0</v>
      </c>
      <c r="F71" s="104">
        <f t="shared" si="26"/>
        <v>0</v>
      </c>
      <c r="G71" s="104">
        <f t="shared" si="26"/>
        <v>164695.92154951883</v>
      </c>
      <c r="H71" s="104">
        <f t="shared" si="26"/>
        <v>386381.86039712513</v>
      </c>
      <c r="I71" s="104">
        <f t="shared" si="26"/>
        <v>350345.82969911076</v>
      </c>
      <c r="J71" s="104">
        <f t="shared" si="26"/>
        <v>332850.65854549885</v>
      </c>
      <c r="K71" s="104">
        <f t="shared" si="26"/>
        <v>406692.34644901939</v>
      </c>
      <c r="L71" s="104">
        <f t="shared" si="26"/>
        <v>432191.05567060545</v>
      </c>
      <c r="M71" s="104">
        <f t="shared" si="26"/>
        <v>141369.02667803632</v>
      </c>
      <c r="N71" s="104">
        <f t="shared" si="26"/>
        <v>431467.11755390425</v>
      </c>
      <c r="O71" s="104">
        <f t="shared" si="26"/>
        <v>302565.91399683274</v>
      </c>
      <c r="P71" s="104">
        <f t="shared" si="26"/>
        <v>316883.8011938117</v>
      </c>
      <c r="Q71" s="104">
        <f t="shared" si="26"/>
        <v>354970.98988914606</v>
      </c>
      <c r="R71" s="104">
        <f t="shared" si="26"/>
        <v>384129.60847849923</v>
      </c>
      <c r="S71" s="104">
        <f t="shared" si="26"/>
        <v>304375.75928858569</v>
      </c>
      <c r="T71" s="104">
        <f t="shared" si="26"/>
        <v>295970.03337799979</v>
      </c>
      <c r="U71" s="104">
        <f t="shared" si="26"/>
        <v>408260.87903520529</v>
      </c>
      <c r="V71" s="104">
        <f t="shared" si="26"/>
        <v>370254.12790839322</v>
      </c>
      <c r="W71" s="104">
        <f t="shared" si="26"/>
        <v>303370.28968205629</v>
      </c>
      <c r="X71" s="104">
        <f t="shared" si="26"/>
        <v>202421.14118650262</v>
      </c>
      <c r="Y71" s="104">
        <f t="shared" si="26"/>
        <v>136301.45986112804</v>
      </c>
      <c r="Z71" s="104">
        <f t="shared" si="26"/>
        <v>182995.46838835426</v>
      </c>
      <c r="AA71" s="104">
        <f t="shared" si="26"/>
        <v>173906.0231453283</v>
      </c>
      <c r="AB71" s="104">
        <f t="shared" si="26"/>
        <v>174750.617614813</v>
      </c>
      <c r="AC71" s="104">
        <f t="shared" si="26"/>
        <v>340854.196613473</v>
      </c>
      <c r="AD71" s="104">
        <f t="shared" si="26"/>
        <v>279078.14398830553</v>
      </c>
      <c r="AE71" s="104">
        <f t="shared" si="26"/>
        <v>216658.5908149592</v>
      </c>
      <c r="AF71" s="104">
        <f t="shared" si="26"/>
        <v>379705.54220976977</v>
      </c>
      <c r="AG71" s="104">
        <f t="shared" si="26"/>
        <v>176841.99439639421</v>
      </c>
      <c r="AH71" s="104">
        <f t="shared" si="26"/>
        <v>212113.86819344622</v>
      </c>
      <c r="AI71" s="104">
        <f t="shared" si="26"/>
        <v>202702.67267633087</v>
      </c>
      <c r="AJ71" s="104">
        <f t="shared" si="26"/>
        <v>118001.9130222926</v>
      </c>
      <c r="AK71" s="104">
        <f t="shared" si="26"/>
        <v>230936.25922767696</v>
      </c>
      <c r="AL71" s="104">
        <f t="shared" si="26"/>
        <v>0</v>
      </c>
      <c r="AM71" s="104">
        <f t="shared" si="26"/>
        <v>0</v>
      </c>
      <c r="AN71" s="104">
        <f t="shared" si="26"/>
        <v>0</v>
      </c>
    </row>
    <row r="72" spans="2:40">
      <c r="B72" s="96" t="s">
        <v>59</v>
      </c>
      <c r="C72" s="112">
        <v>8</v>
      </c>
      <c r="D72" s="97">
        <f t="shared" ref="D72:AN72" si="27">D39*$C72</f>
        <v>0</v>
      </c>
      <c r="E72" s="104">
        <f t="shared" si="27"/>
        <v>0</v>
      </c>
      <c r="F72" s="104">
        <f t="shared" si="27"/>
        <v>0</v>
      </c>
      <c r="G72" s="104">
        <f t="shared" si="27"/>
        <v>0</v>
      </c>
      <c r="H72" s="104">
        <f t="shared" si="27"/>
        <v>0</v>
      </c>
      <c r="I72" s="104">
        <f t="shared" si="27"/>
        <v>0</v>
      </c>
      <c r="J72" s="104">
        <f t="shared" si="27"/>
        <v>0</v>
      </c>
      <c r="K72" s="104">
        <f t="shared" si="27"/>
        <v>0</v>
      </c>
      <c r="L72" s="104">
        <f t="shared" si="27"/>
        <v>0</v>
      </c>
      <c r="M72" s="104">
        <f t="shared" si="27"/>
        <v>0</v>
      </c>
      <c r="N72" s="104">
        <f t="shared" si="27"/>
        <v>0</v>
      </c>
      <c r="O72" s="104">
        <f t="shared" si="27"/>
        <v>0</v>
      </c>
      <c r="P72" s="104">
        <f t="shared" si="27"/>
        <v>0</v>
      </c>
      <c r="Q72" s="104">
        <f t="shared" si="27"/>
        <v>0</v>
      </c>
      <c r="R72" s="104">
        <f t="shared" si="27"/>
        <v>0</v>
      </c>
      <c r="S72" s="104">
        <f t="shared" si="27"/>
        <v>0</v>
      </c>
      <c r="T72" s="104">
        <f t="shared" si="27"/>
        <v>0</v>
      </c>
      <c r="U72" s="104">
        <f t="shared" si="27"/>
        <v>0</v>
      </c>
      <c r="V72" s="104">
        <f t="shared" si="27"/>
        <v>0</v>
      </c>
      <c r="W72" s="104">
        <f t="shared" si="27"/>
        <v>0</v>
      </c>
      <c r="X72" s="104">
        <f t="shared" si="27"/>
        <v>0</v>
      </c>
      <c r="Y72" s="104">
        <f t="shared" si="27"/>
        <v>0</v>
      </c>
      <c r="Z72" s="104">
        <f t="shared" si="27"/>
        <v>0</v>
      </c>
      <c r="AA72" s="104">
        <f t="shared" si="27"/>
        <v>0</v>
      </c>
      <c r="AB72" s="104">
        <f t="shared" si="27"/>
        <v>0</v>
      </c>
      <c r="AC72" s="104">
        <f t="shared" si="27"/>
        <v>0</v>
      </c>
      <c r="AD72" s="104">
        <f t="shared" si="27"/>
        <v>0</v>
      </c>
      <c r="AE72" s="104">
        <f t="shared" si="27"/>
        <v>0</v>
      </c>
      <c r="AF72" s="104">
        <f t="shared" si="27"/>
        <v>0</v>
      </c>
      <c r="AG72" s="104">
        <f t="shared" si="27"/>
        <v>0</v>
      </c>
      <c r="AH72" s="104">
        <f t="shared" si="27"/>
        <v>0</v>
      </c>
      <c r="AI72" s="104">
        <f t="shared" si="27"/>
        <v>0</v>
      </c>
      <c r="AJ72" s="104">
        <f t="shared" si="27"/>
        <v>0</v>
      </c>
      <c r="AK72" s="104">
        <f t="shared" si="27"/>
        <v>0</v>
      </c>
      <c r="AL72" s="104">
        <f t="shared" si="27"/>
        <v>0</v>
      </c>
      <c r="AM72" s="104">
        <f t="shared" si="27"/>
        <v>0</v>
      </c>
      <c r="AN72" s="104">
        <f t="shared" si="27"/>
        <v>0</v>
      </c>
    </row>
    <row r="73" spans="2:40">
      <c r="B73" s="35" t="s">
        <v>85</v>
      </c>
      <c r="C73" s="263">
        <v>3.2</v>
      </c>
      <c r="D73" s="264">
        <f>D51*$C73</f>
        <v>0</v>
      </c>
      <c r="E73" s="107">
        <f>+$C$73*E51</f>
        <v>0</v>
      </c>
      <c r="F73" s="107">
        <f>+$C$73*F51</f>
        <v>0</v>
      </c>
      <c r="G73" s="107">
        <f t="shared" ref="G73:AL73" si="28">+$C$73*G51</f>
        <v>0</v>
      </c>
      <c r="H73" s="107">
        <f t="shared" si="28"/>
        <v>0</v>
      </c>
      <c r="I73" s="107">
        <f t="shared" si="28"/>
        <v>0</v>
      </c>
      <c r="J73" s="107">
        <f t="shared" si="28"/>
        <v>0</v>
      </c>
      <c r="K73" s="107">
        <f t="shared" si="28"/>
        <v>0</v>
      </c>
      <c r="L73" s="107">
        <f t="shared" si="28"/>
        <v>0</v>
      </c>
      <c r="M73" s="107">
        <f t="shared" si="28"/>
        <v>0</v>
      </c>
      <c r="N73" s="107">
        <f t="shared" si="28"/>
        <v>0</v>
      </c>
      <c r="O73" s="107">
        <f t="shared" si="28"/>
        <v>0</v>
      </c>
      <c r="P73" s="107">
        <f t="shared" si="28"/>
        <v>0</v>
      </c>
      <c r="Q73" s="107">
        <f t="shared" si="28"/>
        <v>0</v>
      </c>
      <c r="R73" s="107">
        <f t="shared" si="28"/>
        <v>0</v>
      </c>
      <c r="S73" s="107">
        <f t="shared" si="28"/>
        <v>0</v>
      </c>
      <c r="T73" s="107">
        <f t="shared" si="28"/>
        <v>0</v>
      </c>
      <c r="U73" s="107">
        <f t="shared" si="28"/>
        <v>0</v>
      </c>
      <c r="V73" s="107">
        <f t="shared" si="28"/>
        <v>0</v>
      </c>
      <c r="W73" s="107">
        <f t="shared" si="28"/>
        <v>0</v>
      </c>
      <c r="X73" s="107">
        <f t="shared" si="28"/>
        <v>0</v>
      </c>
      <c r="Y73" s="107">
        <f t="shared" si="28"/>
        <v>0</v>
      </c>
      <c r="Z73" s="107">
        <f t="shared" si="28"/>
        <v>0</v>
      </c>
      <c r="AA73" s="107">
        <f t="shared" si="28"/>
        <v>0</v>
      </c>
      <c r="AB73" s="107">
        <f t="shared" si="28"/>
        <v>0</v>
      </c>
      <c r="AC73" s="107">
        <f t="shared" si="28"/>
        <v>0</v>
      </c>
      <c r="AD73" s="107">
        <f t="shared" si="28"/>
        <v>0</v>
      </c>
      <c r="AE73" s="107">
        <f t="shared" si="28"/>
        <v>0</v>
      </c>
      <c r="AF73" s="107">
        <f t="shared" si="28"/>
        <v>0</v>
      </c>
      <c r="AG73" s="107">
        <f t="shared" si="28"/>
        <v>0</v>
      </c>
      <c r="AH73" s="107">
        <f t="shared" si="28"/>
        <v>0</v>
      </c>
      <c r="AI73" s="107">
        <f t="shared" si="28"/>
        <v>0</v>
      </c>
      <c r="AJ73" s="107">
        <f t="shared" si="28"/>
        <v>0</v>
      </c>
      <c r="AK73" s="107">
        <f t="shared" si="28"/>
        <v>0</v>
      </c>
      <c r="AL73" s="107">
        <f t="shared" si="28"/>
        <v>0</v>
      </c>
      <c r="AM73" s="107">
        <f t="shared" ref="AM73:AN73" si="29">+$C$73*AM51</f>
        <v>0</v>
      </c>
      <c r="AN73" s="107">
        <f t="shared" si="29"/>
        <v>0</v>
      </c>
    </row>
    <row r="74" spans="2:40" ht="15.75">
      <c r="B74" s="277" t="s">
        <v>339</v>
      </c>
      <c r="C74" s="278">
        <f>+D60/D27</f>
        <v>27.937505723675464</v>
      </c>
      <c r="D74" s="275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</row>
    <row r="76" spans="2:40">
      <c r="B76" s="318" t="s">
        <v>86</v>
      </c>
      <c r="C76" s="319"/>
      <c r="D76" s="108">
        <f>AVERAGEIF(E60:N60, "&gt;0")</f>
        <v>617175.42706785235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2:40">
      <c r="C77" t="s">
        <v>344</v>
      </c>
    </row>
    <row r="78" spans="2:40">
      <c r="B78" s="12" t="s">
        <v>87</v>
      </c>
      <c r="C78" s="13">
        <v>0.31</v>
      </c>
      <c r="D78" s="231">
        <f>SUM(E78:AN78)</f>
        <v>4933889.7883269591</v>
      </c>
      <c r="E78" s="171">
        <f>E60*$C$78</f>
        <v>0</v>
      </c>
      <c r="F78" s="14">
        <f>F60*$C$78</f>
        <v>0</v>
      </c>
      <c r="G78" s="14">
        <f>G60*$C$78</f>
        <v>59257.963680350833</v>
      </c>
      <c r="H78" s="14">
        <f t="shared" ref="H78:AL78" si="30">H60*$C$78</f>
        <v>208757.05672310878</v>
      </c>
      <c r="I78" s="14">
        <f t="shared" si="30"/>
        <v>208608.61920672431</v>
      </c>
      <c r="J78" s="14">
        <f t="shared" si="30"/>
        <v>225097.77614910464</v>
      </c>
      <c r="K78" s="14">
        <f t="shared" si="30"/>
        <v>225412.019399196</v>
      </c>
      <c r="L78" s="14">
        <f t="shared" si="30"/>
        <v>237831.95525788769</v>
      </c>
      <c r="M78" s="14">
        <f t="shared" si="30"/>
        <v>132803.07827019127</v>
      </c>
      <c r="N78" s="14">
        <f t="shared" si="30"/>
        <v>232826.59044171032</v>
      </c>
      <c r="O78" s="14">
        <f t="shared" si="30"/>
        <v>226333.82533901811</v>
      </c>
      <c r="P78" s="14">
        <f t="shared" si="30"/>
        <v>205938.0223700816</v>
      </c>
      <c r="Q78" s="14">
        <f t="shared" si="30"/>
        <v>199418.09886563526</v>
      </c>
      <c r="R78" s="14">
        <f t="shared" si="30"/>
        <v>207394.83862833475</v>
      </c>
      <c r="S78" s="14">
        <f t="shared" si="30"/>
        <v>164211.38937946156</v>
      </c>
      <c r="T78" s="14">
        <f t="shared" si="30"/>
        <v>136904.07034717992</v>
      </c>
      <c r="U78" s="14">
        <f t="shared" si="30"/>
        <v>199735.87650091364</v>
      </c>
      <c r="V78" s="14">
        <f t="shared" si="30"/>
        <v>186360.13565160186</v>
      </c>
      <c r="W78" s="14">
        <f t="shared" si="30"/>
        <v>135214.02980143746</v>
      </c>
      <c r="X78" s="14">
        <f t="shared" si="30"/>
        <v>98342.025767815809</v>
      </c>
      <c r="Y78" s="14">
        <f t="shared" si="30"/>
        <v>99093.564556949685</v>
      </c>
      <c r="Z78" s="14">
        <f t="shared" si="30"/>
        <v>96835.403200389803</v>
      </c>
      <c r="AA78" s="14">
        <f t="shared" si="30"/>
        <v>111946.21517505178</v>
      </c>
      <c r="AB78" s="14">
        <f t="shared" si="30"/>
        <v>188835.94746059203</v>
      </c>
      <c r="AC78" s="14">
        <f t="shared" si="30"/>
        <v>179105.41295017663</v>
      </c>
      <c r="AD78" s="14">
        <f t="shared" si="30"/>
        <v>142690.31663637472</v>
      </c>
      <c r="AE78" s="14">
        <f t="shared" si="30"/>
        <v>128386.80715263734</v>
      </c>
      <c r="AF78" s="14">
        <f t="shared" si="30"/>
        <v>171228.73008502863</v>
      </c>
      <c r="AG78" s="14">
        <f t="shared" si="30"/>
        <v>70757.498262882204</v>
      </c>
      <c r="AH78" s="14">
        <f t="shared" si="30"/>
        <v>121532.97913996832</v>
      </c>
      <c r="AI78" s="14">
        <f t="shared" si="30"/>
        <v>99757.340529662557</v>
      </c>
      <c r="AJ78" s="14">
        <f t="shared" si="30"/>
        <v>93686.313036910709</v>
      </c>
      <c r="AK78" s="14">
        <f t="shared" si="30"/>
        <v>139585.88836057985</v>
      </c>
      <c r="AL78" s="14">
        <f t="shared" si="30"/>
        <v>0</v>
      </c>
      <c r="AM78" s="14">
        <f t="shared" ref="AM78:AN78" si="31">AM60*$C$78</f>
        <v>0</v>
      </c>
      <c r="AN78" s="14">
        <f t="shared" si="31"/>
        <v>0</v>
      </c>
    </row>
    <row r="79" spans="2:40">
      <c r="B79" s="16" t="s">
        <v>88</v>
      </c>
      <c r="C79" s="17">
        <f>1728116/61</f>
        <v>28329.77049180328</v>
      </c>
      <c r="D79" s="232">
        <f>SUM(E79:AN79)</f>
        <v>1019871.7377049185</v>
      </c>
      <c r="E79" s="172">
        <f t="shared" ref="E79:AN79" si="32">$C$79</f>
        <v>28329.77049180328</v>
      </c>
      <c r="F79" s="18">
        <f t="shared" si="32"/>
        <v>28329.77049180328</v>
      </c>
      <c r="G79" s="18">
        <f t="shared" si="32"/>
        <v>28329.77049180328</v>
      </c>
      <c r="H79" s="18">
        <f t="shared" si="32"/>
        <v>28329.77049180328</v>
      </c>
      <c r="I79" s="18">
        <f t="shared" si="32"/>
        <v>28329.77049180328</v>
      </c>
      <c r="J79" s="18">
        <f t="shared" si="32"/>
        <v>28329.77049180328</v>
      </c>
      <c r="K79" s="18">
        <f t="shared" si="32"/>
        <v>28329.77049180328</v>
      </c>
      <c r="L79" s="18">
        <f t="shared" si="32"/>
        <v>28329.77049180328</v>
      </c>
      <c r="M79" s="18">
        <f t="shared" si="32"/>
        <v>28329.77049180328</v>
      </c>
      <c r="N79" s="18">
        <f t="shared" si="32"/>
        <v>28329.77049180328</v>
      </c>
      <c r="O79" s="18">
        <f t="shared" si="32"/>
        <v>28329.77049180328</v>
      </c>
      <c r="P79" s="18">
        <f t="shared" si="32"/>
        <v>28329.77049180328</v>
      </c>
      <c r="Q79" s="18">
        <f t="shared" si="32"/>
        <v>28329.77049180328</v>
      </c>
      <c r="R79" s="18">
        <f t="shared" si="32"/>
        <v>28329.77049180328</v>
      </c>
      <c r="S79" s="18">
        <f t="shared" si="32"/>
        <v>28329.77049180328</v>
      </c>
      <c r="T79" s="18">
        <f t="shared" si="32"/>
        <v>28329.77049180328</v>
      </c>
      <c r="U79" s="18">
        <f t="shared" si="32"/>
        <v>28329.77049180328</v>
      </c>
      <c r="V79" s="18">
        <f t="shared" si="32"/>
        <v>28329.77049180328</v>
      </c>
      <c r="W79" s="18">
        <f t="shared" si="32"/>
        <v>28329.77049180328</v>
      </c>
      <c r="X79" s="18">
        <f t="shared" si="32"/>
        <v>28329.77049180328</v>
      </c>
      <c r="Y79" s="18">
        <f t="shared" si="32"/>
        <v>28329.77049180328</v>
      </c>
      <c r="Z79" s="18">
        <f t="shared" si="32"/>
        <v>28329.77049180328</v>
      </c>
      <c r="AA79" s="18">
        <f t="shared" si="32"/>
        <v>28329.77049180328</v>
      </c>
      <c r="AB79" s="18">
        <f t="shared" si="32"/>
        <v>28329.77049180328</v>
      </c>
      <c r="AC79" s="18">
        <f t="shared" si="32"/>
        <v>28329.77049180328</v>
      </c>
      <c r="AD79" s="18">
        <f t="shared" si="32"/>
        <v>28329.77049180328</v>
      </c>
      <c r="AE79" s="18">
        <f t="shared" si="32"/>
        <v>28329.77049180328</v>
      </c>
      <c r="AF79" s="18">
        <f t="shared" si="32"/>
        <v>28329.77049180328</v>
      </c>
      <c r="AG79" s="18">
        <f t="shared" si="32"/>
        <v>28329.77049180328</v>
      </c>
      <c r="AH79" s="18">
        <f t="shared" si="32"/>
        <v>28329.77049180328</v>
      </c>
      <c r="AI79" s="18">
        <f t="shared" si="32"/>
        <v>28329.77049180328</v>
      </c>
      <c r="AJ79" s="18">
        <f t="shared" si="32"/>
        <v>28329.77049180328</v>
      </c>
      <c r="AK79" s="18">
        <f t="shared" si="32"/>
        <v>28329.77049180328</v>
      </c>
      <c r="AL79" s="18">
        <f t="shared" si="32"/>
        <v>28329.77049180328</v>
      </c>
      <c r="AM79" s="18">
        <f t="shared" si="32"/>
        <v>28329.77049180328</v>
      </c>
      <c r="AN79" s="18">
        <f t="shared" si="32"/>
        <v>28329.77049180328</v>
      </c>
    </row>
    <row r="80" spans="2:40">
      <c r="B80" s="16" t="s">
        <v>89</v>
      </c>
      <c r="C80" s="17">
        <f>1857304/61</f>
        <v>30447.60655737705</v>
      </c>
      <c r="D80" s="232">
        <f>SUM(E80:AN80)</f>
        <v>1096113.8360655736</v>
      </c>
      <c r="E80" s="172">
        <f t="shared" ref="E80:AN80" si="33">$C$80</f>
        <v>30447.60655737705</v>
      </c>
      <c r="F80" s="18">
        <f t="shared" si="33"/>
        <v>30447.60655737705</v>
      </c>
      <c r="G80" s="18">
        <f t="shared" si="33"/>
        <v>30447.60655737705</v>
      </c>
      <c r="H80" s="18">
        <f t="shared" si="33"/>
        <v>30447.60655737705</v>
      </c>
      <c r="I80" s="18">
        <f t="shared" si="33"/>
        <v>30447.60655737705</v>
      </c>
      <c r="J80" s="18">
        <f t="shared" si="33"/>
        <v>30447.60655737705</v>
      </c>
      <c r="K80" s="18">
        <f t="shared" si="33"/>
        <v>30447.60655737705</v>
      </c>
      <c r="L80" s="18">
        <f t="shared" si="33"/>
        <v>30447.60655737705</v>
      </c>
      <c r="M80" s="18">
        <f t="shared" si="33"/>
        <v>30447.60655737705</v>
      </c>
      <c r="N80" s="18">
        <f t="shared" si="33"/>
        <v>30447.60655737705</v>
      </c>
      <c r="O80" s="18">
        <f t="shared" si="33"/>
        <v>30447.60655737705</v>
      </c>
      <c r="P80" s="18">
        <f t="shared" si="33"/>
        <v>30447.60655737705</v>
      </c>
      <c r="Q80" s="18">
        <f t="shared" si="33"/>
        <v>30447.60655737705</v>
      </c>
      <c r="R80" s="18">
        <f t="shared" si="33"/>
        <v>30447.60655737705</v>
      </c>
      <c r="S80" s="18">
        <f t="shared" si="33"/>
        <v>30447.60655737705</v>
      </c>
      <c r="T80" s="18">
        <f t="shared" si="33"/>
        <v>30447.60655737705</v>
      </c>
      <c r="U80" s="18">
        <f t="shared" si="33"/>
        <v>30447.60655737705</v>
      </c>
      <c r="V80" s="18">
        <f t="shared" si="33"/>
        <v>30447.60655737705</v>
      </c>
      <c r="W80" s="18">
        <f t="shared" si="33"/>
        <v>30447.60655737705</v>
      </c>
      <c r="X80" s="18">
        <f t="shared" si="33"/>
        <v>30447.60655737705</v>
      </c>
      <c r="Y80" s="18">
        <f t="shared" si="33"/>
        <v>30447.60655737705</v>
      </c>
      <c r="Z80" s="18">
        <f t="shared" si="33"/>
        <v>30447.60655737705</v>
      </c>
      <c r="AA80" s="18">
        <f t="shared" si="33"/>
        <v>30447.60655737705</v>
      </c>
      <c r="AB80" s="18">
        <f t="shared" si="33"/>
        <v>30447.60655737705</v>
      </c>
      <c r="AC80" s="18">
        <f t="shared" si="33"/>
        <v>30447.60655737705</v>
      </c>
      <c r="AD80" s="18">
        <f t="shared" si="33"/>
        <v>30447.60655737705</v>
      </c>
      <c r="AE80" s="18">
        <f t="shared" si="33"/>
        <v>30447.60655737705</v>
      </c>
      <c r="AF80" s="18">
        <f t="shared" si="33"/>
        <v>30447.60655737705</v>
      </c>
      <c r="AG80" s="18">
        <f t="shared" si="33"/>
        <v>30447.60655737705</v>
      </c>
      <c r="AH80" s="18">
        <f t="shared" si="33"/>
        <v>30447.60655737705</v>
      </c>
      <c r="AI80" s="18">
        <f t="shared" si="33"/>
        <v>30447.60655737705</v>
      </c>
      <c r="AJ80" s="18">
        <f t="shared" si="33"/>
        <v>30447.60655737705</v>
      </c>
      <c r="AK80" s="18">
        <f t="shared" si="33"/>
        <v>30447.60655737705</v>
      </c>
      <c r="AL80" s="18">
        <f t="shared" si="33"/>
        <v>30447.60655737705</v>
      </c>
      <c r="AM80" s="18">
        <f t="shared" si="33"/>
        <v>30447.60655737705</v>
      </c>
      <c r="AN80" s="18">
        <f t="shared" si="33"/>
        <v>30447.60655737705</v>
      </c>
    </row>
    <row r="81" spans="2:40">
      <c r="B81" s="20" t="s">
        <v>90</v>
      </c>
      <c r="C81" s="21">
        <v>9.67</v>
      </c>
      <c r="D81" s="233">
        <f>SUM(E81:AN81)</f>
        <v>5250810</v>
      </c>
      <c r="E81" s="173">
        <f t="shared" ref="E81:AL81" si="34">$C$81*E42</f>
        <v>29010</v>
      </c>
      <c r="F81" s="23">
        <f t="shared" si="34"/>
        <v>145050</v>
      </c>
      <c r="G81" s="23">
        <f t="shared" si="34"/>
        <v>145050</v>
      </c>
      <c r="H81" s="23">
        <f t="shared" si="34"/>
        <v>154720</v>
      </c>
      <c r="I81" s="23">
        <f t="shared" si="34"/>
        <v>164390</v>
      </c>
      <c r="J81" s="23">
        <f t="shared" si="34"/>
        <v>145050</v>
      </c>
      <c r="K81" s="23">
        <f t="shared" si="34"/>
        <v>154720</v>
      </c>
      <c r="L81" s="23">
        <f t="shared" si="34"/>
        <v>154720</v>
      </c>
      <c r="M81" s="23">
        <f t="shared" si="34"/>
        <v>174060</v>
      </c>
      <c r="N81" s="23">
        <f t="shared" si="34"/>
        <v>154720</v>
      </c>
      <c r="O81" s="23">
        <f t="shared" si="34"/>
        <v>164390</v>
      </c>
      <c r="P81" s="23">
        <f t="shared" si="34"/>
        <v>164390</v>
      </c>
      <c r="Q81" s="23">
        <f t="shared" si="34"/>
        <v>154720</v>
      </c>
      <c r="R81" s="23">
        <f t="shared" si="34"/>
        <v>145050</v>
      </c>
      <c r="S81" s="23">
        <f t="shared" si="34"/>
        <v>145050</v>
      </c>
      <c r="T81" s="23">
        <f t="shared" si="34"/>
        <v>125710</v>
      </c>
      <c r="U81" s="23">
        <f t="shared" si="34"/>
        <v>154720</v>
      </c>
      <c r="V81" s="23">
        <f t="shared" si="34"/>
        <v>164390</v>
      </c>
      <c r="W81" s="23">
        <f t="shared" si="34"/>
        <v>154720</v>
      </c>
      <c r="X81" s="23">
        <f t="shared" si="34"/>
        <v>154720</v>
      </c>
      <c r="Y81" s="23">
        <f t="shared" si="34"/>
        <v>174060</v>
      </c>
      <c r="Z81" s="23">
        <f t="shared" si="34"/>
        <v>154720</v>
      </c>
      <c r="AA81" s="23">
        <f t="shared" si="34"/>
        <v>135380</v>
      </c>
      <c r="AB81" s="23">
        <f t="shared" si="34"/>
        <v>145050</v>
      </c>
      <c r="AC81" s="23">
        <f t="shared" si="34"/>
        <v>154720</v>
      </c>
      <c r="AD81" s="23">
        <f t="shared" si="34"/>
        <v>154720</v>
      </c>
      <c r="AE81" s="23">
        <f t="shared" si="34"/>
        <v>145050</v>
      </c>
      <c r="AF81" s="23">
        <f t="shared" si="34"/>
        <v>154720</v>
      </c>
      <c r="AG81" s="23">
        <f t="shared" si="34"/>
        <v>145050</v>
      </c>
      <c r="AH81" s="23">
        <f t="shared" si="34"/>
        <v>154720</v>
      </c>
      <c r="AI81" s="23">
        <f t="shared" si="34"/>
        <v>154720</v>
      </c>
      <c r="AJ81" s="23">
        <f t="shared" si="34"/>
        <v>164390</v>
      </c>
      <c r="AK81" s="23">
        <f t="shared" si="34"/>
        <v>154720</v>
      </c>
      <c r="AL81" s="23">
        <f t="shared" si="34"/>
        <v>164390</v>
      </c>
      <c r="AM81" s="23">
        <f t="shared" ref="AM81:AN81" si="35">$C$81*AM42</f>
        <v>145050</v>
      </c>
      <c r="AN81" s="23">
        <f t="shared" si="35"/>
        <v>0</v>
      </c>
    </row>
    <row r="82" spans="2:40">
      <c r="B82" s="24" t="s">
        <v>91</v>
      </c>
      <c r="C82" s="25">
        <f>SUM(E82:AN82)</f>
        <v>3615088.1486346736</v>
      </c>
      <c r="D82" s="174">
        <f>D60-D78-D79-D80-D81</f>
        <v>3615088.1486346703</v>
      </c>
      <c r="E82" s="26">
        <f t="shared" ref="E82:AL82" si="36">E60-E78-E79-E80-E81</f>
        <v>-87787.37704918033</v>
      </c>
      <c r="F82" s="26">
        <f t="shared" si="36"/>
        <v>-203827.37704918033</v>
      </c>
      <c r="G82" s="26">
        <f>G60-G78-G79-G80-G81</f>
        <v>-71930.619180012349</v>
      </c>
      <c r="H82" s="26">
        <f>H60-H78-H79-H80-H81</f>
        <v>251155.42662483605</v>
      </c>
      <c r="I82" s="26">
        <f t="shared" si="36"/>
        <v>241155.03344320599</v>
      </c>
      <c r="J82" s="26">
        <f t="shared" si="36"/>
        <v>297196.70534721384</v>
      </c>
      <c r="K82" s="27">
        <f t="shared" si="36"/>
        <v>288226.15000064299</v>
      </c>
      <c r="L82" s="26">
        <f t="shared" si="36"/>
        <v>315870.52336353739</v>
      </c>
      <c r="M82" s="27">
        <f t="shared" si="36"/>
        <v>62756.571358664689</v>
      </c>
      <c r="N82" s="26">
        <f t="shared" si="36"/>
        <v>304729.55006301356</v>
      </c>
      <c r="O82" s="26">
        <f t="shared" si="36"/>
        <v>280607.91160863417</v>
      </c>
      <c r="P82" s="26">
        <f t="shared" si="36"/>
        <v>235210.80177454965</v>
      </c>
      <c r="Q82" s="26">
        <f t="shared" si="36"/>
        <v>230368.71397433046</v>
      </c>
      <c r="R82" s="26">
        <f t="shared" si="36"/>
        <v>257793.39280098415</v>
      </c>
      <c r="S82" s="26">
        <f t="shared" si="36"/>
        <v>161675.39285994379</v>
      </c>
      <c r="T82" s="26">
        <f t="shared" si="36"/>
        <v>120234.58598163954</v>
      </c>
      <c r="U82" s="26">
        <f t="shared" si="36"/>
        <v>231076.02548511128</v>
      </c>
      <c r="V82" s="26">
        <f t="shared" si="36"/>
        <v>191634.21520761098</v>
      </c>
      <c r="W82" s="26">
        <f t="shared" si="36"/>
        <v>87462.882831438474</v>
      </c>
      <c r="X82" s="26">
        <f t="shared" si="36"/>
        <v>5392.9383695064462</v>
      </c>
      <c r="Y82" s="26">
        <f t="shared" si="36"/>
        <v>-12274.281745001994</v>
      </c>
      <c r="Z82" s="26">
        <f t="shared" si="36"/>
        <v>2039.4881387840724</v>
      </c>
      <c r="AA82" s="26">
        <f t="shared" si="36"/>
        <v>55013.230921096227</v>
      </c>
      <c r="AB82" s="26">
        <f t="shared" si="36"/>
        <v>216484.89310504065</v>
      </c>
      <c r="AC82" s="26">
        <f t="shared" si="36"/>
        <v>185156.606614116</v>
      </c>
      <c r="AD82" s="26">
        <f t="shared" si="36"/>
        <v>104103.6503027505</v>
      </c>
      <c r="AE82" s="26">
        <f t="shared" si="36"/>
        <v>81936.806613141496</v>
      </c>
      <c r="AF82" s="26">
        <f t="shared" si="36"/>
        <v>167624.63507556083</v>
      </c>
      <c r="AG82" s="26">
        <f t="shared" si="36"/>
        <v>-46334.880915668327</v>
      </c>
      <c r="AH82" s="26">
        <f t="shared" si="36"/>
        <v>57011.512004297576</v>
      </c>
      <c r="AI82" s="26">
        <f t="shared" si="36"/>
        <v>8543.1550974879647</v>
      </c>
      <c r="AJ82" s="26">
        <f t="shared" si="36"/>
        <v>-14639.77706379845</v>
      </c>
      <c r="AK82" s="26">
        <f t="shared" si="36"/>
        <v>97193.793817916739</v>
      </c>
      <c r="AL82" s="26">
        <f t="shared" si="36"/>
        <v>-223167.37704918033</v>
      </c>
      <c r="AM82" s="26">
        <f t="shared" ref="AM82:AN82" si="37">AM60-AM78-AM79-AM80-AM81</f>
        <v>-203827.37704918033</v>
      </c>
      <c r="AN82" s="26">
        <f t="shared" si="37"/>
        <v>-58777.37704918033</v>
      </c>
    </row>
    <row r="83" spans="2:40">
      <c r="B83" s="265" t="s">
        <v>92</v>
      </c>
      <c r="C83" s="266"/>
      <c r="D83" s="267"/>
      <c r="E83" s="29">
        <f>+E82</f>
        <v>-87787.37704918033</v>
      </c>
      <c r="F83" s="29">
        <f t="shared" ref="F83:AL83" si="38">F82+E83</f>
        <v>-291614.75409836066</v>
      </c>
      <c r="G83" s="29">
        <f t="shared" si="38"/>
        <v>-363545.37327837304</v>
      </c>
      <c r="H83" s="29">
        <f t="shared" si="38"/>
        <v>-112389.94665353699</v>
      </c>
      <c r="I83" s="29">
        <f t="shared" si="38"/>
        <v>128765.086789669</v>
      </c>
      <c r="J83" s="29">
        <f t="shared" si="38"/>
        <v>425961.79213688284</v>
      </c>
      <c r="K83" s="28">
        <f t="shared" si="38"/>
        <v>714187.94213752588</v>
      </c>
      <c r="L83" s="29">
        <f t="shared" si="38"/>
        <v>1030058.4655010633</v>
      </c>
      <c r="M83" s="28">
        <f t="shared" si="38"/>
        <v>1092815.0368597279</v>
      </c>
      <c r="N83" s="29">
        <f t="shared" si="38"/>
        <v>1397544.5869227415</v>
      </c>
      <c r="O83" s="29">
        <f t="shared" si="38"/>
        <v>1678152.4985313755</v>
      </c>
      <c r="P83" s="29">
        <f t="shared" si="38"/>
        <v>1913363.3003059253</v>
      </c>
      <c r="Q83" s="29">
        <f t="shared" si="38"/>
        <v>2143732.0142802559</v>
      </c>
      <c r="R83" s="29">
        <f t="shared" si="38"/>
        <v>2401525.4070812399</v>
      </c>
      <c r="S83" s="29">
        <f t="shared" si="38"/>
        <v>2563200.7999411835</v>
      </c>
      <c r="T83" s="29">
        <f t="shared" si="38"/>
        <v>2683435.3859228231</v>
      </c>
      <c r="U83" s="29">
        <f t="shared" si="38"/>
        <v>2914511.4114079345</v>
      </c>
      <c r="V83" s="29">
        <f t="shared" si="38"/>
        <v>3106145.6266155457</v>
      </c>
      <c r="W83" s="29">
        <f t="shared" si="38"/>
        <v>3193608.5094469842</v>
      </c>
      <c r="X83" s="29">
        <f t="shared" si="38"/>
        <v>3199001.4478164907</v>
      </c>
      <c r="Y83" s="29">
        <f t="shared" si="38"/>
        <v>3186727.1660714885</v>
      </c>
      <c r="Z83" s="29">
        <f t="shared" si="38"/>
        <v>3188766.6542102727</v>
      </c>
      <c r="AA83" s="29">
        <f t="shared" si="38"/>
        <v>3243779.8851313689</v>
      </c>
      <c r="AB83" s="29">
        <f t="shared" si="38"/>
        <v>3460264.7782364096</v>
      </c>
      <c r="AC83" s="29">
        <f t="shared" si="38"/>
        <v>3645421.3848505258</v>
      </c>
      <c r="AD83" s="29">
        <f t="shared" si="38"/>
        <v>3749525.0351532763</v>
      </c>
      <c r="AE83" s="29">
        <f t="shared" si="38"/>
        <v>3831461.841766418</v>
      </c>
      <c r="AF83" s="29">
        <f t="shared" si="38"/>
        <v>3999086.4768419787</v>
      </c>
      <c r="AG83" s="29">
        <f t="shared" si="38"/>
        <v>3952751.5959263104</v>
      </c>
      <c r="AH83" s="29">
        <f t="shared" si="38"/>
        <v>4009763.1079306081</v>
      </c>
      <c r="AI83" s="29">
        <f t="shared" si="38"/>
        <v>4018306.2630280959</v>
      </c>
      <c r="AJ83" s="29">
        <f t="shared" si="38"/>
        <v>4003666.4859642973</v>
      </c>
      <c r="AK83" s="29">
        <f t="shared" si="38"/>
        <v>4100860.2797822142</v>
      </c>
      <c r="AL83" s="29">
        <f t="shared" si="38"/>
        <v>3877692.902733034</v>
      </c>
      <c r="AM83" s="29">
        <f t="shared" ref="AM83" si="39">AM82+AL83</f>
        <v>3673865.5256838538</v>
      </c>
      <c r="AN83" s="29">
        <f t="shared" ref="AN83" si="40">AN82+AM83</f>
        <v>3615088.1486346736</v>
      </c>
    </row>
    <row r="84" spans="2:40">
      <c r="D84" s="258">
        <f>D82/D60</f>
        <v>0.22713870275905787</v>
      </c>
    </row>
    <row r="85" spans="2:40">
      <c r="D85" s="11"/>
    </row>
    <row r="86" spans="2:40">
      <c r="B86" s="30" t="s">
        <v>93</v>
      </c>
      <c r="C86" s="31">
        <f>D42/D27</f>
        <v>0.95314661255555633</v>
      </c>
    </row>
    <row r="88" spans="2:40">
      <c r="B88" s="282" t="s">
        <v>452</v>
      </c>
      <c r="C88" s="284">
        <f>+(1700000/31)</f>
        <v>54838.709677419356</v>
      </c>
      <c r="D88" s="300">
        <f>SUM(E88:AN88)</f>
        <v>1974193.5483870977</v>
      </c>
      <c r="E88" s="300">
        <f t="shared" ref="E88:AN88" si="41">+$C$88</f>
        <v>54838.709677419356</v>
      </c>
      <c r="F88" s="300">
        <f t="shared" si="41"/>
        <v>54838.709677419356</v>
      </c>
      <c r="G88" s="300">
        <f t="shared" si="41"/>
        <v>54838.709677419356</v>
      </c>
      <c r="H88" s="300">
        <f t="shared" si="41"/>
        <v>54838.709677419356</v>
      </c>
      <c r="I88" s="300">
        <f t="shared" si="41"/>
        <v>54838.709677419356</v>
      </c>
      <c r="J88" s="300">
        <f t="shared" si="41"/>
        <v>54838.709677419356</v>
      </c>
      <c r="K88" s="300">
        <f t="shared" si="41"/>
        <v>54838.709677419356</v>
      </c>
      <c r="L88" s="300">
        <f t="shared" si="41"/>
        <v>54838.709677419356</v>
      </c>
      <c r="M88" s="300">
        <f t="shared" si="41"/>
        <v>54838.709677419356</v>
      </c>
      <c r="N88" s="300">
        <f t="shared" si="41"/>
        <v>54838.709677419356</v>
      </c>
      <c r="O88" s="300">
        <f t="shared" si="41"/>
        <v>54838.709677419356</v>
      </c>
      <c r="P88" s="300">
        <f t="shared" si="41"/>
        <v>54838.709677419356</v>
      </c>
      <c r="Q88" s="300">
        <f t="shared" si="41"/>
        <v>54838.709677419356</v>
      </c>
      <c r="R88" s="300">
        <f t="shared" si="41"/>
        <v>54838.709677419356</v>
      </c>
      <c r="S88" s="300">
        <f t="shared" si="41"/>
        <v>54838.709677419356</v>
      </c>
      <c r="T88" s="300">
        <f t="shared" si="41"/>
        <v>54838.709677419356</v>
      </c>
      <c r="U88" s="300">
        <f t="shared" si="41"/>
        <v>54838.709677419356</v>
      </c>
      <c r="V88" s="300">
        <f t="shared" si="41"/>
        <v>54838.709677419356</v>
      </c>
      <c r="W88" s="300">
        <f t="shared" si="41"/>
        <v>54838.709677419356</v>
      </c>
      <c r="X88" s="300">
        <f t="shared" si="41"/>
        <v>54838.709677419356</v>
      </c>
      <c r="Y88" s="300">
        <f t="shared" si="41"/>
        <v>54838.709677419356</v>
      </c>
      <c r="Z88" s="300">
        <f t="shared" si="41"/>
        <v>54838.709677419356</v>
      </c>
      <c r="AA88" s="300">
        <f t="shared" si="41"/>
        <v>54838.709677419356</v>
      </c>
      <c r="AB88" s="300">
        <f t="shared" si="41"/>
        <v>54838.709677419356</v>
      </c>
      <c r="AC88" s="300">
        <f t="shared" si="41"/>
        <v>54838.709677419356</v>
      </c>
      <c r="AD88" s="300">
        <f t="shared" si="41"/>
        <v>54838.709677419356</v>
      </c>
      <c r="AE88" s="300">
        <f t="shared" si="41"/>
        <v>54838.709677419356</v>
      </c>
      <c r="AF88" s="300">
        <f t="shared" si="41"/>
        <v>54838.709677419356</v>
      </c>
      <c r="AG88" s="300">
        <f t="shared" si="41"/>
        <v>54838.709677419356</v>
      </c>
      <c r="AH88" s="300">
        <f t="shared" si="41"/>
        <v>54838.709677419356</v>
      </c>
      <c r="AI88" s="300">
        <f t="shared" si="41"/>
        <v>54838.709677419356</v>
      </c>
      <c r="AJ88" s="300">
        <f t="shared" si="41"/>
        <v>54838.709677419356</v>
      </c>
      <c r="AK88" s="300">
        <f t="shared" si="41"/>
        <v>54838.709677419356</v>
      </c>
      <c r="AL88" s="300">
        <f t="shared" si="41"/>
        <v>54838.709677419356</v>
      </c>
      <c r="AM88" s="300">
        <f t="shared" si="41"/>
        <v>54838.709677419356</v>
      </c>
      <c r="AN88" s="300">
        <f t="shared" si="41"/>
        <v>54838.709677419356</v>
      </c>
    </row>
    <row r="89" spans="2:40">
      <c r="B89" s="286" t="s">
        <v>453</v>
      </c>
      <c r="C89" s="288">
        <f>300000000*7%/365</f>
        <v>57534.246575342477</v>
      </c>
      <c r="D89" s="301">
        <f>SUM(E89:AN89)</f>
        <v>2071232.8767123295</v>
      </c>
      <c r="E89" s="301">
        <f t="shared" ref="E89:AN89" si="42">+$C$89</f>
        <v>57534.246575342477</v>
      </c>
      <c r="F89" s="301">
        <f t="shared" si="42"/>
        <v>57534.246575342477</v>
      </c>
      <c r="G89" s="301">
        <f t="shared" si="42"/>
        <v>57534.246575342477</v>
      </c>
      <c r="H89" s="301">
        <f t="shared" si="42"/>
        <v>57534.246575342477</v>
      </c>
      <c r="I89" s="301">
        <f t="shared" si="42"/>
        <v>57534.246575342477</v>
      </c>
      <c r="J89" s="301">
        <f t="shared" si="42"/>
        <v>57534.246575342477</v>
      </c>
      <c r="K89" s="301">
        <f t="shared" si="42"/>
        <v>57534.246575342477</v>
      </c>
      <c r="L89" s="301">
        <f t="shared" si="42"/>
        <v>57534.246575342477</v>
      </c>
      <c r="M89" s="301">
        <f t="shared" si="42"/>
        <v>57534.246575342477</v>
      </c>
      <c r="N89" s="301">
        <f t="shared" si="42"/>
        <v>57534.246575342477</v>
      </c>
      <c r="O89" s="301">
        <f t="shared" si="42"/>
        <v>57534.246575342477</v>
      </c>
      <c r="P89" s="301">
        <f t="shared" si="42"/>
        <v>57534.246575342477</v>
      </c>
      <c r="Q89" s="301">
        <f t="shared" si="42"/>
        <v>57534.246575342477</v>
      </c>
      <c r="R89" s="301">
        <f t="shared" si="42"/>
        <v>57534.246575342477</v>
      </c>
      <c r="S89" s="301">
        <f t="shared" si="42"/>
        <v>57534.246575342477</v>
      </c>
      <c r="T89" s="301">
        <f t="shared" si="42"/>
        <v>57534.246575342477</v>
      </c>
      <c r="U89" s="301">
        <f t="shared" si="42"/>
        <v>57534.246575342477</v>
      </c>
      <c r="V89" s="301">
        <f t="shared" si="42"/>
        <v>57534.246575342477</v>
      </c>
      <c r="W89" s="301">
        <f t="shared" si="42"/>
        <v>57534.246575342477</v>
      </c>
      <c r="X89" s="301">
        <f t="shared" si="42"/>
        <v>57534.246575342477</v>
      </c>
      <c r="Y89" s="301">
        <f t="shared" si="42"/>
        <v>57534.246575342477</v>
      </c>
      <c r="Z89" s="301">
        <f t="shared" si="42"/>
        <v>57534.246575342477</v>
      </c>
      <c r="AA89" s="301">
        <f t="shared" si="42"/>
        <v>57534.246575342477</v>
      </c>
      <c r="AB89" s="301">
        <f t="shared" si="42"/>
        <v>57534.246575342477</v>
      </c>
      <c r="AC89" s="301">
        <f t="shared" si="42"/>
        <v>57534.246575342477</v>
      </c>
      <c r="AD89" s="301">
        <f t="shared" si="42"/>
        <v>57534.246575342477</v>
      </c>
      <c r="AE89" s="301">
        <f t="shared" si="42"/>
        <v>57534.246575342477</v>
      </c>
      <c r="AF89" s="301">
        <f t="shared" si="42"/>
        <v>57534.246575342477</v>
      </c>
      <c r="AG89" s="301">
        <f t="shared" si="42"/>
        <v>57534.246575342477</v>
      </c>
      <c r="AH89" s="301">
        <f t="shared" si="42"/>
        <v>57534.246575342477</v>
      </c>
      <c r="AI89" s="301">
        <f t="shared" si="42"/>
        <v>57534.246575342477</v>
      </c>
      <c r="AJ89" s="301">
        <f t="shared" si="42"/>
        <v>57534.246575342477</v>
      </c>
      <c r="AK89" s="301">
        <f t="shared" si="42"/>
        <v>57534.246575342477</v>
      </c>
      <c r="AL89" s="301">
        <f t="shared" si="42"/>
        <v>57534.246575342477</v>
      </c>
      <c r="AM89" s="301">
        <f t="shared" si="42"/>
        <v>57534.246575342477</v>
      </c>
      <c r="AN89" s="301">
        <f t="shared" si="42"/>
        <v>57534.246575342477</v>
      </c>
    </row>
    <row r="90" spans="2:40">
      <c r="B90" s="302" t="s">
        <v>454</v>
      </c>
      <c r="C90" s="302"/>
      <c r="D90" s="303">
        <f t="shared" ref="D90:AN90" si="43">+D82-D88-D89</f>
        <v>-430338.27646475681</v>
      </c>
      <c r="E90" s="303">
        <f t="shared" si="43"/>
        <v>-200160.33330194216</v>
      </c>
      <c r="F90" s="303">
        <f t="shared" si="43"/>
        <v>-316200.33330194216</v>
      </c>
      <c r="G90" s="303">
        <f t="shared" si="43"/>
        <v>-184303.5754327742</v>
      </c>
      <c r="H90" s="303">
        <f t="shared" si="43"/>
        <v>138782.47037207423</v>
      </c>
      <c r="I90" s="303">
        <f t="shared" si="43"/>
        <v>128782.07719044415</v>
      </c>
      <c r="J90" s="303">
        <f t="shared" si="43"/>
        <v>184823.74909445201</v>
      </c>
      <c r="K90" s="303">
        <f t="shared" si="43"/>
        <v>175853.19374788116</v>
      </c>
      <c r="L90" s="303">
        <f t="shared" si="43"/>
        <v>203497.56711077556</v>
      </c>
      <c r="M90" s="303">
        <f t="shared" si="43"/>
        <v>-49616.384894097144</v>
      </c>
      <c r="N90" s="303">
        <f t="shared" si="43"/>
        <v>192356.59381025174</v>
      </c>
      <c r="O90" s="303">
        <f t="shared" si="43"/>
        <v>168234.95535587234</v>
      </c>
      <c r="P90" s="303">
        <f t="shared" si="43"/>
        <v>122837.84552178781</v>
      </c>
      <c r="Q90" s="303">
        <f t="shared" si="43"/>
        <v>117995.75772156862</v>
      </c>
      <c r="R90" s="303">
        <f t="shared" si="43"/>
        <v>145420.43654822232</v>
      </c>
      <c r="S90" s="303">
        <f t="shared" si="43"/>
        <v>49302.436607181953</v>
      </c>
      <c r="T90" s="303">
        <f t="shared" si="43"/>
        <v>7861.6297288777059</v>
      </c>
      <c r="U90" s="303">
        <f t="shared" si="43"/>
        <v>118703.06923234944</v>
      </c>
      <c r="V90" s="303">
        <f t="shared" si="43"/>
        <v>79261.258954849138</v>
      </c>
      <c r="W90" s="303">
        <f t="shared" si="43"/>
        <v>-24910.073421323359</v>
      </c>
      <c r="X90" s="303">
        <f t="shared" si="43"/>
        <v>-106980.01788325538</v>
      </c>
      <c r="Y90" s="303">
        <f t="shared" si="43"/>
        <v>-124647.23799776383</v>
      </c>
      <c r="Z90" s="303">
        <f t="shared" si="43"/>
        <v>-110333.46811397775</v>
      </c>
      <c r="AA90" s="303">
        <f t="shared" si="43"/>
        <v>-57359.725331665606</v>
      </c>
      <c r="AB90" s="303">
        <f t="shared" si="43"/>
        <v>104111.93685227881</v>
      </c>
      <c r="AC90" s="303">
        <f t="shared" si="43"/>
        <v>72783.650361354157</v>
      </c>
      <c r="AD90" s="303">
        <f t="shared" si="43"/>
        <v>-8269.3059500113377</v>
      </c>
      <c r="AE90" s="303">
        <f t="shared" si="43"/>
        <v>-30436.149639620337</v>
      </c>
      <c r="AF90" s="303">
        <f t="shared" si="43"/>
        <v>55251.678822798989</v>
      </c>
      <c r="AG90" s="303">
        <f t="shared" si="43"/>
        <v>-158707.83716843015</v>
      </c>
      <c r="AH90" s="303">
        <f t="shared" si="43"/>
        <v>-55361.444248464257</v>
      </c>
      <c r="AI90" s="303">
        <f t="shared" si="43"/>
        <v>-103829.80115527386</v>
      </c>
      <c r="AJ90" s="303">
        <f t="shared" si="43"/>
        <v>-127012.73331656029</v>
      </c>
      <c r="AK90" s="303">
        <f t="shared" si="43"/>
        <v>-15179.162434845093</v>
      </c>
      <c r="AL90" s="303">
        <f t="shared" si="43"/>
        <v>-335540.33330194216</v>
      </c>
      <c r="AM90" s="303">
        <f t="shared" si="43"/>
        <v>-316200.33330194216</v>
      </c>
      <c r="AN90" s="303">
        <f t="shared" si="43"/>
        <v>-171150.33330194216</v>
      </c>
    </row>
    <row r="91" spans="2:40">
      <c r="B91" s="320" t="s">
        <v>92</v>
      </c>
      <c r="C91" s="321"/>
      <c r="D91" s="326"/>
      <c r="E91" s="29">
        <f>+E90</f>
        <v>-200160.33330194216</v>
      </c>
      <c r="F91" s="29">
        <f>+E91+F90</f>
        <v>-516360.66660388431</v>
      </c>
      <c r="G91" s="29">
        <f t="shared" ref="G91:AN91" si="44">+F91+G90</f>
        <v>-700664.24203665857</v>
      </c>
      <c r="H91" s="29">
        <f t="shared" si="44"/>
        <v>-561881.77166458429</v>
      </c>
      <c r="I91" s="29">
        <f t="shared" si="44"/>
        <v>-433099.69447414012</v>
      </c>
      <c r="J91" s="29">
        <f t="shared" si="44"/>
        <v>-248275.94537968811</v>
      </c>
      <c r="K91" s="29">
        <f t="shared" si="44"/>
        <v>-72422.751631806954</v>
      </c>
      <c r="L91" s="29">
        <f t="shared" si="44"/>
        <v>131074.81547896861</v>
      </c>
      <c r="M91" s="29">
        <f t="shared" si="44"/>
        <v>81458.430584871472</v>
      </c>
      <c r="N91" s="29">
        <f t="shared" si="44"/>
        <v>273815.02439512324</v>
      </c>
      <c r="O91" s="29">
        <f t="shared" si="44"/>
        <v>442049.97975099558</v>
      </c>
      <c r="P91" s="29">
        <f t="shared" si="44"/>
        <v>564887.8252727834</v>
      </c>
      <c r="Q91" s="29">
        <f t="shared" si="44"/>
        <v>682883.58299435198</v>
      </c>
      <c r="R91" s="29">
        <f t="shared" si="44"/>
        <v>828304.0195425743</v>
      </c>
      <c r="S91" s="29">
        <f t="shared" si="44"/>
        <v>877606.45614975621</v>
      </c>
      <c r="T91" s="29">
        <f t="shared" si="44"/>
        <v>885468.08587863389</v>
      </c>
      <c r="U91" s="29">
        <f t="shared" si="44"/>
        <v>1004171.1551109833</v>
      </c>
      <c r="V91" s="29">
        <f t="shared" si="44"/>
        <v>1083432.4140658325</v>
      </c>
      <c r="W91" s="29">
        <f t="shared" si="44"/>
        <v>1058522.3406445091</v>
      </c>
      <c r="X91" s="29">
        <f t="shared" si="44"/>
        <v>951542.32276125369</v>
      </c>
      <c r="Y91" s="29">
        <f t="shared" si="44"/>
        <v>826895.0847634899</v>
      </c>
      <c r="Z91" s="29">
        <f t="shared" si="44"/>
        <v>716561.6166495122</v>
      </c>
      <c r="AA91" s="29">
        <f t="shared" si="44"/>
        <v>659201.8913178466</v>
      </c>
      <c r="AB91" s="29">
        <f t="shared" si="44"/>
        <v>763313.82817012537</v>
      </c>
      <c r="AC91" s="29">
        <f t="shared" si="44"/>
        <v>836097.47853147949</v>
      </c>
      <c r="AD91" s="29">
        <f t="shared" si="44"/>
        <v>827828.17258146813</v>
      </c>
      <c r="AE91" s="29">
        <f t="shared" si="44"/>
        <v>797392.0229418478</v>
      </c>
      <c r="AF91" s="29">
        <f t="shared" si="44"/>
        <v>852643.7017646468</v>
      </c>
      <c r="AG91" s="29">
        <f t="shared" si="44"/>
        <v>693935.86459621671</v>
      </c>
      <c r="AH91" s="29">
        <f t="shared" si="44"/>
        <v>638574.4203477524</v>
      </c>
      <c r="AI91" s="29">
        <f t="shared" si="44"/>
        <v>534744.61919247848</v>
      </c>
      <c r="AJ91" s="29">
        <f t="shared" si="44"/>
        <v>407731.8858759182</v>
      </c>
      <c r="AK91" s="29">
        <f t="shared" si="44"/>
        <v>392552.72344107309</v>
      </c>
      <c r="AL91" s="29">
        <f t="shared" si="44"/>
        <v>57012.390139130934</v>
      </c>
      <c r="AM91" s="29">
        <f t="shared" si="44"/>
        <v>-259187.94316281122</v>
      </c>
      <c r="AN91" s="29">
        <f t="shared" si="44"/>
        <v>-430338.27646475338</v>
      </c>
    </row>
    <row r="94" spans="2:40">
      <c r="B94" s="1" t="s">
        <v>455</v>
      </c>
      <c r="C94" t="s">
        <v>456</v>
      </c>
      <c r="D94" t="s">
        <v>99</v>
      </c>
    </row>
    <row r="95" spans="2:40">
      <c r="B95" t="s">
        <v>457</v>
      </c>
      <c r="C95">
        <v>26</v>
      </c>
      <c r="D95" s="202">
        <f>+E95*$D$97</f>
        <v>9100</v>
      </c>
      <c r="E95" s="269">
        <v>0.65</v>
      </c>
    </row>
    <row r="96" spans="2:40">
      <c r="B96" t="s">
        <v>58</v>
      </c>
      <c r="C96">
        <v>48</v>
      </c>
      <c r="D96" s="202">
        <f>+E96*$D$97</f>
        <v>4900</v>
      </c>
      <c r="E96" s="269">
        <v>0.35</v>
      </c>
    </row>
    <row r="97" spans="2:6">
      <c r="D97" s="270">
        <v>14000</v>
      </c>
    </row>
    <row r="98" spans="2:6">
      <c r="D98" s="202"/>
    </row>
    <row r="99" spans="2:6">
      <c r="B99" t="s">
        <v>457</v>
      </c>
      <c r="D99" s="202">
        <f>+D95*C95</f>
        <v>236600</v>
      </c>
    </row>
    <row r="100" spans="2:6">
      <c r="B100" t="s">
        <v>58</v>
      </c>
      <c r="D100" s="202">
        <f>+D96*C96</f>
        <v>235200</v>
      </c>
    </row>
    <row r="101" spans="2:6">
      <c r="B101" t="s">
        <v>458</v>
      </c>
      <c r="D101" s="202">
        <f>-(D99+D100)*0.05</f>
        <v>-23590</v>
      </c>
    </row>
    <row r="102" spans="2:6">
      <c r="B102" s="271" t="s">
        <v>459</v>
      </c>
      <c r="C102" s="271"/>
      <c r="D102" s="272">
        <f>SUM(D99:D101)</f>
        <v>448210</v>
      </c>
    </row>
    <row r="103" spans="2:6">
      <c r="D103" s="202"/>
    </row>
    <row r="104" spans="2:6">
      <c r="B104" s="12" t="s">
        <v>87</v>
      </c>
      <c r="C104" s="13">
        <v>0.31</v>
      </c>
      <c r="D104" s="202">
        <f>+D102*C104</f>
        <v>138945.1</v>
      </c>
    </row>
    <row r="105" spans="2:6">
      <c r="B105" s="16" t="s">
        <v>88</v>
      </c>
      <c r="C105" s="17">
        <v>73000</v>
      </c>
      <c r="D105" s="202">
        <f>+C105</f>
        <v>73000</v>
      </c>
    </row>
    <row r="106" spans="2:6">
      <c r="B106" s="16" t="s">
        <v>89</v>
      </c>
      <c r="C106" s="17">
        <v>45000</v>
      </c>
      <c r="D106" s="202">
        <f>+C106</f>
        <v>45000</v>
      </c>
    </row>
    <row r="107" spans="2:6">
      <c r="B107" s="20" t="s">
        <v>90</v>
      </c>
      <c r="C107" s="21">
        <v>9.67</v>
      </c>
      <c r="D107" s="202">
        <f>+C107*E107</f>
        <v>154720</v>
      </c>
      <c r="E107" s="270">
        <v>16000</v>
      </c>
      <c r="F107" t="s">
        <v>460</v>
      </c>
    </row>
    <row r="108" spans="2:6">
      <c r="B108" s="16" t="s">
        <v>461</v>
      </c>
      <c r="C108" s="273"/>
      <c r="D108" s="272">
        <f>SUM(D104:D107)</f>
        <v>411665.1</v>
      </c>
    </row>
    <row r="109" spans="2:6">
      <c r="B109" s="24" t="s">
        <v>91</v>
      </c>
      <c r="C109" s="25">
        <f>SUM(E109:AB109)</f>
        <v>0</v>
      </c>
      <c r="D109" s="274">
        <f>+D102-D108</f>
        <v>36544.900000000023</v>
      </c>
    </row>
    <row r="110" spans="2:6">
      <c r="D110" s="202"/>
    </row>
    <row r="111" spans="2:6">
      <c r="D111" s="202"/>
    </row>
    <row r="112" spans="2:6">
      <c r="B112" s="354" t="s">
        <v>462</v>
      </c>
      <c r="C112" s="355"/>
      <c r="D112" s="355"/>
      <c r="E112" s="356"/>
    </row>
    <row r="113" spans="2:5">
      <c r="B113" s="279" t="s">
        <v>463</v>
      </c>
      <c r="C113" s="280" t="s">
        <v>464</v>
      </c>
      <c r="D113" s="280" t="s">
        <v>99</v>
      </c>
      <c r="E113" s="281" t="s">
        <v>465</v>
      </c>
    </row>
    <row r="114" spans="2:5">
      <c r="B114" s="282" t="s">
        <v>466</v>
      </c>
      <c r="C114" s="283">
        <v>17.5</v>
      </c>
      <c r="D114" s="284">
        <v>222285</v>
      </c>
      <c r="E114" s="285">
        <f>+D114*C114</f>
        <v>3889987.5</v>
      </c>
    </row>
    <row r="115" spans="2:5">
      <c r="B115" s="286" t="s">
        <v>467</v>
      </c>
      <c r="C115" s="287">
        <v>21.5</v>
      </c>
      <c r="D115" s="288">
        <v>7920</v>
      </c>
      <c r="E115" s="289">
        <f>+C115*D115</f>
        <v>170280</v>
      </c>
    </row>
    <row r="116" spans="2:5">
      <c r="B116" s="286"/>
      <c r="C116" s="287">
        <v>20.399999999999999</v>
      </c>
      <c r="D116" s="288">
        <f>+D114+D115</f>
        <v>230205</v>
      </c>
      <c r="E116" s="289">
        <f>+E114+E115</f>
        <v>4060267.5</v>
      </c>
    </row>
    <row r="117" spans="2:5">
      <c r="B117" s="286"/>
      <c r="C117" s="287"/>
      <c r="D117" s="288"/>
      <c r="E117" s="289"/>
    </row>
    <row r="118" spans="2:5">
      <c r="B118" s="286" t="s">
        <v>468</v>
      </c>
      <c r="C118" s="287">
        <v>45</v>
      </c>
      <c r="D118" s="288">
        <v>67065</v>
      </c>
      <c r="E118" s="289">
        <f>+C118*D118</f>
        <v>3017925</v>
      </c>
    </row>
    <row r="119" spans="2:5">
      <c r="B119" s="286" t="s">
        <v>469</v>
      </c>
      <c r="C119" s="287">
        <v>34.5</v>
      </c>
      <c r="D119" s="288">
        <v>56070</v>
      </c>
      <c r="E119" s="289">
        <f>+C119*D119</f>
        <v>1934415</v>
      </c>
    </row>
    <row r="120" spans="2:5">
      <c r="B120" s="290" t="s">
        <v>470</v>
      </c>
      <c r="C120" s="291">
        <v>32</v>
      </c>
      <c r="D120" s="292"/>
      <c r="E120" s="293"/>
    </row>
    <row r="121" spans="2:5">
      <c r="B121" s="294" t="s">
        <v>471</v>
      </c>
      <c r="C121" s="295">
        <f>+E121/D121</f>
        <v>40.218784261176758</v>
      </c>
      <c r="D121" s="296">
        <f>+D118+D119</f>
        <v>123135</v>
      </c>
      <c r="E121" s="297">
        <f>SUM(E118:E120)</f>
        <v>4952340</v>
      </c>
    </row>
  </sheetData>
  <mergeCells count="7">
    <mergeCell ref="B112:E112"/>
    <mergeCell ref="A27:A39"/>
    <mergeCell ref="A42:A43"/>
    <mergeCell ref="A47:A52"/>
    <mergeCell ref="A54:A58"/>
    <mergeCell ref="B76:C76"/>
    <mergeCell ref="B91:D91"/>
  </mergeCells>
  <conditionalFormatting sqref="B90:AN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3:AN83 B8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1:AN91 B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27AD-B050-44BF-BB9B-3709A14048F7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A5C8-8B9B-4C33-8EEA-C04E7E5ACB99}">
  <dimension ref="A2:AN90"/>
  <sheetViews>
    <sheetView workbookViewId="0">
      <selection activeCell="D61" sqref="D61"/>
    </sheetView>
  </sheetViews>
  <sheetFormatPr defaultColWidth="11.42578125" defaultRowHeight="15"/>
  <cols>
    <col min="2" max="2" width="22.85546875" customWidth="1"/>
    <col min="3" max="3" width="15.28515625" customWidth="1"/>
    <col min="4" max="4" width="16.28515625" customWidth="1"/>
    <col min="5" max="5" width="11.7109375" customWidth="1"/>
    <col min="6" max="6" width="12.5703125" customWidth="1"/>
    <col min="7" max="7" width="11" bestFit="1" customWidth="1"/>
    <col min="8" max="8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>
        <v>5</v>
      </c>
    </row>
    <row r="4" spans="2:40" ht="15.75">
      <c r="B4" s="54" t="s">
        <v>3</v>
      </c>
      <c r="C4" s="110">
        <v>45420</v>
      </c>
    </row>
    <row r="5" spans="2:40" ht="15.75">
      <c r="B5" s="54" t="s">
        <v>4</v>
      </c>
      <c r="C5" s="110">
        <v>45455</v>
      </c>
    </row>
    <row r="6" spans="2:40" ht="15.75">
      <c r="B6" s="179" t="s">
        <v>442</v>
      </c>
      <c r="C6" s="268">
        <f>_xlfn.DAYS(C5, C4)</f>
        <v>35</v>
      </c>
    </row>
    <row r="7" spans="2:40" ht="15.75">
      <c r="B7" s="179" t="s">
        <v>230</v>
      </c>
      <c r="C7" s="110" t="s">
        <v>368</v>
      </c>
    </row>
    <row r="8" spans="2:40" ht="15.75">
      <c r="B8" s="2"/>
      <c r="C8" s="2"/>
    </row>
    <row r="9" spans="2:40" ht="15.75">
      <c r="B9" s="54" t="s">
        <v>5</v>
      </c>
      <c r="D9" s="41" t="s">
        <v>6</v>
      </c>
      <c r="E9" s="42">
        <v>45420</v>
      </c>
      <c r="F9" s="42">
        <v>45421</v>
      </c>
      <c r="G9" s="42">
        <v>45422</v>
      </c>
      <c r="H9" s="42">
        <v>45423</v>
      </c>
      <c r="I9" s="42">
        <v>45424</v>
      </c>
      <c r="J9" s="42">
        <v>45425</v>
      </c>
      <c r="K9" s="42">
        <v>45426</v>
      </c>
      <c r="L9" s="42">
        <v>45427</v>
      </c>
      <c r="M9" s="42">
        <v>45428</v>
      </c>
      <c r="N9" s="42">
        <v>45429</v>
      </c>
      <c r="O9" s="42">
        <v>45430</v>
      </c>
      <c r="P9" s="42">
        <v>45431</v>
      </c>
      <c r="Q9" s="42">
        <v>45432</v>
      </c>
      <c r="R9" s="42">
        <v>45433</v>
      </c>
      <c r="S9" s="42">
        <v>45434</v>
      </c>
      <c r="T9" s="42">
        <v>45435</v>
      </c>
      <c r="U9" s="42">
        <v>45436</v>
      </c>
      <c r="V9" s="42">
        <v>45437</v>
      </c>
      <c r="W9" s="42">
        <v>45438</v>
      </c>
      <c r="X9" s="42">
        <v>45439</v>
      </c>
      <c r="Y9" s="42">
        <v>45440</v>
      </c>
      <c r="Z9" s="42">
        <v>45441</v>
      </c>
      <c r="AA9" s="42">
        <v>45442</v>
      </c>
      <c r="AB9" s="42">
        <v>45443</v>
      </c>
      <c r="AC9" s="42">
        <v>45444</v>
      </c>
      <c r="AD9" s="42">
        <v>45445</v>
      </c>
      <c r="AE9" s="42">
        <v>45446</v>
      </c>
      <c r="AF9" s="42">
        <v>45447</v>
      </c>
      <c r="AG9" s="42">
        <v>45448</v>
      </c>
      <c r="AH9" s="42">
        <v>45449</v>
      </c>
      <c r="AI9" s="42">
        <v>45450</v>
      </c>
      <c r="AJ9" s="42">
        <v>45451</v>
      </c>
      <c r="AK9" s="42">
        <v>45452</v>
      </c>
      <c r="AL9" s="42">
        <v>45453</v>
      </c>
      <c r="AM9" s="42">
        <v>45454</v>
      </c>
      <c r="AN9" s="42">
        <v>45455</v>
      </c>
    </row>
    <row r="10" spans="2:40">
      <c r="B10" s="46" t="s">
        <v>7</v>
      </c>
      <c r="C10" s="47" t="s">
        <v>8</v>
      </c>
      <c r="D10" s="71">
        <f t="shared" ref="D10:D11" si="0">SUM(E10:AL10)</f>
        <v>701</v>
      </c>
      <c r="E10" s="114">
        <v>0</v>
      </c>
      <c r="F10" s="114">
        <v>0</v>
      </c>
      <c r="G10" s="114">
        <v>5</v>
      </c>
      <c r="H10" s="114">
        <v>24</v>
      </c>
      <c r="I10" s="114">
        <v>24</v>
      </c>
      <c r="J10" s="114">
        <v>24</v>
      </c>
      <c r="K10" s="114">
        <v>24</v>
      </c>
      <c r="L10" s="114">
        <v>24</v>
      </c>
      <c r="M10" s="114">
        <v>24</v>
      </c>
      <c r="N10" s="114">
        <v>24</v>
      </c>
      <c r="O10" s="114">
        <v>24</v>
      </c>
      <c r="P10" s="114">
        <v>24</v>
      </c>
      <c r="Q10" s="114">
        <v>24</v>
      </c>
      <c r="R10" s="114">
        <v>24</v>
      </c>
      <c r="S10" s="114">
        <v>24</v>
      </c>
      <c r="T10" s="114">
        <v>24</v>
      </c>
      <c r="U10" s="114">
        <v>24</v>
      </c>
      <c r="V10" s="114">
        <v>24</v>
      </c>
      <c r="W10" s="114">
        <v>24</v>
      </c>
      <c r="X10" s="114">
        <v>24</v>
      </c>
      <c r="Y10" s="114">
        <v>24</v>
      </c>
      <c r="Z10" s="114">
        <v>24</v>
      </c>
      <c r="AA10" s="114">
        <v>24</v>
      </c>
      <c r="AB10" s="114">
        <v>23</v>
      </c>
      <c r="AC10" s="114">
        <v>20</v>
      </c>
      <c r="AD10" s="114">
        <v>24</v>
      </c>
      <c r="AE10" s="114">
        <v>24</v>
      </c>
      <c r="AF10" s="114">
        <v>24</v>
      </c>
      <c r="AG10" s="114">
        <v>24</v>
      </c>
      <c r="AH10" s="114">
        <v>24</v>
      </c>
      <c r="AI10" s="114">
        <v>24</v>
      </c>
      <c r="AJ10" s="114">
        <v>24</v>
      </c>
      <c r="AK10" s="114">
        <v>5</v>
      </c>
      <c r="AL10" s="114">
        <v>0</v>
      </c>
      <c r="AM10" s="114">
        <v>0</v>
      </c>
      <c r="AN10" s="114">
        <v>0</v>
      </c>
    </row>
    <row r="11" spans="2:40">
      <c r="B11" s="48" t="s">
        <v>9</v>
      </c>
      <c r="C11" s="38" t="s">
        <v>8</v>
      </c>
      <c r="D11" s="71">
        <f t="shared" si="0"/>
        <v>34</v>
      </c>
      <c r="E11" s="115">
        <v>0</v>
      </c>
      <c r="F11" s="115">
        <v>15</v>
      </c>
      <c r="G11" s="115">
        <v>19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10</v>
      </c>
    </row>
    <row r="12" spans="2:40">
      <c r="B12" s="48" t="s">
        <v>10</v>
      </c>
      <c r="C12" s="38" t="s">
        <v>8</v>
      </c>
      <c r="D12" s="71">
        <f>SUM(E12:AL12)</f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11</v>
      </c>
      <c r="C13" s="38" t="s">
        <v>8</v>
      </c>
      <c r="D13" s="71">
        <f t="shared" ref="D13:D16" si="1">SUM(E13:AL13)</f>
        <v>43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19</v>
      </c>
      <c r="AL13" s="115">
        <v>24</v>
      </c>
      <c r="AM13" s="115">
        <v>6</v>
      </c>
      <c r="AN13" s="115">
        <v>0</v>
      </c>
    </row>
    <row r="14" spans="2:40">
      <c r="B14" s="48" t="s">
        <v>12</v>
      </c>
      <c r="C14" s="38" t="s">
        <v>8</v>
      </c>
      <c r="D14" s="71">
        <f t="shared" si="1"/>
        <v>24</v>
      </c>
      <c r="E14" s="115">
        <v>24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18</v>
      </c>
      <c r="AN14" s="115">
        <v>4</v>
      </c>
    </row>
    <row r="15" spans="2:40">
      <c r="B15" s="48" t="s">
        <v>13</v>
      </c>
      <c r="C15" s="38" t="s">
        <v>8</v>
      </c>
      <c r="D15" s="71">
        <f t="shared" si="1"/>
        <v>14</v>
      </c>
      <c r="E15" s="115">
        <v>0</v>
      </c>
      <c r="F15" s="115">
        <v>9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0</v>
      </c>
      <c r="M15" s="115">
        <v>0</v>
      </c>
      <c r="N15" s="115">
        <v>0</v>
      </c>
      <c r="O15" s="115">
        <v>0</v>
      </c>
      <c r="P15" s="115">
        <v>0</v>
      </c>
      <c r="Q15" s="115">
        <v>0</v>
      </c>
      <c r="R15" s="115">
        <v>0</v>
      </c>
      <c r="S15" s="115">
        <v>0</v>
      </c>
      <c r="T15" s="115">
        <v>0</v>
      </c>
      <c r="U15" s="115">
        <v>0</v>
      </c>
      <c r="V15" s="115">
        <v>0</v>
      </c>
      <c r="W15" s="115">
        <v>0</v>
      </c>
      <c r="X15" s="115">
        <v>0</v>
      </c>
      <c r="Y15" s="115">
        <v>0</v>
      </c>
      <c r="Z15" s="115">
        <v>0</v>
      </c>
      <c r="AA15" s="115">
        <v>0</v>
      </c>
      <c r="AB15" s="115">
        <v>1</v>
      </c>
      <c r="AC15" s="115">
        <v>4</v>
      </c>
      <c r="AD15" s="115">
        <v>0</v>
      </c>
      <c r="AE15" s="115">
        <v>0</v>
      </c>
      <c r="AF15" s="115">
        <v>0</v>
      </c>
      <c r="AG15" s="115">
        <v>0</v>
      </c>
      <c r="AH15" s="115">
        <v>0</v>
      </c>
      <c r="AI15" s="115">
        <v>0</v>
      </c>
      <c r="AJ15" s="115">
        <v>0</v>
      </c>
      <c r="AK15" s="115">
        <v>0</v>
      </c>
      <c r="AL15" s="115">
        <v>0</v>
      </c>
      <c r="AM15" s="115">
        <v>0</v>
      </c>
      <c r="AN15" s="115">
        <v>0</v>
      </c>
    </row>
    <row r="16" spans="2:40">
      <c r="B16" s="49" t="s">
        <v>14</v>
      </c>
      <c r="C16" s="40" t="s">
        <v>8</v>
      </c>
      <c r="D16" s="71">
        <f t="shared" si="1"/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  <c r="O16" s="116">
        <v>0</v>
      </c>
      <c r="P16" s="116">
        <v>0</v>
      </c>
      <c r="Q16" s="116">
        <v>0</v>
      </c>
      <c r="R16" s="116">
        <v>0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v>0</v>
      </c>
      <c r="AB16" s="116">
        <v>0</v>
      </c>
      <c r="AC16" s="116">
        <v>0</v>
      </c>
      <c r="AD16" s="116">
        <v>0</v>
      </c>
      <c r="AE16" s="116">
        <v>0</v>
      </c>
      <c r="AF16" s="116">
        <v>0</v>
      </c>
      <c r="AG16" s="116">
        <v>0</v>
      </c>
      <c r="AH16" s="116">
        <v>0</v>
      </c>
      <c r="AI16" s="116">
        <v>0</v>
      </c>
      <c r="AJ16" s="116">
        <v>0</v>
      </c>
      <c r="AK16" s="116">
        <v>0</v>
      </c>
      <c r="AL16" s="116">
        <v>0</v>
      </c>
      <c r="AM16" s="116">
        <v>0</v>
      </c>
      <c r="AN16" s="116">
        <v>10</v>
      </c>
    </row>
    <row r="17" spans="1:40">
      <c r="B17" s="68" t="s">
        <v>15</v>
      </c>
      <c r="C17" s="69" t="s">
        <v>8</v>
      </c>
      <c r="D17" s="70">
        <f t="shared" ref="D17" si="2">SUM(E17:K17)</f>
        <v>168</v>
      </c>
      <c r="E17" s="117">
        <f t="shared" ref="E17:AM17" si="3">SUM(E10:E16)</f>
        <v>24</v>
      </c>
      <c r="F17" s="117">
        <f t="shared" si="3"/>
        <v>24</v>
      </c>
      <c r="G17" s="117">
        <f t="shared" si="3"/>
        <v>24</v>
      </c>
      <c r="H17" s="117">
        <f t="shared" si="3"/>
        <v>24</v>
      </c>
      <c r="I17" s="117">
        <f t="shared" si="3"/>
        <v>24</v>
      </c>
      <c r="J17" s="117">
        <f t="shared" si="3"/>
        <v>24</v>
      </c>
      <c r="K17" s="117">
        <f t="shared" si="3"/>
        <v>24</v>
      </c>
      <c r="L17" s="117">
        <f t="shared" si="3"/>
        <v>24</v>
      </c>
      <c r="M17" s="117">
        <f t="shared" si="3"/>
        <v>24</v>
      </c>
      <c r="N17" s="117">
        <f t="shared" si="3"/>
        <v>24</v>
      </c>
      <c r="O17" s="117">
        <f t="shared" si="3"/>
        <v>24</v>
      </c>
      <c r="P17" s="117">
        <f t="shared" si="3"/>
        <v>24</v>
      </c>
      <c r="Q17" s="117">
        <f t="shared" si="3"/>
        <v>24</v>
      </c>
      <c r="R17" s="117">
        <f t="shared" si="3"/>
        <v>24</v>
      </c>
      <c r="S17" s="117">
        <f t="shared" si="3"/>
        <v>24</v>
      </c>
      <c r="T17" s="117">
        <f t="shared" si="3"/>
        <v>24</v>
      </c>
      <c r="U17" s="117">
        <f t="shared" si="3"/>
        <v>24</v>
      </c>
      <c r="V17" s="117">
        <f t="shared" si="3"/>
        <v>24</v>
      </c>
      <c r="W17" s="117">
        <f t="shared" si="3"/>
        <v>24</v>
      </c>
      <c r="X17" s="117">
        <f t="shared" si="3"/>
        <v>24</v>
      </c>
      <c r="Y17" s="117">
        <f t="shared" si="3"/>
        <v>24</v>
      </c>
      <c r="Z17" s="117">
        <f t="shared" si="3"/>
        <v>24</v>
      </c>
      <c r="AA17" s="117">
        <f t="shared" si="3"/>
        <v>24</v>
      </c>
      <c r="AB17" s="117">
        <f t="shared" si="3"/>
        <v>24</v>
      </c>
      <c r="AC17" s="117">
        <f t="shared" si="3"/>
        <v>24</v>
      </c>
      <c r="AD17" s="117">
        <f t="shared" si="3"/>
        <v>24</v>
      </c>
      <c r="AE17" s="117">
        <f t="shared" si="3"/>
        <v>24</v>
      </c>
      <c r="AF17" s="117">
        <f t="shared" si="3"/>
        <v>24</v>
      </c>
      <c r="AG17" s="117">
        <f t="shared" si="3"/>
        <v>24</v>
      </c>
      <c r="AH17" s="117">
        <f t="shared" si="3"/>
        <v>24</v>
      </c>
      <c r="AI17" s="117">
        <f t="shared" si="3"/>
        <v>24</v>
      </c>
      <c r="AJ17" s="117">
        <f t="shared" si="3"/>
        <v>24</v>
      </c>
      <c r="AK17" s="117">
        <f t="shared" si="3"/>
        <v>24</v>
      </c>
      <c r="AL17" s="117">
        <f t="shared" si="3"/>
        <v>24</v>
      </c>
      <c r="AM17" s="117">
        <f t="shared" si="3"/>
        <v>24</v>
      </c>
      <c r="AN17" s="117">
        <f t="shared" ref="AN17" si="4">SUM(AN10:AN16)</f>
        <v>24</v>
      </c>
    </row>
    <row r="19" spans="1:40">
      <c r="B19" s="50" t="s">
        <v>16</v>
      </c>
      <c r="C19" s="50" t="s">
        <v>0</v>
      </c>
      <c r="D19" s="58">
        <f>SUM(E19:K19)</f>
        <v>0</v>
      </c>
      <c r="E19" s="226" t="s">
        <v>472</v>
      </c>
      <c r="F19" s="127" t="s">
        <v>473</v>
      </c>
      <c r="G19" s="127" t="s">
        <v>161</v>
      </c>
      <c r="H19" s="127" t="s">
        <v>313</v>
      </c>
      <c r="I19" s="127" t="s">
        <v>313</v>
      </c>
      <c r="J19" s="127" t="s">
        <v>313</v>
      </c>
      <c r="K19" s="127" t="s">
        <v>474</v>
      </c>
      <c r="L19" s="127" t="s">
        <v>313</v>
      </c>
      <c r="M19" s="127" t="s">
        <v>313</v>
      </c>
      <c r="N19" s="127" t="s">
        <v>313</v>
      </c>
      <c r="O19" s="127" t="s">
        <v>162</v>
      </c>
      <c r="P19" s="127" t="s">
        <v>313</v>
      </c>
      <c r="Q19" s="127" t="s">
        <v>162</v>
      </c>
      <c r="R19" s="127" t="s">
        <v>162</v>
      </c>
      <c r="S19" s="127" t="s">
        <v>162</v>
      </c>
      <c r="T19" s="127" t="s">
        <v>162</v>
      </c>
      <c r="U19" s="127" t="s">
        <v>475</v>
      </c>
      <c r="V19" s="127" t="s">
        <v>476</v>
      </c>
      <c r="W19" s="127" t="s">
        <v>476</v>
      </c>
      <c r="X19" s="127" t="s">
        <v>476</v>
      </c>
      <c r="Y19" s="127" t="s">
        <v>476</v>
      </c>
      <c r="Z19" s="127" t="s">
        <v>476</v>
      </c>
      <c r="AA19" s="127" t="s">
        <v>476</v>
      </c>
      <c r="AB19" s="127" t="s">
        <v>476</v>
      </c>
      <c r="AC19" s="127" t="s">
        <v>476</v>
      </c>
      <c r="AD19" s="127" t="s">
        <v>444</v>
      </c>
      <c r="AE19" s="127" t="s">
        <v>476</v>
      </c>
      <c r="AF19" s="127" t="s">
        <v>476</v>
      </c>
      <c r="AG19" s="127" t="s">
        <v>444</v>
      </c>
      <c r="AH19" s="127" t="s">
        <v>477</v>
      </c>
      <c r="AI19" s="127" t="s">
        <v>476</v>
      </c>
      <c r="AJ19" s="127" t="s">
        <v>478</v>
      </c>
      <c r="AK19" s="127" t="s">
        <v>479</v>
      </c>
      <c r="AL19" s="127">
        <v>0</v>
      </c>
      <c r="AM19" s="298">
        <v>0</v>
      </c>
      <c r="AN19" s="127">
        <v>0</v>
      </c>
    </row>
    <row r="20" spans="1:40">
      <c r="B20" s="37" t="s">
        <v>31</v>
      </c>
      <c r="C20" s="37" t="s">
        <v>32</v>
      </c>
      <c r="D20" s="131">
        <f>SUM(E20:AB20)</f>
        <v>418.2</v>
      </c>
      <c r="E20" s="126">
        <v>0</v>
      </c>
      <c r="F20" s="128">
        <v>0</v>
      </c>
      <c r="G20" s="128">
        <v>5.4</v>
      </c>
      <c r="H20" s="128">
        <v>18</v>
      </c>
      <c r="I20" s="128">
        <v>23.5</v>
      </c>
      <c r="J20" s="128">
        <v>19</v>
      </c>
      <c r="K20" s="128">
        <v>19.5</v>
      </c>
      <c r="L20" s="128">
        <v>19.3</v>
      </c>
      <c r="M20" s="128">
        <v>18.5</v>
      </c>
      <c r="N20" s="128">
        <v>19.399999999999999</v>
      </c>
      <c r="O20" s="128">
        <v>18.5</v>
      </c>
      <c r="P20" s="128">
        <v>19</v>
      </c>
      <c r="Q20" s="128">
        <v>17.5</v>
      </c>
      <c r="R20" s="128">
        <v>20.399999999999999</v>
      </c>
      <c r="S20" s="128">
        <v>21</v>
      </c>
      <c r="T20" s="128">
        <v>21.3</v>
      </c>
      <c r="U20" s="128">
        <v>16.5</v>
      </c>
      <c r="V20" s="128">
        <v>18.5</v>
      </c>
      <c r="W20" s="128">
        <v>24.5</v>
      </c>
      <c r="X20" s="128">
        <v>18</v>
      </c>
      <c r="Y20" s="128">
        <v>18.2</v>
      </c>
      <c r="Z20" s="128">
        <v>22.5</v>
      </c>
      <c r="AA20" s="128">
        <v>21.5</v>
      </c>
      <c r="AB20" s="128">
        <v>18.2</v>
      </c>
      <c r="AC20" s="128">
        <v>18.2</v>
      </c>
      <c r="AD20" s="128">
        <v>17.600000000000001</v>
      </c>
      <c r="AE20" s="128">
        <v>23.5</v>
      </c>
      <c r="AF20" s="128" t="s">
        <v>480</v>
      </c>
      <c r="AG20" s="128">
        <v>19</v>
      </c>
      <c r="AH20" s="128">
        <v>22.5</v>
      </c>
      <c r="AI20" s="128">
        <v>17</v>
      </c>
      <c r="AJ20" s="128">
        <v>22.5</v>
      </c>
      <c r="AK20" s="128">
        <v>4.3</v>
      </c>
      <c r="AL20" s="128">
        <v>0</v>
      </c>
      <c r="AM20" s="128">
        <v>0</v>
      </c>
      <c r="AN20" s="128">
        <v>0</v>
      </c>
    </row>
    <row r="21" spans="1:40">
      <c r="B21" s="37" t="s">
        <v>35</v>
      </c>
      <c r="C21" s="37" t="s">
        <v>36</v>
      </c>
      <c r="D21" s="131">
        <f>SUM(E21:AB21)</f>
        <v>68</v>
      </c>
      <c r="E21" s="126">
        <v>0</v>
      </c>
      <c r="F21" s="128">
        <v>0</v>
      </c>
      <c r="G21" s="128">
        <v>1</v>
      </c>
      <c r="H21" s="128">
        <v>3</v>
      </c>
      <c r="I21" s="128">
        <v>4</v>
      </c>
      <c r="J21" s="128">
        <v>3</v>
      </c>
      <c r="K21" s="128">
        <v>3</v>
      </c>
      <c r="L21" s="128">
        <v>3</v>
      </c>
      <c r="M21" s="128">
        <v>3</v>
      </c>
      <c r="N21" s="128">
        <v>3</v>
      </c>
      <c r="O21" s="128">
        <v>3</v>
      </c>
      <c r="P21" s="128">
        <v>3</v>
      </c>
      <c r="Q21" s="128">
        <v>3</v>
      </c>
      <c r="R21" s="128">
        <v>3</v>
      </c>
      <c r="S21" s="128">
        <v>3</v>
      </c>
      <c r="T21" s="128">
        <v>3</v>
      </c>
      <c r="U21" s="128">
        <v>3</v>
      </c>
      <c r="V21" s="128">
        <v>3</v>
      </c>
      <c r="W21" s="128">
        <v>4</v>
      </c>
      <c r="X21" s="128">
        <v>3</v>
      </c>
      <c r="Y21" s="128">
        <v>3</v>
      </c>
      <c r="Z21" s="128">
        <v>4</v>
      </c>
      <c r="AA21" s="128">
        <v>4</v>
      </c>
      <c r="AB21" s="128">
        <v>3</v>
      </c>
      <c r="AC21" s="128">
        <v>3</v>
      </c>
      <c r="AD21" s="128">
        <v>3</v>
      </c>
      <c r="AE21" s="128">
        <v>4</v>
      </c>
      <c r="AF21" s="128">
        <v>3</v>
      </c>
      <c r="AG21" s="128">
        <v>3</v>
      </c>
      <c r="AH21" s="128">
        <v>4</v>
      </c>
      <c r="AI21" s="128">
        <v>3</v>
      </c>
      <c r="AJ21" s="128">
        <v>4</v>
      </c>
      <c r="AK21" s="128">
        <v>1</v>
      </c>
      <c r="AL21" s="128">
        <v>0</v>
      </c>
      <c r="AM21" s="128">
        <v>0</v>
      </c>
      <c r="AN21" s="128">
        <v>0</v>
      </c>
    </row>
    <row r="22" spans="1:40">
      <c r="B22" s="39" t="s">
        <v>37</v>
      </c>
      <c r="C22" s="39" t="s">
        <v>38</v>
      </c>
      <c r="D22" s="67">
        <f>SUM(E22:K22)</f>
        <v>0</v>
      </c>
      <c r="E22" s="160">
        <v>0</v>
      </c>
      <c r="F22" s="225">
        <v>0</v>
      </c>
      <c r="G22" s="225" t="s">
        <v>481</v>
      </c>
      <c r="H22" s="225" t="s">
        <v>481</v>
      </c>
      <c r="I22" s="225" t="s">
        <v>481</v>
      </c>
      <c r="J22" s="225" t="s">
        <v>482</v>
      </c>
      <c r="K22" s="225" t="s">
        <v>482</v>
      </c>
      <c r="L22" s="225" t="s">
        <v>482</v>
      </c>
      <c r="M22" s="225" t="s">
        <v>482</v>
      </c>
      <c r="N22" s="225" t="s">
        <v>482</v>
      </c>
      <c r="O22" s="225" t="s">
        <v>482</v>
      </c>
      <c r="P22" s="225" t="s">
        <v>483</v>
      </c>
      <c r="Q22" s="225" t="s">
        <v>483</v>
      </c>
      <c r="R22" s="225" t="s">
        <v>483</v>
      </c>
      <c r="S22" s="225" t="s">
        <v>482</v>
      </c>
      <c r="T22" s="225" t="s">
        <v>482</v>
      </c>
      <c r="U22" s="225" t="s">
        <v>482</v>
      </c>
      <c r="V22" s="225" t="s">
        <v>482</v>
      </c>
      <c r="W22" s="225" t="s">
        <v>482</v>
      </c>
      <c r="X22" s="225" t="s">
        <v>483</v>
      </c>
      <c r="Y22" s="225" t="s">
        <v>482</v>
      </c>
      <c r="Z22" s="225" t="s">
        <v>482</v>
      </c>
      <c r="AA22" s="225" t="s">
        <v>482</v>
      </c>
      <c r="AB22" s="225" t="s">
        <v>482</v>
      </c>
      <c r="AC22" s="225" t="s">
        <v>484</v>
      </c>
      <c r="AD22" s="225" t="s">
        <v>484</v>
      </c>
      <c r="AE22" s="225" t="s">
        <v>485</v>
      </c>
      <c r="AF22" s="225" t="s">
        <v>484</v>
      </c>
      <c r="AG22" s="225" t="s">
        <v>484</v>
      </c>
      <c r="AH22" s="225" t="s">
        <v>484</v>
      </c>
      <c r="AI22" s="225" t="s">
        <v>484</v>
      </c>
      <c r="AJ22" s="225" t="s">
        <v>482</v>
      </c>
      <c r="AK22" s="225" t="s">
        <v>482</v>
      </c>
      <c r="AL22" s="225">
        <v>0</v>
      </c>
      <c r="AM22" s="225">
        <v>0</v>
      </c>
      <c r="AN22" s="225">
        <v>0</v>
      </c>
    </row>
    <row r="23" spans="1:40">
      <c r="B23" s="39" t="s">
        <v>41</v>
      </c>
      <c r="C23" s="39" t="s">
        <v>42</v>
      </c>
      <c r="D23" s="130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</row>
    <row r="25" spans="1:40">
      <c r="B25" s="167" t="s">
        <v>43</v>
      </c>
      <c r="C25" s="168">
        <f>D27/D20</f>
        <v>1274.6293639406983</v>
      </c>
    </row>
    <row r="26" spans="1:40">
      <c r="D26" s="10"/>
    </row>
    <row r="27" spans="1:40">
      <c r="A27" s="312" t="s">
        <v>44</v>
      </c>
      <c r="B27" s="35" t="s">
        <v>45</v>
      </c>
      <c r="C27" s="35"/>
      <c r="D27" s="175">
        <f>SUM(E27:AL27)</f>
        <v>533050</v>
      </c>
      <c r="E27" s="75">
        <f t="shared" ref="E27:AM27" si="5">SUM(E28:E39)</f>
        <v>0</v>
      </c>
      <c r="F27" s="175">
        <f t="shared" si="5"/>
        <v>0</v>
      </c>
      <c r="G27" s="75">
        <f>SUM(G28:G39)</f>
        <v>4328</v>
      </c>
      <c r="H27" s="175">
        <f t="shared" si="5"/>
        <v>21401</v>
      </c>
      <c r="I27" s="75">
        <f t="shared" si="5"/>
        <v>23840</v>
      </c>
      <c r="J27" s="175">
        <f t="shared" si="5"/>
        <v>16623</v>
      </c>
      <c r="K27" s="75">
        <f t="shared" si="5"/>
        <v>19625</v>
      </c>
      <c r="L27" s="175">
        <f t="shared" si="5"/>
        <v>14924</v>
      </c>
      <c r="M27" s="75">
        <f t="shared" si="5"/>
        <v>12169</v>
      </c>
      <c r="N27" s="175">
        <f t="shared" si="5"/>
        <v>12431</v>
      </c>
      <c r="O27" s="75">
        <f t="shared" si="5"/>
        <v>9663</v>
      </c>
      <c r="P27" s="175">
        <f t="shared" si="5"/>
        <v>11320</v>
      </c>
      <c r="Q27" s="75">
        <f t="shared" si="5"/>
        <v>10250</v>
      </c>
      <c r="R27" s="175">
        <f t="shared" si="5"/>
        <v>12970</v>
      </c>
      <c r="S27" s="75">
        <f t="shared" si="5"/>
        <v>13664</v>
      </c>
      <c r="T27" s="175">
        <f t="shared" si="5"/>
        <v>16769</v>
      </c>
      <c r="U27" s="75">
        <f t="shared" si="5"/>
        <v>14968</v>
      </c>
      <c r="V27" s="175">
        <f t="shared" si="5"/>
        <v>27644</v>
      </c>
      <c r="W27" s="75">
        <f t="shared" si="5"/>
        <v>34154</v>
      </c>
      <c r="X27" s="175">
        <f t="shared" si="5"/>
        <v>26275</v>
      </c>
      <c r="Y27" s="75">
        <f t="shared" si="5"/>
        <v>21017</v>
      </c>
      <c r="Z27" s="175">
        <f t="shared" si="5"/>
        <v>23117</v>
      </c>
      <c r="AA27" s="75">
        <f t="shared" si="5"/>
        <v>19269</v>
      </c>
      <c r="AB27" s="175">
        <f t="shared" si="5"/>
        <v>14133</v>
      </c>
      <c r="AC27" s="175">
        <f t="shared" si="5"/>
        <v>14318</v>
      </c>
      <c r="AD27" s="175">
        <f t="shared" si="5"/>
        <v>17006</v>
      </c>
      <c r="AE27" s="175">
        <f t="shared" si="5"/>
        <v>16154</v>
      </c>
      <c r="AF27" s="175">
        <f t="shared" si="5"/>
        <v>19126</v>
      </c>
      <c r="AG27" s="175">
        <f t="shared" si="5"/>
        <v>21114</v>
      </c>
      <c r="AH27" s="175">
        <f t="shared" si="5"/>
        <v>25086</v>
      </c>
      <c r="AI27" s="175">
        <f t="shared" si="5"/>
        <v>17346</v>
      </c>
      <c r="AJ27" s="175">
        <f t="shared" si="5"/>
        <v>19041</v>
      </c>
      <c r="AK27" s="175">
        <f t="shared" si="5"/>
        <v>3305</v>
      </c>
      <c r="AL27" s="175">
        <f t="shared" si="5"/>
        <v>0</v>
      </c>
      <c r="AM27" s="175">
        <f t="shared" si="5"/>
        <v>0</v>
      </c>
      <c r="AN27" s="175">
        <f t="shared" ref="AN27" si="6">SUM(AN28:AN39)</f>
        <v>0</v>
      </c>
    </row>
    <row r="28" spans="1:40">
      <c r="A28" s="313"/>
      <c r="B28" s="37" t="s">
        <v>47</v>
      </c>
      <c r="C28" s="38" t="s">
        <v>48</v>
      </c>
      <c r="D28" s="73">
        <f>SUM(E28:AL28)</f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</row>
    <row r="29" spans="1:40">
      <c r="A29" s="313"/>
      <c r="B29" s="37" t="s">
        <v>49</v>
      </c>
      <c r="C29" s="38" t="s">
        <v>48</v>
      </c>
      <c r="D29" s="73">
        <f>SUM(E29:AL29)</f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</row>
    <row r="30" spans="1:40">
      <c r="A30" s="313"/>
      <c r="B30" s="37" t="s">
        <v>50</v>
      </c>
      <c r="C30" s="38" t="s">
        <v>48</v>
      </c>
      <c r="D30" s="73">
        <f t="shared" ref="D30:D39" si="7">SUM(E30:AL30)</f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51</v>
      </c>
      <c r="C31" s="38" t="s">
        <v>48</v>
      </c>
      <c r="D31" s="73">
        <f t="shared" si="7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</row>
    <row r="32" spans="1:40">
      <c r="A32" s="313"/>
      <c r="B32" s="37" t="s">
        <v>52</v>
      </c>
      <c r="C32" s="38" t="s">
        <v>48</v>
      </c>
      <c r="D32" s="73">
        <f t="shared" si="7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3"/>
      <c r="B33" s="37" t="s">
        <v>53</v>
      </c>
      <c r="C33" s="38" t="s">
        <v>48</v>
      </c>
      <c r="D33" s="73">
        <f t="shared" si="7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54</v>
      </c>
      <c r="C34" s="38" t="s">
        <v>48</v>
      </c>
      <c r="D34" s="73">
        <f t="shared" si="7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55</v>
      </c>
      <c r="C35" s="38" t="s">
        <v>48</v>
      </c>
      <c r="D35" s="73">
        <f t="shared" si="7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3"/>
      <c r="B36" s="37" t="s">
        <v>56</v>
      </c>
      <c r="C36" s="38" t="s">
        <v>48</v>
      </c>
      <c r="D36" s="73">
        <f t="shared" si="7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</row>
    <row r="37" spans="1:40">
      <c r="A37" s="313"/>
      <c r="B37" s="37" t="s">
        <v>57</v>
      </c>
      <c r="C37" s="38" t="s">
        <v>48</v>
      </c>
      <c r="D37" s="73">
        <f t="shared" si="7"/>
        <v>306240</v>
      </c>
      <c r="E37" s="55">
        <v>0</v>
      </c>
      <c r="F37" s="55">
        <v>0</v>
      </c>
      <c r="G37" s="55">
        <v>4158</v>
      </c>
      <c r="H37" s="55">
        <v>12453</v>
      </c>
      <c r="I37" s="55">
        <v>12222</v>
      </c>
      <c r="J37" s="55">
        <v>6636</v>
      </c>
      <c r="K37" s="55">
        <v>13860</v>
      </c>
      <c r="L37" s="55">
        <v>7077</v>
      </c>
      <c r="M37" s="55">
        <v>6174</v>
      </c>
      <c r="N37" s="55">
        <v>5239</v>
      </c>
      <c r="O37" s="55">
        <v>4263</v>
      </c>
      <c r="P37" s="55">
        <v>3612</v>
      </c>
      <c r="Q37" s="55">
        <v>3234</v>
      </c>
      <c r="R37" s="55">
        <v>5523</v>
      </c>
      <c r="S37" s="55">
        <v>5208</v>
      </c>
      <c r="T37" s="55">
        <v>7266</v>
      </c>
      <c r="U37" s="55">
        <v>6741</v>
      </c>
      <c r="V37" s="55">
        <v>23646</v>
      </c>
      <c r="W37" s="55">
        <v>29841</v>
      </c>
      <c r="X37" s="55">
        <v>21063</v>
      </c>
      <c r="Y37" s="55">
        <v>15761</v>
      </c>
      <c r="Z37" s="55">
        <v>14322</v>
      </c>
      <c r="AA37" s="55">
        <v>9366</v>
      </c>
      <c r="AB37" s="55">
        <v>8295</v>
      </c>
      <c r="AC37" s="55">
        <v>6909</v>
      </c>
      <c r="AD37" s="55">
        <v>8652</v>
      </c>
      <c r="AE37" s="55">
        <v>7602</v>
      </c>
      <c r="AF37" s="55">
        <v>11991</v>
      </c>
      <c r="AG37" s="55">
        <v>12936</v>
      </c>
      <c r="AH37" s="55">
        <v>16758</v>
      </c>
      <c r="AI37" s="55">
        <v>7203</v>
      </c>
      <c r="AJ37" s="55">
        <v>7053</v>
      </c>
      <c r="AK37" s="55">
        <v>1176</v>
      </c>
      <c r="AL37" s="55">
        <v>0</v>
      </c>
      <c r="AM37" s="55">
        <v>0</v>
      </c>
      <c r="AN37" s="55">
        <v>0</v>
      </c>
    </row>
    <row r="38" spans="1:40">
      <c r="A38" s="313"/>
      <c r="B38" s="37" t="s">
        <v>58</v>
      </c>
      <c r="C38" s="38" t="s">
        <v>48</v>
      </c>
      <c r="D38" s="73">
        <f t="shared" si="7"/>
        <v>226810</v>
      </c>
      <c r="E38" s="55">
        <v>0</v>
      </c>
      <c r="F38" s="55">
        <v>0</v>
      </c>
      <c r="G38" s="55">
        <v>170</v>
      </c>
      <c r="H38" s="55">
        <v>8948</v>
      </c>
      <c r="I38" s="55">
        <v>11618</v>
      </c>
      <c r="J38" s="55">
        <v>9987</v>
      </c>
      <c r="K38" s="55">
        <v>5765</v>
      </c>
      <c r="L38" s="55">
        <v>7847</v>
      </c>
      <c r="M38" s="55">
        <v>5995</v>
      </c>
      <c r="N38" s="55">
        <v>7192</v>
      </c>
      <c r="O38" s="55">
        <v>5400</v>
      </c>
      <c r="P38" s="55">
        <v>7708</v>
      </c>
      <c r="Q38" s="55">
        <v>7016</v>
      </c>
      <c r="R38" s="55">
        <v>7447</v>
      </c>
      <c r="S38" s="55">
        <v>8456</v>
      </c>
      <c r="T38" s="55">
        <v>9503</v>
      </c>
      <c r="U38" s="55">
        <v>8227</v>
      </c>
      <c r="V38" s="55">
        <v>3998</v>
      </c>
      <c r="W38" s="55">
        <v>4313</v>
      </c>
      <c r="X38" s="55">
        <v>5212</v>
      </c>
      <c r="Y38" s="55">
        <v>5256</v>
      </c>
      <c r="Z38" s="55">
        <v>8795</v>
      </c>
      <c r="AA38" s="55">
        <v>9903</v>
      </c>
      <c r="AB38" s="55">
        <v>5838</v>
      </c>
      <c r="AC38" s="55">
        <v>7409</v>
      </c>
      <c r="AD38" s="55">
        <v>8354</v>
      </c>
      <c r="AE38" s="55">
        <v>8552</v>
      </c>
      <c r="AF38" s="55">
        <v>7135</v>
      </c>
      <c r="AG38" s="55">
        <v>8178</v>
      </c>
      <c r="AH38" s="55">
        <v>8328</v>
      </c>
      <c r="AI38" s="55">
        <v>10143</v>
      </c>
      <c r="AJ38" s="55">
        <v>11988</v>
      </c>
      <c r="AK38" s="55">
        <v>2129</v>
      </c>
      <c r="AL38" s="55">
        <v>0</v>
      </c>
      <c r="AM38" s="55">
        <v>0</v>
      </c>
      <c r="AN38" s="55">
        <v>0</v>
      </c>
    </row>
    <row r="39" spans="1:40">
      <c r="A39" s="314"/>
      <c r="B39" s="39" t="s">
        <v>59</v>
      </c>
      <c r="C39" s="40" t="s">
        <v>48</v>
      </c>
      <c r="D39" s="73">
        <f t="shared" si="7"/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55">
        <v>0</v>
      </c>
      <c r="AN39" s="55">
        <v>0</v>
      </c>
    </row>
    <row r="40" spans="1:40">
      <c r="A40" s="164"/>
      <c r="B40" s="94" t="s">
        <v>149</v>
      </c>
      <c r="C40" s="166"/>
      <c r="D40" s="192">
        <f t="shared" ref="D40:AM40" si="8">D38/D27</f>
        <v>0.42549479410937058</v>
      </c>
      <c r="E40" s="262" t="e">
        <f t="shared" si="8"/>
        <v>#DIV/0!</v>
      </c>
      <c r="F40" s="170" t="e">
        <f t="shared" si="8"/>
        <v>#DIV/0!</v>
      </c>
      <c r="G40" s="170">
        <f t="shared" si="8"/>
        <v>3.9279112754158962E-2</v>
      </c>
      <c r="H40" s="170">
        <f t="shared" si="8"/>
        <v>0.41811130321013035</v>
      </c>
      <c r="I40" s="170">
        <f t="shared" si="8"/>
        <v>0.48733221476510069</v>
      </c>
      <c r="J40" s="170">
        <f t="shared" si="8"/>
        <v>0.60079408049088612</v>
      </c>
      <c r="K40" s="170">
        <f t="shared" si="8"/>
        <v>0.29375796178343949</v>
      </c>
      <c r="L40" s="170">
        <f t="shared" si="8"/>
        <v>0.52579737335834897</v>
      </c>
      <c r="M40" s="170">
        <f t="shared" si="8"/>
        <v>0.49264524611718302</v>
      </c>
      <c r="N40" s="170">
        <f t="shared" si="8"/>
        <v>0.5785536159600998</v>
      </c>
      <c r="O40" s="170">
        <f t="shared" si="8"/>
        <v>0.55883266066438997</v>
      </c>
      <c r="P40" s="170">
        <f t="shared" si="8"/>
        <v>0.68091872791519437</v>
      </c>
      <c r="Q40" s="170">
        <f t="shared" si="8"/>
        <v>0.68448780487804883</v>
      </c>
      <c r="R40" s="170">
        <f t="shared" si="8"/>
        <v>0.57417116422513492</v>
      </c>
      <c r="S40" s="170">
        <f t="shared" si="8"/>
        <v>0.61885245901639341</v>
      </c>
      <c r="T40" s="170">
        <f t="shared" si="8"/>
        <v>0.56670045918063094</v>
      </c>
      <c r="U40" s="170">
        <f t="shared" si="8"/>
        <v>0.54963923035809725</v>
      </c>
      <c r="V40" s="170">
        <f t="shared" si="8"/>
        <v>0.14462451164809723</v>
      </c>
      <c r="W40" s="170">
        <f t="shared" si="8"/>
        <v>0.12628096269836622</v>
      </c>
      <c r="X40" s="170">
        <f t="shared" si="8"/>
        <v>0.19836346336822075</v>
      </c>
      <c r="Y40" s="170">
        <f t="shared" si="8"/>
        <v>0.25008326592758245</v>
      </c>
      <c r="Z40" s="170">
        <f t="shared" si="8"/>
        <v>0.38045594151490247</v>
      </c>
      <c r="AA40" s="170">
        <f t="shared" si="8"/>
        <v>0.51393429861435469</v>
      </c>
      <c r="AB40" s="170">
        <f t="shared" si="8"/>
        <v>0.41307578008915302</v>
      </c>
      <c r="AC40" s="170">
        <f t="shared" si="8"/>
        <v>0.51746053918144996</v>
      </c>
      <c r="AD40" s="170">
        <f t="shared" si="8"/>
        <v>0.49123838645184054</v>
      </c>
      <c r="AE40" s="170">
        <f t="shared" si="8"/>
        <v>0.52940448186207756</v>
      </c>
      <c r="AF40" s="170">
        <f t="shared" si="8"/>
        <v>0.37305238941754681</v>
      </c>
      <c r="AG40" s="170">
        <f t="shared" si="8"/>
        <v>0.38732594487070188</v>
      </c>
      <c r="AH40" s="170">
        <f t="shared" si="8"/>
        <v>0.33197799569480985</v>
      </c>
      <c r="AI40" s="170">
        <f t="shared" si="8"/>
        <v>0.5847457627118644</v>
      </c>
      <c r="AJ40" s="170">
        <f t="shared" si="8"/>
        <v>0.62958878210178038</v>
      </c>
      <c r="AK40" s="170">
        <f t="shared" si="8"/>
        <v>0.64417549167927379</v>
      </c>
      <c r="AL40" s="170" t="e">
        <f t="shared" si="8"/>
        <v>#DIV/0!</v>
      </c>
      <c r="AM40" s="170" t="e">
        <f t="shared" si="8"/>
        <v>#DIV/0!</v>
      </c>
      <c r="AN40" s="170" t="e">
        <f t="shared" ref="AN40" si="9">AN38/AN27</f>
        <v>#DIV/0!</v>
      </c>
    </row>
    <row r="41" spans="1:40">
      <c r="A41" s="33"/>
      <c r="B41" s="246" t="s">
        <v>338</v>
      </c>
      <c r="C41" s="247" t="s">
        <v>84</v>
      </c>
      <c r="D41" s="249">
        <f t="shared" ref="D41:F41" si="10">+D61/D27</f>
        <v>29.360885470406153</v>
      </c>
      <c r="E41" s="249" t="e">
        <f t="shared" si="10"/>
        <v>#DIV/0!</v>
      </c>
      <c r="F41" s="249" t="e">
        <f t="shared" si="10"/>
        <v>#DIV/0!</v>
      </c>
      <c r="G41" s="249">
        <f>+G61/G27</f>
        <v>20.864140480591498</v>
      </c>
      <c r="H41" s="249">
        <f t="shared" ref="H41:AE41" si="11">+H61/H27</f>
        <v>29.198448670622867</v>
      </c>
      <c r="I41" s="249">
        <f t="shared" si="11"/>
        <v>30.721308724832216</v>
      </c>
      <c r="J41" s="249">
        <f t="shared" si="11"/>
        <v>33.217469770799497</v>
      </c>
      <c r="K41" s="249">
        <f t="shared" si="11"/>
        <v>26.462675159235669</v>
      </c>
      <c r="L41" s="249">
        <f t="shared" si="11"/>
        <v>31.567542213883677</v>
      </c>
      <c r="M41" s="249">
        <f t="shared" si="11"/>
        <v>30.838195414578028</v>
      </c>
      <c r="N41" s="249">
        <f t="shared" si="11"/>
        <v>32.728179551122196</v>
      </c>
      <c r="O41" s="249">
        <f t="shared" si="11"/>
        <v>32.294318534616579</v>
      </c>
      <c r="P41" s="249">
        <f t="shared" si="11"/>
        <v>34.980212014134274</v>
      </c>
      <c r="Q41" s="249">
        <f t="shared" si="11"/>
        <v>35.058731707317072</v>
      </c>
      <c r="R41" s="249">
        <f t="shared" si="11"/>
        <v>32.631765612952968</v>
      </c>
      <c r="S41" s="249">
        <f t="shared" si="11"/>
        <v>33.614754098360656</v>
      </c>
      <c r="T41" s="249">
        <f t="shared" si="11"/>
        <v>32.467410101973883</v>
      </c>
      <c r="U41" s="249">
        <f t="shared" si="11"/>
        <v>32.092063067878144</v>
      </c>
      <c r="V41" s="249">
        <f t="shared" si="11"/>
        <v>23.18173925625814</v>
      </c>
      <c r="W41" s="249">
        <f t="shared" si="11"/>
        <v>22.778181179364058</v>
      </c>
      <c r="X41" s="249">
        <f t="shared" si="11"/>
        <v>24.363996194100856</v>
      </c>
      <c r="Y41" s="249">
        <f t="shared" si="11"/>
        <v>25.501831850406813</v>
      </c>
      <c r="Z41" s="249">
        <f t="shared" si="11"/>
        <v>28.370030713327854</v>
      </c>
      <c r="AA41" s="249">
        <f t="shared" si="11"/>
        <v>31.306554569515804</v>
      </c>
      <c r="AB41" s="249">
        <f t="shared" si="11"/>
        <v>29.087667161961367</v>
      </c>
      <c r="AC41" s="249">
        <f t="shared" si="11"/>
        <v>31.3841318619919</v>
      </c>
      <c r="AD41" s="249">
        <f t="shared" si="11"/>
        <v>30.807244501940492</v>
      </c>
      <c r="AE41" s="249">
        <f t="shared" si="11"/>
        <v>31.646898600965706</v>
      </c>
      <c r="AF41" s="249">
        <f t="shared" ref="AF41:AN41" si="12">+AF61/AF27</f>
        <v>28.207152567186029</v>
      </c>
      <c r="AG41" s="249">
        <f t="shared" si="12"/>
        <v>28.521170787155441</v>
      </c>
      <c r="AH41" s="249">
        <f t="shared" si="12"/>
        <v>27.303515905285817</v>
      </c>
      <c r="AI41" s="249">
        <f t="shared" si="12"/>
        <v>32.864406779661017</v>
      </c>
      <c r="AJ41" s="249">
        <f t="shared" si="12"/>
        <v>33.850953206239168</v>
      </c>
      <c r="AK41" s="249">
        <f t="shared" si="12"/>
        <v>34.171860816944026</v>
      </c>
      <c r="AL41" s="249" t="e">
        <f t="shared" si="12"/>
        <v>#DIV/0!</v>
      </c>
      <c r="AM41" s="249" t="e">
        <f t="shared" si="12"/>
        <v>#DIV/0!</v>
      </c>
      <c r="AN41" s="249" t="e">
        <f t="shared" si="12"/>
        <v>#DIV/0!</v>
      </c>
    </row>
    <row r="42" spans="1:40">
      <c r="A42" s="33"/>
      <c r="C42" s="299">
        <f>+D61/D27</f>
        <v>29.360885470406153</v>
      </c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</row>
    <row r="43" spans="1:40">
      <c r="A43" s="324" t="s">
        <v>60</v>
      </c>
      <c r="B43" s="50" t="s">
        <v>61</v>
      </c>
      <c r="C43" s="91" t="s">
        <v>62</v>
      </c>
      <c r="D43" s="229">
        <f>SUM(E43:AM43)</f>
        <v>569000</v>
      </c>
      <c r="E43" s="86">
        <v>5000</v>
      </c>
      <c r="F43" s="86">
        <v>10000</v>
      </c>
      <c r="G43" s="86">
        <v>16000</v>
      </c>
      <c r="H43" s="86">
        <v>17000</v>
      </c>
      <c r="I43" s="86">
        <v>17000</v>
      </c>
      <c r="J43" s="86">
        <v>17000</v>
      </c>
      <c r="K43" s="86">
        <v>17000</v>
      </c>
      <c r="L43" s="86">
        <v>19000</v>
      </c>
      <c r="M43" s="86">
        <v>17000</v>
      </c>
      <c r="N43" s="86">
        <v>17000</v>
      </c>
      <c r="O43" s="86">
        <v>19000</v>
      </c>
      <c r="P43" s="86">
        <v>17000</v>
      </c>
      <c r="Q43" s="86">
        <v>17000</v>
      </c>
      <c r="R43" s="86">
        <v>18000</v>
      </c>
      <c r="S43" s="86">
        <v>17000</v>
      </c>
      <c r="T43" s="86">
        <v>17000</v>
      </c>
      <c r="U43" s="86">
        <v>18000</v>
      </c>
      <c r="V43" s="86">
        <v>18000</v>
      </c>
      <c r="W43" s="86">
        <v>18000</v>
      </c>
      <c r="X43" s="86">
        <v>17000</v>
      </c>
      <c r="Y43" s="86">
        <v>17000</v>
      </c>
      <c r="Z43" s="86">
        <v>17000</v>
      </c>
      <c r="AA43" s="86">
        <v>17000</v>
      </c>
      <c r="AB43" s="86">
        <v>17000</v>
      </c>
      <c r="AC43" s="86">
        <v>15000</v>
      </c>
      <c r="AD43" s="86">
        <v>16000</v>
      </c>
      <c r="AE43" s="86">
        <v>17000</v>
      </c>
      <c r="AF43" s="86">
        <v>17000</v>
      </c>
      <c r="AG43" s="86">
        <v>17000</v>
      </c>
      <c r="AH43" s="86">
        <v>17000</v>
      </c>
      <c r="AI43" s="86">
        <v>17000</v>
      </c>
      <c r="AJ43" s="86">
        <v>18000</v>
      </c>
      <c r="AK43" s="86">
        <v>17000</v>
      </c>
      <c r="AL43" s="86">
        <v>16000</v>
      </c>
      <c r="AM43" s="86">
        <v>6000</v>
      </c>
      <c r="AN43" s="86">
        <v>8000</v>
      </c>
    </row>
    <row r="44" spans="1:40">
      <c r="A44" s="325"/>
      <c r="B44" s="39" t="s">
        <v>63</v>
      </c>
      <c r="C44" s="92" t="s">
        <v>62</v>
      </c>
      <c r="D44" s="230">
        <f>SUM(E44:AM44)</f>
        <v>800</v>
      </c>
      <c r="E44" s="87">
        <v>200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7">
        <v>200</v>
      </c>
      <c r="P44" s="87">
        <v>0</v>
      </c>
      <c r="Q44" s="87">
        <v>0</v>
      </c>
      <c r="R44" s="87">
        <v>0</v>
      </c>
      <c r="S44" s="87">
        <v>0</v>
      </c>
      <c r="T44" s="87">
        <v>0</v>
      </c>
      <c r="U44" s="87">
        <v>200</v>
      </c>
      <c r="V44" s="87">
        <v>0</v>
      </c>
      <c r="W44" s="87">
        <v>0</v>
      </c>
      <c r="X44" s="87">
        <v>0</v>
      </c>
      <c r="Y44" s="87">
        <v>0</v>
      </c>
      <c r="Z44" s="87">
        <v>0</v>
      </c>
      <c r="AA44" s="87">
        <v>0</v>
      </c>
      <c r="AB44" s="87">
        <v>0</v>
      </c>
      <c r="AC44" s="87">
        <v>0</v>
      </c>
      <c r="AD44" s="87">
        <v>0</v>
      </c>
      <c r="AE44" s="87">
        <v>0</v>
      </c>
      <c r="AF44" s="87">
        <v>200</v>
      </c>
      <c r="AG44" s="87">
        <v>0</v>
      </c>
      <c r="AH44" s="87">
        <v>0</v>
      </c>
      <c r="AI44" s="87">
        <v>0</v>
      </c>
      <c r="AJ44" s="87">
        <v>0</v>
      </c>
      <c r="AK44" s="87">
        <v>0</v>
      </c>
      <c r="AL44" s="87">
        <v>0</v>
      </c>
      <c r="AM44" s="87" t="s">
        <v>486</v>
      </c>
      <c r="AN44" s="87">
        <v>0</v>
      </c>
    </row>
    <row r="46" spans="1:40">
      <c r="B46" s="167" t="s">
        <v>240</v>
      </c>
      <c r="C46" s="184" t="s">
        <v>241</v>
      </c>
      <c r="D46" s="187">
        <f t="shared" ref="D46:AN46" si="13">D43/D27</f>
        <v>1.0674420786042584</v>
      </c>
      <c r="E46" s="185" t="e">
        <f t="shared" si="13"/>
        <v>#DIV/0!</v>
      </c>
      <c r="F46" s="188" t="e">
        <f t="shared" si="13"/>
        <v>#DIV/0!</v>
      </c>
      <c r="G46" s="186">
        <f t="shared" si="13"/>
        <v>3.6968576709796674</v>
      </c>
      <c r="H46" s="188">
        <f t="shared" si="13"/>
        <v>0.79435540395308635</v>
      </c>
      <c r="I46" s="186">
        <f t="shared" si="13"/>
        <v>0.71308724832214765</v>
      </c>
      <c r="J46" s="188">
        <f t="shared" si="13"/>
        <v>1.0226794200806113</v>
      </c>
      <c r="K46" s="186">
        <f t="shared" si="13"/>
        <v>0.86624203821656054</v>
      </c>
      <c r="L46" s="188">
        <f t="shared" si="13"/>
        <v>1.2731171267756634</v>
      </c>
      <c r="M46" s="186">
        <f t="shared" si="13"/>
        <v>1.3969923576300436</v>
      </c>
      <c r="N46" s="188">
        <f t="shared" si="13"/>
        <v>1.3675488697610811</v>
      </c>
      <c r="O46" s="186">
        <f t="shared" si="13"/>
        <v>1.9662630653006312</v>
      </c>
      <c r="P46" s="188">
        <f t="shared" si="13"/>
        <v>1.5017667844522968</v>
      </c>
      <c r="Q46" s="186">
        <f t="shared" si="13"/>
        <v>1.6585365853658536</v>
      </c>
      <c r="R46" s="188">
        <f t="shared" si="13"/>
        <v>1.3878180416345411</v>
      </c>
      <c r="S46" s="186">
        <f t="shared" si="13"/>
        <v>1.244145199063232</v>
      </c>
      <c r="T46" s="188">
        <f t="shared" si="13"/>
        <v>1.0137754189277834</v>
      </c>
      <c r="U46" s="186">
        <f t="shared" si="13"/>
        <v>1.202565473009086</v>
      </c>
      <c r="V46" s="188">
        <f t="shared" si="13"/>
        <v>0.65113587035161336</v>
      </c>
      <c r="W46" s="186">
        <f t="shared" si="13"/>
        <v>0.52702465304210344</v>
      </c>
      <c r="X46" s="188">
        <f t="shared" si="13"/>
        <v>0.64700285442435779</v>
      </c>
      <c r="Y46" s="186">
        <f t="shared" si="13"/>
        <v>0.80886901080078033</v>
      </c>
      <c r="Z46" s="188">
        <f t="shared" si="13"/>
        <v>0.73538954016524638</v>
      </c>
      <c r="AA46" s="186">
        <f t="shared" si="13"/>
        <v>0.88224609476360993</v>
      </c>
      <c r="AB46" s="188">
        <f t="shared" si="13"/>
        <v>1.2028585579848581</v>
      </c>
      <c r="AC46" s="188">
        <f t="shared" si="13"/>
        <v>1.0476323508869954</v>
      </c>
      <c r="AD46" s="188">
        <f t="shared" si="13"/>
        <v>0.94084440785605084</v>
      </c>
      <c r="AE46" s="188">
        <f t="shared" si="13"/>
        <v>1.0523709298006685</v>
      </c>
      <c r="AF46" s="188">
        <f t="shared" si="13"/>
        <v>0.88884241346857684</v>
      </c>
      <c r="AG46" s="188">
        <f t="shared" si="13"/>
        <v>0.80515297906602257</v>
      </c>
      <c r="AH46" s="188">
        <f t="shared" si="13"/>
        <v>0.67766881926173961</v>
      </c>
      <c r="AI46" s="188">
        <f t="shared" si="13"/>
        <v>0.98005303816441836</v>
      </c>
      <c r="AJ46" s="188">
        <f t="shared" si="13"/>
        <v>0.94532850165432492</v>
      </c>
      <c r="AK46" s="188">
        <f t="shared" si="13"/>
        <v>5.143721633888048</v>
      </c>
      <c r="AL46" s="188" t="e">
        <f t="shared" si="13"/>
        <v>#DIV/0!</v>
      </c>
      <c r="AM46" s="188" t="e">
        <f t="shared" si="13"/>
        <v>#DIV/0!</v>
      </c>
      <c r="AN46" s="188" t="e">
        <f t="shared" si="13"/>
        <v>#DIV/0!</v>
      </c>
    </row>
    <row r="48" spans="1:40">
      <c r="A48" s="312" t="s">
        <v>64</v>
      </c>
      <c r="B48" s="93" t="s">
        <v>65</v>
      </c>
      <c r="C48" s="47" t="s">
        <v>8</v>
      </c>
      <c r="D48" s="181">
        <f>SUM(E48:AL48)</f>
        <v>0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  <c r="X48" s="88">
        <v>0</v>
      </c>
      <c r="Y48" s="88">
        <v>0</v>
      </c>
      <c r="Z48" s="88">
        <v>0</v>
      </c>
      <c r="AA48" s="88">
        <v>0</v>
      </c>
      <c r="AB48" s="88">
        <v>0</v>
      </c>
      <c r="AC48" s="88">
        <v>0</v>
      </c>
      <c r="AD48" s="88">
        <v>0</v>
      </c>
      <c r="AE48" s="88">
        <v>0</v>
      </c>
      <c r="AF48" s="88">
        <v>0</v>
      </c>
      <c r="AG48" s="88">
        <v>0</v>
      </c>
      <c r="AH48" s="88">
        <v>0</v>
      </c>
      <c r="AI48" s="88">
        <v>0</v>
      </c>
      <c r="AJ48" s="88">
        <v>0</v>
      </c>
      <c r="AK48" s="88">
        <v>0</v>
      </c>
      <c r="AL48" s="88">
        <v>0</v>
      </c>
      <c r="AM48" s="88">
        <v>0</v>
      </c>
      <c r="AN48" s="88">
        <v>0</v>
      </c>
    </row>
    <row r="49" spans="1:40">
      <c r="A49" s="313"/>
      <c r="B49" s="94" t="s">
        <v>66</v>
      </c>
      <c r="C49" s="38" t="s">
        <v>8</v>
      </c>
      <c r="D49" s="182">
        <f>SUM(E49:AL49)</f>
        <v>0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</row>
    <row r="50" spans="1:40">
      <c r="A50" s="313"/>
      <c r="B50" s="94" t="s">
        <v>67</v>
      </c>
      <c r="C50" s="38" t="s">
        <v>8</v>
      </c>
      <c r="D50" s="182">
        <f t="shared" ref="D50:D51" si="14">SUM(E50:AL50)</f>
        <v>0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</row>
    <row r="51" spans="1:40">
      <c r="A51" s="313"/>
      <c r="B51" s="95" t="s">
        <v>68</v>
      </c>
      <c r="C51" s="40" t="s">
        <v>8</v>
      </c>
      <c r="D51" s="183">
        <f t="shared" si="14"/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</row>
    <row r="52" spans="1:40">
      <c r="A52" s="313"/>
      <c r="B52" s="93" t="s">
        <v>69</v>
      </c>
      <c r="C52" s="91" t="s">
        <v>48</v>
      </c>
      <c r="D52" s="195">
        <f>SUM(E52:AL52)</f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  <c r="P52" s="86">
        <v>0</v>
      </c>
      <c r="Q52" s="86">
        <v>0</v>
      </c>
      <c r="R52" s="86">
        <v>0</v>
      </c>
      <c r="S52" s="86">
        <v>0</v>
      </c>
      <c r="T52" s="86">
        <v>0</v>
      </c>
      <c r="U52" s="86">
        <v>0</v>
      </c>
      <c r="V52" s="86">
        <v>0</v>
      </c>
      <c r="W52" s="86">
        <v>0</v>
      </c>
      <c r="X52" s="86">
        <v>0</v>
      </c>
      <c r="Y52" s="86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6">
        <v>0</v>
      </c>
      <c r="AK52" s="86">
        <v>0</v>
      </c>
      <c r="AL52" s="86">
        <v>0</v>
      </c>
      <c r="AM52" s="86">
        <v>0</v>
      </c>
      <c r="AN52" s="86">
        <v>0</v>
      </c>
    </row>
    <row r="53" spans="1:40">
      <c r="A53" s="314"/>
      <c r="B53" s="95" t="s">
        <v>70</v>
      </c>
      <c r="C53" s="92" t="s">
        <v>48</v>
      </c>
      <c r="D53" s="199">
        <f>SUM(E53:AL53)</f>
        <v>0</v>
      </c>
      <c r="E53" s="87">
        <v>0</v>
      </c>
      <c r="F53" s="87">
        <v>0</v>
      </c>
      <c r="G53" s="87">
        <v>0</v>
      </c>
      <c r="H53" s="87">
        <v>0</v>
      </c>
      <c r="I53" s="87">
        <v>0</v>
      </c>
      <c r="J53" s="87">
        <v>0</v>
      </c>
      <c r="K53" s="87">
        <v>0</v>
      </c>
      <c r="L53" s="87">
        <v>0</v>
      </c>
      <c r="M53" s="87">
        <v>0</v>
      </c>
      <c r="N53" s="87">
        <v>0</v>
      </c>
      <c r="O53" s="87">
        <v>0</v>
      </c>
      <c r="P53" s="87">
        <v>0</v>
      </c>
      <c r="Q53" s="87">
        <v>0</v>
      </c>
      <c r="R53" s="87">
        <v>0</v>
      </c>
      <c r="S53" s="87">
        <v>0</v>
      </c>
      <c r="T53" s="87">
        <v>0</v>
      </c>
      <c r="U53" s="87">
        <v>0</v>
      </c>
      <c r="V53" s="87">
        <v>0</v>
      </c>
      <c r="W53" s="87">
        <v>0</v>
      </c>
      <c r="X53" s="87">
        <v>0</v>
      </c>
      <c r="Y53" s="87">
        <v>0</v>
      </c>
      <c r="Z53" s="87">
        <v>0</v>
      </c>
      <c r="AA53" s="87">
        <v>0</v>
      </c>
      <c r="AB53" s="87">
        <v>0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7">
        <v>0</v>
      </c>
      <c r="AJ53" s="87">
        <v>0</v>
      </c>
      <c r="AK53" s="87">
        <v>0</v>
      </c>
      <c r="AL53" s="87">
        <v>0</v>
      </c>
      <c r="AM53" s="87">
        <v>0</v>
      </c>
      <c r="AN53" s="87">
        <v>0</v>
      </c>
    </row>
    <row r="54" spans="1:40"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>
      <c r="A55" s="315" t="s">
        <v>71</v>
      </c>
      <c r="B55" s="50" t="s">
        <v>72</v>
      </c>
      <c r="C55" s="45" t="s">
        <v>73</v>
      </c>
      <c r="D55" s="7" t="s">
        <v>73</v>
      </c>
      <c r="E55" s="7" t="s">
        <v>73</v>
      </c>
      <c r="F55" s="7" t="s">
        <v>73</v>
      </c>
      <c r="G55" s="7" t="s">
        <v>73</v>
      </c>
      <c r="H55" s="7" t="s">
        <v>73</v>
      </c>
      <c r="I55" s="7" t="s">
        <v>73</v>
      </c>
      <c r="J55" s="7" t="s">
        <v>73</v>
      </c>
      <c r="K55" s="7" t="s">
        <v>73</v>
      </c>
      <c r="L55" s="7" t="s">
        <v>73</v>
      </c>
      <c r="M55" s="7" t="s">
        <v>73</v>
      </c>
      <c r="N55" s="7" t="s">
        <v>73</v>
      </c>
      <c r="O55" s="7" t="s">
        <v>73</v>
      </c>
      <c r="P55" s="7" t="s">
        <v>73</v>
      </c>
      <c r="Q55" s="7" t="s">
        <v>73</v>
      </c>
      <c r="R55" s="7" t="s">
        <v>73</v>
      </c>
      <c r="S55" s="7" t="s">
        <v>73</v>
      </c>
      <c r="T55" s="7" t="s">
        <v>73</v>
      </c>
      <c r="U55" s="7" t="s">
        <v>73</v>
      </c>
      <c r="V55" s="7" t="s">
        <v>73</v>
      </c>
      <c r="W55" s="7" t="s">
        <v>73</v>
      </c>
      <c r="X55" s="7" t="s">
        <v>73</v>
      </c>
      <c r="Y55" s="7" t="s">
        <v>73</v>
      </c>
      <c r="Z55" s="7" t="s">
        <v>73</v>
      </c>
      <c r="AA55" s="7" t="s">
        <v>73</v>
      </c>
      <c r="AB55" s="7" t="s">
        <v>73</v>
      </c>
      <c r="AC55" s="7" t="s">
        <v>73</v>
      </c>
      <c r="AD55" s="7" t="s">
        <v>73</v>
      </c>
      <c r="AE55" s="7" t="s">
        <v>73</v>
      </c>
      <c r="AF55" s="7" t="s">
        <v>73</v>
      </c>
      <c r="AG55" s="7" t="s">
        <v>73</v>
      </c>
      <c r="AH55" s="7" t="s">
        <v>73</v>
      </c>
      <c r="AI55" s="7" t="s">
        <v>73</v>
      </c>
      <c r="AJ55" s="7" t="s">
        <v>73</v>
      </c>
      <c r="AK55" s="7" t="s">
        <v>73</v>
      </c>
      <c r="AL55" s="7" t="s">
        <v>73</v>
      </c>
      <c r="AM55" s="7" t="s">
        <v>73</v>
      </c>
      <c r="AN55" s="7" t="s">
        <v>73</v>
      </c>
    </row>
    <row r="56" spans="1:40">
      <c r="A56" s="316"/>
      <c r="B56" s="37" t="s">
        <v>74</v>
      </c>
      <c r="C56" s="51" t="s">
        <v>75</v>
      </c>
      <c r="D56" s="8" t="s">
        <v>75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>
      <c r="A57" s="316"/>
      <c r="B57" s="37" t="s">
        <v>7</v>
      </c>
      <c r="C57" s="51" t="s">
        <v>75</v>
      </c>
      <c r="D57" s="8" t="s">
        <v>75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 t="s">
        <v>487</v>
      </c>
      <c r="P57" s="8"/>
      <c r="Q57" s="8" t="s">
        <v>488</v>
      </c>
      <c r="R57" s="8"/>
      <c r="S57" s="8"/>
      <c r="T57" s="8" t="s">
        <v>489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 t="s">
        <v>490</v>
      </c>
      <c r="AL57" s="8"/>
      <c r="AM57" s="8"/>
      <c r="AN57" s="8"/>
    </row>
    <row r="58" spans="1:40">
      <c r="A58" s="316"/>
      <c r="B58" s="37" t="s">
        <v>76</v>
      </c>
      <c r="C58" s="51" t="s">
        <v>75</v>
      </c>
      <c r="D58" s="8" t="s">
        <v>75</v>
      </c>
      <c r="E58" s="8"/>
      <c r="F58" s="8"/>
      <c r="G58" s="8"/>
      <c r="H58" s="8"/>
      <c r="I58" s="8"/>
      <c r="J58" s="8"/>
      <c r="K58" s="8" t="s">
        <v>491</v>
      </c>
      <c r="L58" s="8"/>
      <c r="M58" s="8" t="s">
        <v>492</v>
      </c>
      <c r="N58" s="8"/>
      <c r="O58" s="8"/>
      <c r="P58" s="8"/>
      <c r="Q58" s="8"/>
      <c r="R58" s="8"/>
      <c r="S58" s="8"/>
      <c r="T58" s="8"/>
      <c r="U58" s="8"/>
      <c r="V58" s="8" t="s">
        <v>493</v>
      </c>
      <c r="W58" s="8" t="s">
        <v>494</v>
      </c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 t="s">
        <v>495</v>
      </c>
      <c r="AI58" s="8"/>
      <c r="AJ58" s="8"/>
      <c r="AK58" s="8"/>
      <c r="AL58" s="8"/>
      <c r="AM58" s="8"/>
      <c r="AN58" s="8"/>
    </row>
    <row r="59" spans="1:40">
      <c r="A59" s="317"/>
      <c r="B59" s="39" t="s">
        <v>82</v>
      </c>
      <c r="C59" s="52" t="s">
        <v>75</v>
      </c>
      <c r="D59" s="9" t="s">
        <v>75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1" spans="1:40" ht="15.75">
      <c r="B61" s="53" t="s">
        <v>83</v>
      </c>
      <c r="C61" s="99" t="s">
        <v>84</v>
      </c>
      <c r="D61" s="100">
        <f>SUM(D62:D74)</f>
        <v>15650820</v>
      </c>
      <c r="E61" s="101">
        <f>SUM(E62:E74)</f>
        <v>0</v>
      </c>
      <c r="F61" s="101">
        <f t="shared" ref="F61:AN61" si="15">SUM(F62:F74)</f>
        <v>0</v>
      </c>
      <c r="G61" s="101">
        <f t="shared" si="15"/>
        <v>90300</v>
      </c>
      <c r="H61" s="101">
        <f t="shared" si="15"/>
        <v>624876</v>
      </c>
      <c r="I61" s="101">
        <f t="shared" si="15"/>
        <v>732396</v>
      </c>
      <c r="J61" s="101">
        <f t="shared" si="15"/>
        <v>552174</v>
      </c>
      <c r="K61" s="101">
        <f t="shared" si="15"/>
        <v>519330</v>
      </c>
      <c r="L61" s="101">
        <f t="shared" si="15"/>
        <v>471114</v>
      </c>
      <c r="M61" s="101">
        <f t="shared" si="15"/>
        <v>375270</v>
      </c>
      <c r="N61" s="101">
        <f t="shared" si="15"/>
        <v>406844</v>
      </c>
      <c r="O61" s="101">
        <f t="shared" si="15"/>
        <v>312060</v>
      </c>
      <c r="P61" s="101">
        <f t="shared" si="15"/>
        <v>395976</v>
      </c>
      <c r="Q61" s="101">
        <f t="shared" si="15"/>
        <v>359352</v>
      </c>
      <c r="R61" s="101">
        <f t="shared" si="15"/>
        <v>423234</v>
      </c>
      <c r="S61" s="101">
        <f t="shared" si="15"/>
        <v>459312</v>
      </c>
      <c r="T61" s="101">
        <f t="shared" si="15"/>
        <v>544446</v>
      </c>
      <c r="U61" s="101">
        <f t="shared" si="15"/>
        <v>480354</v>
      </c>
      <c r="V61" s="101">
        <f t="shared" si="15"/>
        <v>640836</v>
      </c>
      <c r="W61" s="101">
        <f t="shared" si="15"/>
        <v>777966</v>
      </c>
      <c r="X61" s="101">
        <f t="shared" si="15"/>
        <v>640164</v>
      </c>
      <c r="Y61" s="101">
        <f t="shared" si="15"/>
        <v>535972</v>
      </c>
      <c r="Z61" s="101">
        <f t="shared" si="15"/>
        <v>655830</v>
      </c>
      <c r="AA61" s="101">
        <f t="shared" si="15"/>
        <v>603246</v>
      </c>
      <c r="AB61" s="101">
        <f t="shared" si="15"/>
        <v>411096</v>
      </c>
      <c r="AC61" s="101">
        <f t="shared" si="15"/>
        <v>449358</v>
      </c>
      <c r="AD61" s="101">
        <f t="shared" si="15"/>
        <v>523908</v>
      </c>
      <c r="AE61" s="101">
        <f t="shared" si="15"/>
        <v>511224</v>
      </c>
      <c r="AF61" s="101">
        <f t="shared" si="15"/>
        <v>539490</v>
      </c>
      <c r="AG61" s="101">
        <f t="shared" si="15"/>
        <v>602196</v>
      </c>
      <c r="AH61" s="101">
        <f t="shared" si="15"/>
        <v>684936</v>
      </c>
      <c r="AI61" s="101">
        <f t="shared" si="15"/>
        <v>570066</v>
      </c>
      <c r="AJ61" s="101">
        <f t="shared" si="15"/>
        <v>644556</v>
      </c>
      <c r="AK61" s="101">
        <f t="shared" si="15"/>
        <v>112938</v>
      </c>
      <c r="AL61" s="101">
        <f t="shared" si="15"/>
        <v>0</v>
      </c>
      <c r="AM61" s="101">
        <f t="shared" si="15"/>
        <v>0</v>
      </c>
      <c r="AN61" s="101">
        <f t="shared" si="15"/>
        <v>0</v>
      </c>
    </row>
    <row r="62" spans="1:40">
      <c r="B62" s="96" t="s">
        <v>47</v>
      </c>
      <c r="C62" s="111">
        <v>49</v>
      </c>
      <c r="D62" s="97">
        <f t="shared" ref="D62:AN62" si="16">D28*$C62</f>
        <v>0</v>
      </c>
      <c r="E62" s="104">
        <f t="shared" si="16"/>
        <v>0</v>
      </c>
      <c r="F62" s="104">
        <f t="shared" si="16"/>
        <v>0</v>
      </c>
      <c r="G62" s="104">
        <f t="shared" si="16"/>
        <v>0</v>
      </c>
      <c r="H62" s="104">
        <f t="shared" si="16"/>
        <v>0</v>
      </c>
      <c r="I62" s="104">
        <f t="shared" si="16"/>
        <v>0</v>
      </c>
      <c r="J62" s="104">
        <f t="shared" si="16"/>
        <v>0</v>
      </c>
      <c r="K62" s="104">
        <f t="shared" si="16"/>
        <v>0</v>
      </c>
      <c r="L62" s="104">
        <f t="shared" si="16"/>
        <v>0</v>
      </c>
      <c r="M62" s="104">
        <f t="shared" si="16"/>
        <v>0</v>
      </c>
      <c r="N62" s="104">
        <f t="shared" si="16"/>
        <v>0</v>
      </c>
      <c r="O62" s="104">
        <f t="shared" si="16"/>
        <v>0</v>
      </c>
      <c r="P62" s="104">
        <f t="shared" si="16"/>
        <v>0</v>
      </c>
      <c r="Q62" s="104">
        <f t="shared" si="16"/>
        <v>0</v>
      </c>
      <c r="R62" s="104">
        <f t="shared" si="16"/>
        <v>0</v>
      </c>
      <c r="S62" s="104">
        <f t="shared" si="16"/>
        <v>0</v>
      </c>
      <c r="T62" s="104">
        <f t="shared" si="16"/>
        <v>0</v>
      </c>
      <c r="U62" s="104">
        <f t="shared" si="16"/>
        <v>0</v>
      </c>
      <c r="V62" s="104">
        <f t="shared" si="16"/>
        <v>0</v>
      </c>
      <c r="W62" s="104">
        <f t="shared" si="16"/>
        <v>0</v>
      </c>
      <c r="X62" s="104">
        <f t="shared" si="16"/>
        <v>0</v>
      </c>
      <c r="Y62" s="104">
        <f t="shared" si="16"/>
        <v>0</v>
      </c>
      <c r="Z62" s="104">
        <f t="shared" si="16"/>
        <v>0</v>
      </c>
      <c r="AA62" s="104">
        <f t="shared" si="16"/>
        <v>0</v>
      </c>
      <c r="AB62" s="104">
        <f t="shared" si="16"/>
        <v>0</v>
      </c>
      <c r="AC62" s="104">
        <f t="shared" si="16"/>
        <v>0</v>
      </c>
      <c r="AD62" s="104">
        <f t="shared" si="16"/>
        <v>0</v>
      </c>
      <c r="AE62" s="104">
        <f t="shared" si="16"/>
        <v>0</v>
      </c>
      <c r="AF62" s="104">
        <f t="shared" si="16"/>
        <v>0</v>
      </c>
      <c r="AG62" s="104">
        <f t="shared" si="16"/>
        <v>0</v>
      </c>
      <c r="AH62" s="104">
        <f t="shared" si="16"/>
        <v>0</v>
      </c>
      <c r="AI62" s="104">
        <f t="shared" si="16"/>
        <v>0</v>
      </c>
      <c r="AJ62" s="104">
        <f t="shared" si="16"/>
        <v>0</v>
      </c>
      <c r="AK62" s="104">
        <f t="shared" si="16"/>
        <v>0</v>
      </c>
      <c r="AL62" s="104">
        <f t="shared" si="16"/>
        <v>0</v>
      </c>
      <c r="AM62" s="104">
        <f t="shared" si="16"/>
        <v>0</v>
      </c>
      <c r="AN62" s="104">
        <f t="shared" si="16"/>
        <v>0</v>
      </c>
    </row>
    <row r="63" spans="1:40">
      <c r="B63" s="96" t="s">
        <v>49</v>
      </c>
      <c r="C63" s="111">
        <v>19</v>
      </c>
      <c r="D63" s="97">
        <f t="shared" ref="D63:AN63" si="17">D29*$C63</f>
        <v>0</v>
      </c>
      <c r="E63" s="104">
        <f t="shared" si="17"/>
        <v>0</v>
      </c>
      <c r="F63" s="104">
        <f t="shared" si="17"/>
        <v>0</v>
      </c>
      <c r="G63" s="104">
        <f t="shared" si="17"/>
        <v>0</v>
      </c>
      <c r="H63" s="104">
        <f t="shared" si="17"/>
        <v>0</v>
      </c>
      <c r="I63" s="104">
        <f t="shared" si="17"/>
        <v>0</v>
      </c>
      <c r="J63" s="104">
        <f t="shared" si="17"/>
        <v>0</v>
      </c>
      <c r="K63" s="104">
        <f t="shared" si="17"/>
        <v>0</v>
      </c>
      <c r="L63" s="104">
        <f t="shared" si="17"/>
        <v>0</v>
      </c>
      <c r="M63" s="104">
        <f t="shared" si="17"/>
        <v>0</v>
      </c>
      <c r="N63" s="104">
        <f t="shared" si="17"/>
        <v>0</v>
      </c>
      <c r="O63" s="104">
        <f t="shared" si="17"/>
        <v>0</v>
      </c>
      <c r="P63" s="104">
        <f t="shared" si="17"/>
        <v>0</v>
      </c>
      <c r="Q63" s="104">
        <f t="shared" si="17"/>
        <v>0</v>
      </c>
      <c r="R63" s="104">
        <f t="shared" si="17"/>
        <v>0</v>
      </c>
      <c r="S63" s="104">
        <f t="shared" si="17"/>
        <v>0</v>
      </c>
      <c r="T63" s="104">
        <f t="shared" si="17"/>
        <v>0</v>
      </c>
      <c r="U63" s="104">
        <f t="shared" si="17"/>
        <v>0</v>
      </c>
      <c r="V63" s="104">
        <f t="shared" si="17"/>
        <v>0</v>
      </c>
      <c r="W63" s="104">
        <f t="shared" si="17"/>
        <v>0</v>
      </c>
      <c r="X63" s="104">
        <f t="shared" si="17"/>
        <v>0</v>
      </c>
      <c r="Y63" s="104">
        <f t="shared" si="17"/>
        <v>0</v>
      </c>
      <c r="Z63" s="104">
        <f t="shared" si="17"/>
        <v>0</v>
      </c>
      <c r="AA63" s="104">
        <f t="shared" si="17"/>
        <v>0</v>
      </c>
      <c r="AB63" s="104">
        <f t="shared" si="17"/>
        <v>0</v>
      </c>
      <c r="AC63" s="104">
        <f t="shared" si="17"/>
        <v>0</v>
      </c>
      <c r="AD63" s="104">
        <f t="shared" si="17"/>
        <v>0</v>
      </c>
      <c r="AE63" s="104">
        <f t="shared" si="17"/>
        <v>0</v>
      </c>
      <c r="AF63" s="104">
        <f t="shared" si="17"/>
        <v>0</v>
      </c>
      <c r="AG63" s="104">
        <f t="shared" si="17"/>
        <v>0</v>
      </c>
      <c r="AH63" s="104">
        <f t="shared" si="17"/>
        <v>0</v>
      </c>
      <c r="AI63" s="104">
        <f t="shared" si="17"/>
        <v>0</v>
      </c>
      <c r="AJ63" s="104">
        <f t="shared" si="17"/>
        <v>0</v>
      </c>
      <c r="AK63" s="104">
        <f t="shared" si="17"/>
        <v>0</v>
      </c>
      <c r="AL63" s="104">
        <f t="shared" si="17"/>
        <v>0</v>
      </c>
      <c r="AM63" s="104">
        <f t="shared" si="17"/>
        <v>0</v>
      </c>
      <c r="AN63" s="104">
        <f t="shared" si="17"/>
        <v>0</v>
      </c>
    </row>
    <row r="64" spans="1:40">
      <c r="A64">
        <f>1.98*1.6</f>
        <v>3.1680000000000001</v>
      </c>
      <c r="B64" s="96" t="s">
        <v>50</v>
      </c>
      <c r="C64" s="111">
        <v>19</v>
      </c>
      <c r="D64" s="97">
        <f t="shared" ref="D64:AN64" si="18">D30*$C64</f>
        <v>0</v>
      </c>
      <c r="E64" s="104">
        <f t="shared" si="18"/>
        <v>0</v>
      </c>
      <c r="F64" s="104">
        <f t="shared" si="18"/>
        <v>0</v>
      </c>
      <c r="G64" s="104">
        <f t="shared" si="18"/>
        <v>0</v>
      </c>
      <c r="H64" s="104">
        <f t="shared" si="18"/>
        <v>0</v>
      </c>
      <c r="I64" s="104">
        <f t="shared" si="18"/>
        <v>0</v>
      </c>
      <c r="J64" s="104">
        <f t="shared" si="18"/>
        <v>0</v>
      </c>
      <c r="K64" s="104">
        <f t="shared" si="18"/>
        <v>0</v>
      </c>
      <c r="L64" s="104">
        <f t="shared" si="18"/>
        <v>0</v>
      </c>
      <c r="M64" s="104">
        <f t="shared" si="18"/>
        <v>0</v>
      </c>
      <c r="N64" s="104">
        <f t="shared" si="18"/>
        <v>0</v>
      </c>
      <c r="O64" s="104">
        <f t="shared" si="18"/>
        <v>0</v>
      </c>
      <c r="P64" s="104">
        <f t="shared" si="18"/>
        <v>0</v>
      </c>
      <c r="Q64" s="104">
        <f t="shared" si="18"/>
        <v>0</v>
      </c>
      <c r="R64" s="104">
        <f t="shared" si="18"/>
        <v>0</v>
      </c>
      <c r="S64" s="104">
        <f t="shared" si="18"/>
        <v>0</v>
      </c>
      <c r="T64" s="104">
        <f t="shared" si="18"/>
        <v>0</v>
      </c>
      <c r="U64" s="104">
        <f t="shared" si="18"/>
        <v>0</v>
      </c>
      <c r="V64" s="104">
        <f t="shared" si="18"/>
        <v>0</v>
      </c>
      <c r="W64" s="104">
        <f t="shared" si="18"/>
        <v>0</v>
      </c>
      <c r="X64" s="104">
        <f t="shared" si="18"/>
        <v>0</v>
      </c>
      <c r="Y64" s="104">
        <f t="shared" si="18"/>
        <v>0</v>
      </c>
      <c r="Z64" s="104">
        <f t="shared" si="18"/>
        <v>0</v>
      </c>
      <c r="AA64" s="104">
        <f t="shared" si="18"/>
        <v>0</v>
      </c>
      <c r="AB64" s="104">
        <f t="shared" si="18"/>
        <v>0</v>
      </c>
      <c r="AC64" s="104">
        <f t="shared" si="18"/>
        <v>0</v>
      </c>
      <c r="AD64" s="104">
        <f t="shared" si="18"/>
        <v>0</v>
      </c>
      <c r="AE64" s="104">
        <f t="shared" si="18"/>
        <v>0</v>
      </c>
      <c r="AF64" s="104">
        <f t="shared" si="18"/>
        <v>0</v>
      </c>
      <c r="AG64" s="104">
        <f t="shared" si="18"/>
        <v>0</v>
      </c>
      <c r="AH64" s="104">
        <f t="shared" si="18"/>
        <v>0</v>
      </c>
      <c r="AI64" s="104">
        <f t="shared" si="18"/>
        <v>0</v>
      </c>
      <c r="AJ64" s="104">
        <f t="shared" si="18"/>
        <v>0</v>
      </c>
      <c r="AK64" s="104">
        <f t="shared" si="18"/>
        <v>0</v>
      </c>
      <c r="AL64" s="104">
        <f t="shared" si="18"/>
        <v>0</v>
      </c>
      <c r="AM64" s="104">
        <f t="shared" si="18"/>
        <v>0</v>
      </c>
      <c r="AN64" s="104">
        <f t="shared" si="18"/>
        <v>0</v>
      </c>
    </row>
    <row r="65" spans="1:40">
      <c r="B65" s="96" t="s">
        <v>51</v>
      </c>
      <c r="C65" s="111">
        <v>15</v>
      </c>
      <c r="D65" s="97">
        <f t="shared" ref="D65:AN65" si="19">D31*$C65</f>
        <v>0</v>
      </c>
      <c r="E65" s="104">
        <f t="shared" si="19"/>
        <v>0</v>
      </c>
      <c r="F65" s="104">
        <f t="shared" si="19"/>
        <v>0</v>
      </c>
      <c r="G65" s="104">
        <f t="shared" si="19"/>
        <v>0</v>
      </c>
      <c r="H65" s="104">
        <f t="shared" si="19"/>
        <v>0</v>
      </c>
      <c r="I65" s="104">
        <f t="shared" si="19"/>
        <v>0</v>
      </c>
      <c r="J65" s="104">
        <f t="shared" si="19"/>
        <v>0</v>
      </c>
      <c r="K65" s="104">
        <f t="shared" si="19"/>
        <v>0</v>
      </c>
      <c r="L65" s="104">
        <f t="shared" si="19"/>
        <v>0</v>
      </c>
      <c r="M65" s="104">
        <f t="shared" si="19"/>
        <v>0</v>
      </c>
      <c r="N65" s="104">
        <f t="shared" si="19"/>
        <v>0</v>
      </c>
      <c r="O65" s="104">
        <f t="shared" si="19"/>
        <v>0</v>
      </c>
      <c r="P65" s="104">
        <f t="shared" si="19"/>
        <v>0</v>
      </c>
      <c r="Q65" s="104">
        <f t="shared" si="19"/>
        <v>0</v>
      </c>
      <c r="R65" s="104">
        <f t="shared" si="19"/>
        <v>0</v>
      </c>
      <c r="S65" s="104">
        <f t="shared" si="19"/>
        <v>0</v>
      </c>
      <c r="T65" s="104">
        <f t="shared" si="19"/>
        <v>0</v>
      </c>
      <c r="U65" s="104">
        <f t="shared" si="19"/>
        <v>0</v>
      </c>
      <c r="V65" s="104">
        <f t="shared" si="19"/>
        <v>0</v>
      </c>
      <c r="W65" s="104">
        <f t="shared" si="19"/>
        <v>0</v>
      </c>
      <c r="X65" s="104">
        <f t="shared" si="19"/>
        <v>0</v>
      </c>
      <c r="Y65" s="104">
        <f t="shared" si="19"/>
        <v>0</v>
      </c>
      <c r="Z65" s="104">
        <f t="shared" si="19"/>
        <v>0</v>
      </c>
      <c r="AA65" s="104">
        <f t="shared" si="19"/>
        <v>0</v>
      </c>
      <c r="AB65" s="104">
        <f t="shared" si="19"/>
        <v>0</v>
      </c>
      <c r="AC65" s="104">
        <f t="shared" si="19"/>
        <v>0</v>
      </c>
      <c r="AD65" s="104">
        <f t="shared" si="19"/>
        <v>0</v>
      </c>
      <c r="AE65" s="104">
        <f t="shared" si="19"/>
        <v>0</v>
      </c>
      <c r="AF65" s="104">
        <f t="shared" si="19"/>
        <v>0</v>
      </c>
      <c r="AG65" s="104">
        <f t="shared" si="19"/>
        <v>0</v>
      </c>
      <c r="AH65" s="104">
        <f t="shared" si="19"/>
        <v>0</v>
      </c>
      <c r="AI65" s="104">
        <f t="shared" si="19"/>
        <v>0</v>
      </c>
      <c r="AJ65" s="104">
        <f t="shared" si="19"/>
        <v>0</v>
      </c>
      <c r="AK65" s="104">
        <f t="shared" si="19"/>
        <v>0</v>
      </c>
      <c r="AL65" s="104">
        <f t="shared" si="19"/>
        <v>0</v>
      </c>
      <c r="AM65" s="104">
        <f t="shared" si="19"/>
        <v>0</v>
      </c>
      <c r="AN65" s="104">
        <f t="shared" si="19"/>
        <v>0</v>
      </c>
    </row>
    <row r="66" spans="1:40">
      <c r="B66" s="96" t="s">
        <v>52</v>
      </c>
      <c r="C66" s="111">
        <v>10</v>
      </c>
      <c r="D66" s="97">
        <f t="shared" ref="D66:AN66" si="20">D32*$C66</f>
        <v>0</v>
      </c>
      <c r="E66" s="104">
        <f t="shared" si="20"/>
        <v>0</v>
      </c>
      <c r="F66" s="104">
        <f t="shared" si="20"/>
        <v>0</v>
      </c>
      <c r="G66" s="104">
        <f t="shared" si="20"/>
        <v>0</v>
      </c>
      <c r="H66" s="104">
        <f t="shared" si="20"/>
        <v>0</v>
      </c>
      <c r="I66" s="104">
        <f t="shared" si="20"/>
        <v>0</v>
      </c>
      <c r="J66" s="104">
        <f t="shared" si="20"/>
        <v>0</v>
      </c>
      <c r="K66" s="104">
        <f t="shared" si="20"/>
        <v>0</v>
      </c>
      <c r="L66" s="104">
        <f t="shared" si="20"/>
        <v>0</v>
      </c>
      <c r="M66" s="104">
        <f t="shared" si="20"/>
        <v>0</v>
      </c>
      <c r="N66" s="104">
        <f t="shared" si="20"/>
        <v>0</v>
      </c>
      <c r="O66" s="104">
        <f t="shared" si="20"/>
        <v>0</v>
      </c>
      <c r="P66" s="104">
        <f t="shared" si="20"/>
        <v>0</v>
      </c>
      <c r="Q66" s="104">
        <f t="shared" si="20"/>
        <v>0</v>
      </c>
      <c r="R66" s="104">
        <f t="shared" si="20"/>
        <v>0</v>
      </c>
      <c r="S66" s="104">
        <f t="shared" si="20"/>
        <v>0</v>
      </c>
      <c r="T66" s="104">
        <f t="shared" si="20"/>
        <v>0</v>
      </c>
      <c r="U66" s="104">
        <f t="shared" si="20"/>
        <v>0</v>
      </c>
      <c r="V66" s="104">
        <f t="shared" si="20"/>
        <v>0</v>
      </c>
      <c r="W66" s="104">
        <f t="shared" si="20"/>
        <v>0</v>
      </c>
      <c r="X66" s="104">
        <f t="shared" si="20"/>
        <v>0</v>
      </c>
      <c r="Y66" s="104">
        <f t="shared" si="20"/>
        <v>0</v>
      </c>
      <c r="Z66" s="104">
        <f t="shared" si="20"/>
        <v>0</v>
      </c>
      <c r="AA66" s="104">
        <f t="shared" si="20"/>
        <v>0</v>
      </c>
      <c r="AB66" s="104">
        <f t="shared" si="20"/>
        <v>0</v>
      </c>
      <c r="AC66" s="104">
        <f t="shared" si="20"/>
        <v>0</v>
      </c>
      <c r="AD66" s="104">
        <f t="shared" si="20"/>
        <v>0</v>
      </c>
      <c r="AE66" s="104">
        <f t="shared" si="20"/>
        <v>0</v>
      </c>
      <c r="AF66" s="104">
        <f t="shared" si="20"/>
        <v>0</v>
      </c>
      <c r="AG66" s="104">
        <f t="shared" si="20"/>
        <v>0</v>
      </c>
      <c r="AH66" s="104">
        <f t="shared" si="20"/>
        <v>0</v>
      </c>
      <c r="AI66" s="104">
        <f t="shared" si="20"/>
        <v>0</v>
      </c>
      <c r="AJ66" s="104">
        <f t="shared" si="20"/>
        <v>0</v>
      </c>
      <c r="AK66" s="104">
        <f t="shared" si="20"/>
        <v>0</v>
      </c>
      <c r="AL66" s="104">
        <f t="shared" si="20"/>
        <v>0</v>
      </c>
      <c r="AM66" s="104">
        <f t="shared" si="20"/>
        <v>0</v>
      </c>
      <c r="AN66" s="104">
        <f t="shared" si="20"/>
        <v>0</v>
      </c>
    </row>
    <row r="67" spans="1:40">
      <c r="B67" s="96" t="s">
        <v>53</v>
      </c>
      <c r="C67" s="111">
        <v>19</v>
      </c>
      <c r="D67" s="97">
        <f t="shared" ref="D67:AN67" si="21">D33*$C67</f>
        <v>0</v>
      </c>
      <c r="E67" s="104">
        <f t="shared" si="21"/>
        <v>0</v>
      </c>
      <c r="F67" s="104">
        <f t="shared" si="21"/>
        <v>0</v>
      </c>
      <c r="G67" s="104">
        <f t="shared" si="21"/>
        <v>0</v>
      </c>
      <c r="H67" s="104">
        <f t="shared" si="21"/>
        <v>0</v>
      </c>
      <c r="I67" s="104">
        <f t="shared" si="21"/>
        <v>0</v>
      </c>
      <c r="J67" s="104">
        <f t="shared" si="21"/>
        <v>0</v>
      </c>
      <c r="K67" s="104">
        <f t="shared" si="21"/>
        <v>0</v>
      </c>
      <c r="L67" s="104">
        <f t="shared" si="21"/>
        <v>0</v>
      </c>
      <c r="M67" s="104">
        <f t="shared" si="21"/>
        <v>0</v>
      </c>
      <c r="N67" s="104">
        <f t="shared" si="21"/>
        <v>0</v>
      </c>
      <c r="O67" s="104">
        <f t="shared" si="21"/>
        <v>0</v>
      </c>
      <c r="P67" s="104">
        <f t="shared" si="21"/>
        <v>0</v>
      </c>
      <c r="Q67" s="104">
        <f t="shared" si="21"/>
        <v>0</v>
      </c>
      <c r="R67" s="104">
        <f t="shared" si="21"/>
        <v>0</v>
      </c>
      <c r="S67" s="104">
        <f t="shared" si="21"/>
        <v>0</v>
      </c>
      <c r="T67" s="104">
        <f t="shared" si="21"/>
        <v>0</v>
      </c>
      <c r="U67" s="104">
        <f t="shared" si="21"/>
        <v>0</v>
      </c>
      <c r="V67" s="104">
        <f t="shared" si="21"/>
        <v>0</v>
      </c>
      <c r="W67" s="104">
        <f t="shared" si="21"/>
        <v>0</v>
      </c>
      <c r="X67" s="104">
        <f t="shared" si="21"/>
        <v>0</v>
      </c>
      <c r="Y67" s="104">
        <f t="shared" si="21"/>
        <v>0</v>
      </c>
      <c r="Z67" s="104">
        <f t="shared" si="21"/>
        <v>0</v>
      </c>
      <c r="AA67" s="104">
        <f t="shared" si="21"/>
        <v>0</v>
      </c>
      <c r="AB67" s="104">
        <f t="shared" si="21"/>
        <v>0</v>
      </c>
      <c r="AC67" s="104">
        <f t="shared" si="21"/>
        <v>0</v>
      </c>
      <c r="AD67" s="104">
        <f t="shared" si="21"/>
        <v>0</v>
      </c>
      <c r="AE67" s="104">
        <f t="shared" si="21"/>
        <v>0</v>
      </c>
      <c r="AF67" s="104">
        <f t="shared" si="21"/>
        <v>0</v>
      </c>
      <c r="AG67" s="104">
        <f t="shared" si="21"/>
        <v>0</v>
      </c>
      <c r="AH67" s="104">
        <f t="shared" si="21"/>
        <v>0</v>
      </c>
      <c r="AI67" s="104">
        <f t="shared" si="21"/>
        <v>0</v>
      </c>
      <c r="AJ67" s="104">
        <f t="shared" si="21"/>
        <v>0</v>
      </c>
      <c r="AK67" s="104">
        <f t="shared" si="21"/>
        <v>0</v>
      </c>
      <c r="AL67" s="104">
        <f t="shared" si="21"/>
        <v>0</v>
      </c>
      <c r="AM67" s="104">
        <f t="shared" si="21"/>
        <v>0</v>
      </c>
      <c r="AN67" s="104">
        <f t="shared" si="21"/>
        <v>0</v>
      </c>
    </row>
    <row r="68" spans="1:40">
      <c r="B68" s="96" t="s">
        <v>54</v>
      </c>
      <c r="C68" s="111">
        <v>10</v>
      </c>
      <c r="D68" s="97">
        <f t="shared" ref="D68:AN68" si="22">D34*$C68</f>
        <v>0</v>
      </c>
      <c r="E68" s="104">
        <f t="shared" si="22"/>
        <v>0</v>
      </c>
      <c r="F68" s="104">
        <f t="shared" si="22"/>
        <v>0</v>
      </c>
      <c r="G68" s="104">
        <f t="shared" si="22"/>
        <v>0</v>
      </c>
      <c r="H68" s="104">
        <f t="shared" si="22"/>
        <v>0</v>
      </c>
      <c r="I68" s="104">
        <f t="shared" si="22"/>
        <v>0</v>
      </c>
      <c r="J68" s="104">
        <f t="shared" si="22"/>
        <v>0</v>
      </c>
      <c r="K68" s="104">
        <f t="shared" si="22"/>
        <v>0</v>
      </c>
      <c r="L68" s="104">
        <f t="shared" si="22"/>
        <v>0</v>
      </c>
      <c r="M68" s="104">
        <f t="shared" si="22"/>
        <v>0</v>
      </c>
      <c r="N68" s="104">
        <f t="shared" si="22"/>
        <v>0</v>
      </c>
      <c r="O68" s="104">
        <f t="shared" si="22"/>
        <v>0</v>
      </c>
      <c r="P68" s="104">
        <f t="shared" si="22"/>
        <v>0</v>
      </c>
      <c r="Q68" s="104">
        <f t="shared" si="22"/>
        <v>0</v>
      </c>
      <c r="R68" s="104">
        <f t="shared" si="22"/>
        <v>0</v>
      </c>
      <c r="S68" s="104">
        <f t="shared" si="22"/>
        <v>0</v>
      </c>
      <c r="T68" s="104">
        <f t="shared" si="22"/>
        <v>0</v>
      </c>
      <c r="U68" s="104">
        <f t="shared" si="22"/>
        <v>0</v>
      </c>
      <c r="V68" s="104">
        <f t="shared" si="22"/>
        <v>0</v>
      </c>
      <c r="W68" s="104">
        <f t="shared" si="22"/>
        <v>0</v>
      </c>
      <c r="X68" s="104">
        <f t="shared" si="22"/>
        <v>0</v>
      </c>
      <c r="Y68" s="104">
        <f t="shared" si="22"/>
        <v>0</v>
      </c>
      <c r="Z68" s="104">
        <f t="shared" si="22"/>
        <v>0</v>
      </c>
      <c r="AA68" s="104">
        <f t="shared" si="22"/>
        <v>0</v>
      </c>
      <c r="AB68" s="104">
        <f t="shared" si="22"/>
        <v>0</v>
      </c>
      <c r="AC68" s="104">
        <f t="shared" si="22"/>
        <v>0</v>
      </c>
      <c r="AD68" s="104">
        <f t="shared" si="22"/>
        <v>0</v>
      </c>
      <c r="AE68" s="104">
        <f t="shared" si="22"/>
        <v>0</v>
      </c>
      <c r="AF68" s="104">
        <f t="shared" si="22"/>
        <v>0</v>
      </c>
      <c r="AG68" s="104">
        <f t="shared" si="22"/>
        <v>0</v>
      </c>
      <c r="AH68" s="104">
        <f t="shared" si="22"/>
        <v>0</v>
      </c>
      <c r="AI68" s="104">
        <f t="shared" si="22"/>
        <v>0</v>
      </c>
      <c r="AJ68" s="104">
        <f t="shared" si="22"/>
        <v>0</v>
      </c>
      <c r="AK68" s="104">
        <f t="shared" si="22"/>
        <v>0</v>
      </c>
      <c r="AL68" s="104">
        <f t="shared" si="22"/>
        <v>0</v>
      </c>
      <c r="AM68" s="104">
        <f t="shared" si="22"/>
        <v>0</v>
      </c>
      <c r="AN68" s="104">
        <f t="shared" si="22"/>
        <v>0</v>
      </c>
    </row>
    <row r="69" spans="1:40">
      <c r="B69" s="96" t="s">
        <v>55</v>
      </c>
      <c r="C69" s="111">
        <v>50</v>
      </c>
      <c r="D69" s="97">
        <f t="shared" ref="D69:AN69" si="23">D35*$C69</f>
        <v>0</v>
      </c>
      <c r="E69" s="104">
        <f t="shared" si="23"/>
        <v>0</v>
      </c>
      <c r="F69" s="104">
        <f t="shared" si="23"/>
        <v>0</v>
      </c>
      <c r="G69" s="104">
        <f t="shared" si="23"/>
        <v>0</v>
      </c>
      <c r="H69" s="104">
        <f t="shared" si="23"/>
        <v>0</v>
      </c>
      <c r="I69" s="104">
        <f t="shared" si="23"/>
        <v>0</v>
      </c>
      <c r="J69" s="104">
        <f t="shared" si="23"/>
        <v>0</v>
      </c>
      <c r="K69" s="104">
        <f t="shared" si="23"/>
        <v>0</v>
      </c>
      <c r="L69" s="104">
        <f t="shared" si="23"/>
        <v>0</v>
      </c>
      <c r="M69" s="104">
        <f t="shared" si="23"/>
        <v>0</v>
      </c>
      <c r="N69" s="104">
        <f t="shared" si="23"/>
        <v>0</v>
      </c>
      <c r="O69" s="104">
        <f t="shared" si="23"/>
        <v>0</v>
      </c>
      <c r="P69" s="104">
        <f t="shared" si="23"/>
        <v>0</v>
      </c>
      <c r="Q69" s="104">
        <f t="shared" si="23"/>
        <v>0</v>
      </c>
      <c r="R69" s="104">
        <f t="shared" si="23"/>
        <v>0</v>
      </c>
      <c r="S69" s="104">
        <f t="shared" si="23"/>
        <v>0</v>
      </c>
      <c r="T69" s="104">
        <f t="shared" si="23"/>
        <v>0</v>
      </c>
      <c r="U69" s="104">
        <f t="shared" si="23"/>
        <v>0</v>
      </c>
      <c r="V69" s="104">
        <f t="shared" si="23"/>
        <v>0</v>
      </c>
      <c r="W69" s="104">
        <f t="shared" si="23"/>
        <v>0</v>
      </c>
      <c r="X69" s="104">
        <f t="shared" si="23"/>
        <v>0</v>
      </c>
      <c r="Y69" s="104">
        <f t="shared" si="23"/>
        <v>0</v>
      </c>
      <c r="Z69" s="104">
        <f t="shared" si="23"/>
        <v>0</v>
      </c>
      <c r="AA69" s="104">
        <f t="shared" si="23"/>
        <v>0</v>
      </c>
      <c r="AB69" s="104">
        <f t="shared" si="23"/>
        <v>0</v>
      </c>
      <c r="AC69" s="104">
        <f t="shared" si="23"/>
        <v>0</v>
      </c>
      <c r="AD69" s="104">
        <f t="shared" si="23"/>
        <v>0</v>
      </c>
      <c r="AE69" s="104">
        <f t="shared" si="23"/>
        <v>0</v>
      </c>
      <c r="AF69" s="104">
        <f t="shared" si="23"/>
        <v>0</v>
      </c>
      <c r="AG69" s="104">
        <f t="shared" si="23"/>
        <v>0</v>
      </c>
      <c r="AH69" s="104">
        <f t="shared" si="23"/>
        <v>0</v>
      </c>
      <c r="AI69" s="104">
        <f t="shared" si="23"/>
        <v>0</v>
      </c>
      <c r="AJ69" s="104">
        <f t="shared" si="23"/>
        <v>0</v>
      </c>
      <c r="AK69" s="104">
        <f t="shared" si="23"/>
        <v>0</v>
      </c>
      <c r="AL69" s="104">
        <f t="shared" si="23"/>
        <v>0</v>
      </c>
      <c r="AM69" s="104">
        <f t="shared" si="23"/>
        <v>0</v>
      </c>
      <c r="AN69" s="104">
        <f t="shared" si="23"/>
        <v>0</v>
      </c>
    </row>
    <row r="70" spans="1:40">
      <c r="B70" s="96" t="s">
        <v>56</v>
      </c>
      <c r="C70" s="111">
        <v>27.39</v>
      </c>
      <c r="D70" s="97">
        <f t="shared" ref="D70:AN70" si="24">D36*$C70</f>
        <v>0</v>
      </c>
      <c r="E70" s="104">
        <f t="shared" si="24"/>
        <v>0</v>
      </c>
      <c r="F70" s="104">
        <f t="shared" si="24"/>
        <v>0</v>
      </c>
      <c r="G70" s="104">
        <f t="shared" si="24"/>
        <v>0</v>
      </c>
      <c r="H70" s="104">
        <f t="shared" si="24"/>
        <v>0</v>
      </c>
      <c r="I70" s="104">
        <f t="shared" si="24"/>
        <v>0</v>
      </c>
      <c r="J70" s="104">
        <f t="shared" si="24"/>
        <v>0</v>
      </c>
      <c r="K70" s="104">
        <f t="shared" si="24"/>
        <v>0</v>
      </c>
      <c r="L70" s="104">
        <f t="shared" si="24"/>
        <v>0</v>
      </c>
      <c r="M70" s="104">
        <f t="shared" si="24"/>
        <v>0</v>
      </c>
      <c r="N70" s="104">
        <f t="shared" si="24"/>
        <v>0</v>
      </c>
      <c r="O70" s="104">
        <f t="shared" si="24"/>
        <v>0</v>
      </c>
      <c r="P70" s="104">
        <f t="shared" si="24"/>
        <v>0</v>
      </c>
      <c r="Q70" s="104">
        <f t="shared" si="24"/>
        <v>0</v>
      </c>
      <c r="R70" s="104">
        <f t="shared" si="24"/>
        <v>0</v>
      </c>
      <c r="S70" s="104">
        <f t="shared" si="24"/>
        <v>0</v>
      </c>
      <c r="T70" s="104">
        <f t="shared" si="24"/>
        <v>0</v>
      </c>
      <c r="U70" s="104">
        <f t="shared" si="24"/>
        <v>0</v>
      </c>
      <c r="V70" s="104">
        <f t="shared" si="24"/>
        <v>0</v>
      </c>
      <c r="W70" s="104">
        <f t="shared" si="24"/>
        <v>0</v>
      </c>
      <c r="X70" s="104">
        <f t="shared" si="24"/>
        <v>0</v>
      </c>
      <c r="Y70" s="104">
        <f t="shared" si="24"/>
        <v>0</v>
      </c>
      <c r="Z70" s="104">
        <f t="shared" si="24"/>
        <v>0</v>
      </c>
      <c r="AA70" s="104">
        <f t="shared" si="24"/>
        <v>0</v>
      </c>
      <c r="AB70" s="104">
        <f t="shared" si="24"/>
        <v>0</v>
      </c>
      <c r="AC70" s="104">
        <f t="shared" si="24"/>
        <v>0</v>
      </c>
      <c r="AD70" s="104">
        <f t="shared" si="24"/>
        <v>0</v>
      </c>
      <c r="AE70" s="104">
        <f t="shared" si="24"/>
        <v>0</v>
      </c>
      <c r="AF70" s="104">
        <f t="shared" si="24"/>
        <v>0</v>
      </c>
      <c r="AG70" s="104">
        <f t="shared" si="24"/>
        <v>0</v>
      </c>
      <c r="AH70" s="104">
        <f t="shared" si="24"/>
        <v>0</v>
      </c>
      <c r="AI70" s="104">
        <f t="shared" si="24"/>
        <v>0</v>
      </c>
      <c r="AJ70" s="104">
        <f t="shared" si="24"/>
        <v>0</v>
      </c>
      <c r="AK70" s="104">
        <f t="shared" si="24"/>
        <v>0</v>
      </c>
      <c r="AL70" s="104">
        <f t="shared" si="24"/>
        <v>0</v>
      </c>
      <c r="AM70" s="104">
        <f t="shared" si="24"/>
        <v>0</v>
      </c>
      <c r="AN70" s="104">
        <f t="shared" si="24"/>
        <v>0</v>
      </c>
    </row>
    <row r="71" spans="1:40">
      <c r="B71" s="96" t="s">
        <v>57</v>
      </c>
      <c r="C71" s="111">
        <v>20</v>
      </c>
      <c r="D71" s="97">
        <f t="shared" ref="D71:AN71" si="25">D37*$C71</f>
        <v>6124800</v>
      </c>
      <c r="E71" s="104">
        <f t="shared" si="25"/>
        <v>0</v>
      </c>
      <c r="F71" s="104">
        <f t="shared" si="25"/>
        <v>0</v>
      </c>
      <c r="G71" s="104">
        <f t="shared" si="25"/>
        <v>83160</v>
      </c>
      <c r="H71" s="104">
        <f t="shared" si="25"/>
        <v>249060</v>
      </c>
      <c r="I71" s="104">
        <f t="shared" si="25"/>
        <v>244440</v>
      </c>
      <c r="J71" s="104">
        <f t="shared" si="25"/>
        <v>132720</v>
      </c>
      <c r="K71" s="104">
        <f t="shared" si="25"/>
        <v>277200</v>
      </c>
      <c r="L71" s="104">
        <f t="shared" si="25"/>
        <v>141540</v>
      </c>
      <c r="M71" s="104">
        <f t="shared" si="25"/>
        <v>123480</v>
      </c>
      <c r="N71" s="104">
        <f t="shared" si="25"/>
        <v>104780</v>
      </c>
      <c r="O71" s="104">
        <f t="shared" si="25"/>
        <v>85260</v>
      </c>
      <c r="P71" s="104">
        <f t="shared" si="25"/>
        <v>72240</v>
      </c>
      <c r="Q71" s="104">
        <f t="shared" si="25"/>
        <v>64680</v>
      </c>
      <c r="R71" s="104">
        <f t="shared" si="25"/>
        <v>110460</v>
      </c>
      <c r="S71" s="104">
        <f t="shared" si="25"/>
        <v>104160</v>
      </c>
      <c r="T71" s="104">
        <f t="shared" si="25"/>
        <v>145320</v>
      </c>
      <c r="U71" s="104">
        <f t="shared" si="25"/>
        <v>134820</v>
      </c>
      <c r="V71" s="104">
        <f t="shared" si="25"/>
        <v>472920</v>
      </c>
      <c r="W71" s="104">
        <f t="shared" si="25"/>
        <v>596820</v>
      </c>
      <c r="X71" s="104">
        <f t="shared" si="25"/>
        <v>421260</v>
      </c>
      <c r="Y71" s="104">
        <f t="shared" si="25"/>
        <v>315220</v>
      </c>
      <c r="Z71" s="104">
        <f t="shared" si="25"/>
        <v>286440</v>
      </c>
      <c r="AA71" s="104">
        <f t="shared" si="25"/>
        <v>187320</v>
      </c>
      <c r="AB71" s="104">
        <f t="shared" si="25"/>
        <v>165900</v>
      </c>
      <c r="AC71" s="104">
        <f t="shared" si="25"/>
        <v>138180</v>
      </c>
      <c r="AD71" s="104">
        <f t="shared" si="25"/>
        <v>173040</v>
      </c>
      <c r="AE71" s="104">
        <f t="shared" si="25"/>
        <v>152040</v>
      </c>
      <c r="AF71" s="104">
        <f t="shared" si="25"/>
        <v>239820</v>
      </c>
      <c r="AG71" s="104">
        <f t="shared" si="25"/>
        <v>258720</v>
      </c>
      <c r="AH71" s="104">
        <f t="shared" si="25"/>
        <v>335160</v>
      </c>
      <c r="AI71" s="104">
        <f t="shared" si="25"/>
        <v>144060</v>
      </c>
      <c r="AJ71" s="104">
        <f t="shared" si="25"/>
        <v>141060</v>
      </c>
      <c r="AK71" s="104">
        <f t="shared" si="25"/>
        <v>23520</v>
      </c>
      <c r="AL71" s="104">
        <f t="shared" si="25"/>
        <v>0</v>
      </c>
      <c r="AM71" s="104">
        <f t="shared" si="25"/>
        <v>0</v>
      </c>
      <c r="AN71" s="104">
        <f t="shared" si="25"/>
        <v>0</v>
      </c>
    </row>
    <row r="72" spans="1:40">
      <c r="B72" s="96" t="s">
        <v>58</v>
      </c>
      <c r="C72" s="111">
        <v>42</v>
      </c>
      <c r="D72" s="97">
        <f t="shared" ref="D72:AN72" si="26">D38*$C72</f>
        <v>9526020</v>
      </c>
      <c r="E72" s="104">
        <f t="shared" si="26"/>
        <v>0</v>
      </c>
      <c r="F72" s="104">
        <f t="shared" si="26"/>
        <v>0</v>
      </c>
      <c r="G72" s="104">
        <f t="shared" si="26"/>
        <v>7140</v>
      </c>
      <c r="H72" s="104">
        <f t="shared" si="26"/>
        <v>375816</v>
      </c>
      <c r="I72" s="104">
        <f t="shared" si="26"/>
        <v>487956</v>
      </c>
      <c r="J72" s="104">
        <f t="shared" si="26"/>
        <v>419454</v>
      </c>
      <c r="K72" s="104">
        <f t="shared" si="26"/>
        <v>242130</v>
      </c>
      <c r="L72" s="104">
        <f t="shared" si="26"/>
        <v>329574</v>
      </c>
      <c r="M72" s="104">
        <f t="shared" si="26"/>
        <v>251790</v>
      </c>
      <c r="N72" s="104">
        <f t="shared" si="26"/>
        <v>302064</v>
      </c>
      <c r="O72" s="104">
        <f t="shared" si="26"/>
        <v>226800</v>
      </c>
      <c r="P72" s="104">
        <f t="shared" si="26"/>
        <v>323736</v>
      </c>
      <c r="Q72" s="104">
        <f t="shared" si="26"/>
        <v>294672</v>
      </c>
      <c r="R72" s="104">
        <f t="shared" si="26"/>
        <v>312774</v>
      </c>
      <c r="S72" s="104">
        <f t="shared" si="26"/>
        <v>355152</v>
      </c>
      <c r="T72" s="104">
        <f t="shared" si="26"/>
        <v>399126</v>
      </c>
      <c r="U72" s="104">
        <f t="shared" si="26"/>
        <v>345534</v>
      </c>
      <c r="V72" s="104">
        <f t="shared" si="26"/>
        <v>167916</v>
      </c>
      <c r="W72" s="104">
        <f t="shared" si="26"/>
        <v>181146</v>
      </c>
      <c r="X72" s="104">
        <f t="shared" si="26"/>
        <v>218904</v>
      </c>
      <c r="Y72" s="104">
        <f t="shared" si="26"/>
        <v>220752</v>
      </c>
      <c r="Z72" s="104">
        <f t="shared" si="26"/>
        <v>369390</v>
      </c>
      <c r="AA72" s="104">
        <f t="shared" si="26"/>
        <v>415926</v>
      </c>
      <c r="AB72" s="104">
        <f t="shared" si="26"/>
        <v>245196</v>
      </c>
      <c r="AC72" s="104">
        <f t="shared" si="26"/>
        <v>311178</v>
      </c>
      <c r="AD72" s="104">
        <f t="shared" si="26"/>
        <v>350868</v>
      </c>
      <c r="AE72" s="104">
        <f t="shared" si="26"/>
        <v>359184</v>
      </c>
      <c r="AF72" s="104">
        <f t="shared" si="26"/>
        <v>299670</v>
      </c>
      <c r="AG72" s="104">
        <f t="shared" si="26"/>
        <v>343476</v>
      </c>
      <c r="AH72" s="104">
        <f t="shared" si="26"/>
        <v>349776</v>
      </c>
      <c r="AI72" s="104">
        <f t="shared" si="26"/>
        <v>426006</v>
      </c>
      <c r="AJ72" s="104">
        <f t="shared" si="26"/>
        <v>503496</v>
      </c>
      <c r="AK72" s="104">
        <f t="shared" si="26"/>
        <v>89418</v>
      </c>
      <c r="AL72" s="104">
        <f t="shared" si="26"/>
        <v>0</v>
      </c>
      <c r="AM72" s="104">
        <f t="shared" si="26"/>
        <v>0</v>
      </c>
      <c r="AN72" s="104">
        <f t="shared" si="26"/>
        <v>0</v>
      </c>
    </row>
    <row r="73" spans="1:40">
      <c r="B73" s="96" t="s">
        <v>59</v>
      </c>
      <c r="C73" s="112">
        <v>8</v>
      </c>
      <c r="D73" s="97">
        <f t="shared" ref="D73:AN73" si="27">D39*$C73</f>
        <v>0</v>
      </c>
      <c r="E73" s="104">
        <f t="shared" si="27"/>
        <v>0</v>
      </c>
      <c r="F73" s="104">
        <f t="shared" si="27"/>
        <v>0</v>
      </c>
      <c r="G73" s="104">
        <f t="shared" si="27"/>
        <v>0</v>
      </c>
      <c r="H73" s="104">
        <f t="shared" si="27"/>
        <v>0</v>
      </c>
      <c r="I73" s="104">
        <f t="shared" si="27"/>
        <v>0</v>
      </c>
      <c r="J73" s="104">
        <f t="shared" si="27"/>
        <v>0</v>
      </c>
      <c r="K73" s="104">
        <f t="shared" si="27"/>
        <v>0</v>
      </c>
      <c r="L73" s="104">
        <f t="shared" si="27"/>
        <v>0</v>
      </c>
      <c r="M73" s="104">
        <f t="shared" si="27"/>
        <v>0</v>
      </c>
      <c r="N73" s="104">
        <f t="shared" si="27"/>
        <v>0</v>
      </c>
      <c r="O73" s="104">
        <f t="shared" si="27"/>
        <v>0</v>
      </c>
      <c r="P73" s="104">
        <f t="shared" si="27"/>
        <v>0</v>
      </c>
      <c r="Q73" s="104">
        <f t="shared" si="27"/>
        <v>0</v>
      </c>
      <c r="R73" s="104">
        <f t="shared" si="27"/>
        <v>0</v>
      </c>
      <c r="S73" s="104">
        <f t="shared" si="27"/>
        <v>0</v>
      </c>
      <c r="T73" s="104">
        <f t="shared" si="27"/>
        <v>0</v>
      </c>
      <c r="U73" s="104">
        <f t="shared" si="27"/>
        <v>0</v>
      </c>
      <c r="V73" s="104">
        <f t="shared" si="27"/>
        <v>0</v>
      </c>
      <c r="W73" s="104">
        <f t="shared" si="27"/>
        <v>0</v>
      </c>
      <c r="X73" s="104">
        <f t="shared" si="27"/>
        <v>0</v>
      </c>
      <c r="Y73" s="104">
        <f t="shared" si="27"/>
        <v>0</v>
      </c>
      <c r="Z73" s="104">
        <f t="shared" si="27"/>
        <v>0</v>
      </c>
      <c r="AA73" s="104">
        <f t="shared" si="27"/>
        <v>0</v>
      </c>
      <c r="AB73" s="104">
        <f t="shared" si="27"/>
        <v>0</v>
      </c>
      <c r="AC73" s="104">
        <f t="shared" si="27"/>
        <v>0</v>
      </c>
      <c r="AD73" s="104">
        <f t="shared" si="27"/>
        <v>0</v>
      </c>
      <c r="AE73" s="104">
        <f t="shared" si="27"/>
        <v>0</v>
      </c>
      <c r="AF73" s="104">
        <f t="shared" si="27"/>
        <v>0</v>
      </c>
      <c r="AG73" s="104">
        <f t="shared" si="27"/>
        <v>0</v>
      </c>
      <c r="AH73" s="104">
        <f t="shared" si="27"/>
        <v>0</v>
      </c>
      <c r="AI73" s="104">
        <f t="shared" si="27"/>
        <v>0</v>
      </c>
      <c r="AJ73" s="104">
        <f t="shared" si="27"/>
        <v>0</v>
      </c>
      <c r="AK73" s="104">
        <f t="shared" si="27"/>
        <v>0</v>
      </c>
      <c r="AL73" s="104">
        <f t="shared" si="27"/>
        <v>0</v>
      </c>
      <c r="AM73" s="104">
        <f t="shared" si="27"/>
        <v>0</v>
      </c>
      <c r="AN73" s="104">
        <f t="shared" si="27"/>
        <v>0</v>
      </c>
    </row>
    <row r="74" spans="1:40">
      <c r="B74" s="35" t="s">
        <v>85</v>
      </c>
      <c r="C74" s="263">
        <v>3.2</v>
      </c>
      <c r="D74" s="264">
        <f>D52*$C74</f>
        <v>0</v>
      </c>
      <c r="E74" s="107">
        <f>+$C$74*E52</f>
        <v>0</v>
      </c>
      <c r="F74" s="107">
        <f>+$C$74*F52</f>
        <v>0</v>
      </c>
      <c r="G74" s="107">
        <f t="shared" ref="G74:AM74" si="28">+$C$74*G52</f>
        <v>0</v>
      </c>
      <c r="H74" s="107">
        <f t="shared" si="28"/>
        <v>0</v>
      </c>
      <c r="I74" s="107">
        <f t="shared" si="28"/>
        <v>0</v>
      </c>
      <c r="J74" s="107">
        <f t="shared" si="28"/>
        <v>0</v>
      </c>
      <c r="K74" s="107">
        <f t="shared" si="28"/>
        <v>0</v>
      </c>
      <c r="L74" s="107">
        <f t="shared" si="28"/>
        <v>0</v>
      </c>
      <c r="M74" s="107">
        <f t="shared" si="28"/>
        <v>0</v>
      </c>
      <c r="N74" s="107">
        <f t="shared" si="28"/>
        <v>0</v>
      </c>
      <c r="O74" s="107">
        <f t="shared" si="28"/>
        <v>0</v>
      </c>
      <c r="P74" s="107">
        <f t="shared" si="28"/>
        <v>0</v>
      </c>
      <c r="Q74" s="107">
        <f t="shared" si="28"/>
        <v>0</v>
      </c>
      <c r="R74" s="107">
        <f t="shared" si="28"/>
        <v>0</v>
      </c>
      <c r="S74" s="107">
        <f t="shared" si="28"/>
        <v>0</v>
      </c>
      <c r="T74" s="107">
        <f t="shared" si="28"/>
        <v>0</v>
      </c>
      <c r="U74" s="107">
        <f t="shared" si="28"/>
        <v>0</v>
      </c>
      <c r="V74" s="107">
        <f t="shared" si="28"/>
        <v>0</v>
      </c>
      <c r="W74" s="107">
        <f t="shared" si="28"/>
        <v>0</v>
      </c>
      <c r="X74" s="107">
        <f t="shared" si="28"/>
        <v>0</v>
      </c>
      <c r="Y74" s="107">
        <f t="shared" si="28"/>
        <v>0</v>
      </c>
      <c r="Z74" s="107">
        <f t="shared" si="28"/>
        <v>0</v>
      </c>
      <c r="AA74" s="107">
        <f t="shared" si="28"/>
        <v>0</v>
      </c>
      <c r="AB74" s="107">
        <f t="shared" si="28"/>
        <v>0</v>
      </c>
      <c r="AC74" s="107">
        <f t="shared" si="28"/>
        <v>0</v>
      </c>
      <c r="AD74" s="107">
        <f t="shared" si="28"/>
        <v>0</v>
      </c>
      <c r="AE74" s="107">
        <f t="shared" si="28"/>
        <v>0</v>
      </c>
      <c r="AF74" s="107">
        <f t="shared" si="28"/>
        <v>0</v>
      </c>
      <c r="AG74" s="107">
        <f t="shared" si="28"/>
        <v>0</v>
      </c>
      <c r="AH74" s="107">
        <f t="shared" si="28"/>
        <v>0</v>
      </c>
      <c r="AI74" s="107">
        <f t="shared" si="28"/>
        <v>0</v>
      </c>
      <c r="AJ74" s="107">
        <f t="shared" si="28"/>
        <v>0</v>
      </c>
      <c r="AK74" s="107">
        <f t="shared" si="28"/>
        <v>0</v>
      </c>
      <c r="AL74" s="107">
        <f t="shared" si="28"/>
        <v>0</v>
      </c>
      <c r="AM74" s="107">
        <f t="shared" si="28"/>
        <v>0</v>
      </c>
      <c r="AN74" s="107">
        <f t="shared" ref="AN74" si="29">+$C$74*AN52</f>
        <v>0</v>
      </c>
    </row>
    <row r="76" spans="1:40">
      <c r="B76" s="318" t="s">
        <v>86</v>
      </c>
      <c r="C76" s="319"/>
      <c r="D76" s="108">
        <f>AVERAGEIF(E61:N61, "&gt;0")</f>
        <v>471538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8" spans="1:40">
      <c r="B78" s="12" t="s">
        <v>87</v>
      </c>
      <c r="C78" s="13">
        <v>0.31</v>
      </c>
      <c r="D78" s="231">
        <f t="shared" ref="D78:D79" si="30">SUM(E78:AN78)</f>
        <v>4851754.1999999993</v>
      </c>
      <c r="E78" s="171">
        <f t="shared" ref="E78" si="31">E61*$C$78</f>
        <v>0</v>
      </c>
      <c r="F78" s="14">
        <f>F61*$C$78</f>
        <v>0</v>
      </c>
      <c r="G78" s="14">
        <f>G61*$C$78</f>
        <v>27993</v>
      </c>
      <c r="H78" s="14">
        <f t="shared" ref="H78:AM78" si="32">H61*$C$78</f>
        <v>193711.56</v>
      </c>
      <c r="I78" s="14">
        <f t="shared" si="32"/>
        <v>227042.76</v>
      </c>
      <c r="J78" s="14">
        <f t="shared" si="32"/>
        <v>171173.94</v>
      </c>
      <c r="K78" s="14">
        <f t="shared" si="32"/>
        <v>160992.29999999999</v>
      </c>
      <c r="L78" s="14">
        <f t="shared" si="32"/>
        <v>146045.34</v>
      </c>
      <c r="M78" s="14">
        <f t="shared" si="32"/>
        <v>116333.7</v>
      </c>
      <c r="N78" s="14">
        <f t="shared" si="32"/>
        <v>126121.64</v>
      </c>
      <c r="O78" s="14">
        <f t="shared" si="32"/>
        <v>96738.6</v>
      </c>
      <c r="P78" s="14">
        <f t="shared" si="32"/>
        <v>122752.56</v>
      </c>
      <c r="Q78" s="14">
        <f t="shared" si="32"/>
        <v>111399.12</v>
      </c>
      <c r="R78" s="14">
        <f t="shared" si="32"/>
        <v>131202.54</v>
      </c>
      <c r="S78" s="14">
        <f t="shared" si="32"/>
        <v>142386.72</v>
      </c>
      <c r="T78" s="14">
        <f t="shared" si="32"/>
        <v>168778.26</v>
      </c>
      <c r="U78" s="14">
        <f t="shared" si="32"/>
        <v>148909.74</v>
      </c>
      <c r="V78" s="14">
        <f t="shared" si="32"/>
        <v>198659.16</v>
      </c>
      <c r="W78" s="14">
        <f t="shared" si="32"/>
        <v>241169.46</v>
      </c>
      <c r="X78" s="14">
        <f t="shared" si="32"/>
        <v>198450.84</v>
      </c>
      <c r="Y78" s="14">
        <f t="shared" si="32"/>
        <v>166151.32</v>
      </c>
      <c r="Z78" s="14">
        <f t="shared" si="32"/>
        <v>203307.3</v>
      </c>
      <c r="AA78" s="14">
        <f t="shared" si="32"/>
        <v>187006.26</v>
      </c>
      <c r="AB78" s="14">
        <f t="shared" si="32"/>
        <v>127439.76</v>
      </c>
      <c r="AC78" s="14">
        <f t="shared" si="32"/>
        <v>139300.98000000001</v>
      </c>
      <c r="AD78" s="14">
        <f t="shared" si="32"/>
        <v>162411.48000000001</v>
      </c>
      <c r="AE78" s="14">
        <f t="shared" si="32"/>
        <v>158479.44</v>
      </c>
      <c r="AF78" s="14">
        <f t="shared" si="32"/>
        <v>167241.9</v>
      </c>
      <c r="AG78" s="14">
        <f t="shared" si="32"/>
        <v>186680.76</v>
      </c>
      <c r="AH78" s="14">
        <f t="shared" si="32"/>
        <v>212330.16</v>
      </c>
      <c r="AI78" s="14">
        <f t="shared" si="32"/>
        <v>176720.46</v>
      </c>
      <c r="AJ78" s="14">
        <f t="shared" si="32"/>
        <v>199812.36</v>
      </c>
      <c r="AK78" s="14">
        <f t="shared" si="32"/>
        <v>35010.78</v>
      </c>
      <c r="AL78" s="14">
        <f t="shared" si="32"/>
        <v>0</v>
      </c>
      <c r="AM78" s="14">
        <f t="shared" si="32"/>
        <v>0</v>
      </c>
      <c r="AN78" s="14">
        <f t="shared" ref="AN78" si="33">AN61*$C$78</f>
        <v>0</v>
      </c>
    </row>
    <row r="79" spans="1:40">
      <c r="A79">
        <f>+C79*31</f>
        <v>878222.88524590165</v>
      </c>
      <c r="B79" s="16" t="s">
        <v>88</v>
      </c>
      <c r="C79" s="17">
        <v>28329.77049180328</v>
      </c>
      <c r="D79" s="232">
        <f t="shared" si="30"/>
        <v>1019871.7377049185</v>
      </c>
      <c r="E79" s="172">
        <f t="shared" ref="E79:AN79" si="34">$C$79</f>
        <v>28329.77049180328</v>
      </c>
      <c r="F79" s="18">
        <f t="shared" si="34"/>
        <v>28329.77049180328</v>
      </c>
      <c r="G79" s="18">
        <f t="shared" si="34"/>
        <v>28329.77049180328</v>
      </c>
      <c r="H79" s="18">
        <f t="shared" si="34"/>
        <v>28329.77049180328</v>
      </c>
      <c r="I79" s="18">
        <f t="shared" si="34"/>
        <v>28329.77049180328</v>
      </c>
      <c r="J79" s="18">
        <f t="shared" si="34"/>
        <v>28329.77049180328</v>
      </c>
      <c r="K79" s="18">
        <f t="shared" si="34"/>
        <v>28329.77049180328</v>
      </c>
      <c r="L79" s="18">
        <f t="shared" si="34"/>
        <v>28329.77049180328</v>
      </c>
      <c r="M79" s="18">
        <f t="shared" si="34"/>
        <v>28329.77049180328</v>
      </c>
      <c r="N79" s="18">
        <f t="shared" si="34"/>
        <v>28329.77049180328</v>
      </c>
      <c r="O79" s="18">
        <f t="shared" si="34"/>
        <v>28329.77049180328</v>
      </c>
      <c r="P79" s="18">
        <f t="shared" si="34"/>
        <v>28329.77049180328</v>
      </c>
      <c r="Q79" s="18">
        <f t="shared" si="34"/>
        <v>28329.77049180328</v>
      </c>
      <c r="R79" s="18">
        <f t="shared" si="34"/>
        <v>28329.77049180328</v>
      </c>
      <c r="S79" s="18">
        <f t="shared" si="34"/>
        <v>28329.77049180328</v>
      </c>
      <c r="T79" s="18">
        <f t="shared" si="34"/>
        <v>28329.77049180328</v>
      </c>
      <c r="U79" s="18">
        <f t="shared" si="34"/>
        <v>28329.77049180328</v>
      </c>
      <c r="V79" s="18">
        <f t="shared" si="34"/>
        <v>28329.77049180328</v>
      </c>
      <c r="W79" s="18">
        <f t="shared" si="34"/>
        <v>28329.77049180328</v>
      </c>
      <c r="X79" s="18">
        <f t="shared" si="34"/>
        <v>28329.77049180328</v>
      </c>
      <c r="Y79" s="18">
        <f t="shared" si="34"/>
        <v>28329.77049180328</v>
      </c>
      <c r="Z79" s="18">
        <f t="shared" si="34"/>
        <v>28329.77049180328</v>
      </c>
      <c r="AA79" s="18">
        <f t="shared" si="34"/>
        <v>28329.77049180328</v>
      </c>
      <c r="AB79" s="18">
        <f t="shared" si="34"/>
        <v>28329.77049180328</v>
      </c>
      <c r="AC79" s="18">
        <f t="shared" si="34"/>
        <v>28329.77049180328</v>
      </c>
      <c r="AD79" s="18">
        <f t="shared" si="34"/>
        <v>28329.77049180328</v>
      </c>
      <c r="AE79" s="18">
        <f t="shared" si="34"/>
        <v>28329.77049180328</v>
      </c>
      <c r="AF79" s="18">
        <f t="shared" si="34"/>
        <v>28329.77049180328</v>
      </c>
      <c r="AG79" s="18">
        <f t="shared" si="34"/>
        <v>28329.77049180328</v>
      </c>
      <c r="AH79" s="18">
        <f t="shared" si="34"/>
        <v>28329.77049180328</v>
      </c>
      <c r="AI79" s="18">
        <f t="shared" si="34"/>
        <v>28329.77049180328</v>
      </c>
      <c r="AJ79" s="18">
        <f t="shared" si="34"/>
        <v>28329.77049180328</v>
      </c>
      <c r="AK79" s="18">
        <f t="shared" si="34"/>
        <v>28329.77049180328</v>
      </c>
      <c r="AL79" s="18">
        <f t="shared" si="34"/>
        <v>28329.77049180328</v>
      </c>
      <c r="AM79" s="18">
        <f t="shared" si="34"/>
        <v>28329.77049180328</v>
      </c>
      <c r="AN79" s="18">
        <f t="shared" si="34"/>
        <v>28329.77049180328</v>
      </c>
    </row>
    <row r="80" spans="1:40">
      <c r="A80">
        <f>+C80*31</f>
        <v>943875.80327868857</v>
      </c>
      <c r="B80" s="16" t="s">
        <v>89</v>
      </c>
      <c r="C80" s="17">
        <v>30447.60655737705</v>
      </c>
      <c r="D80" s="232">
        <f>SUM(E80:AN80)</f>
        <v>1096113.8360655736</v>
      </c>
      <c r="E80" s="172">
        <f t="shared" ref="E80:AN80" si="35">$C$80</f>
        <v>30447.60655737705</v>
      </c>
      <c r="F80" s="18">
        <f t="shared" si="35"/>
        <v>30447.60655737705</v>
      </c>
      <c r="G80" s="18">
        <f t="shared" si="35"/>
        <v>30447.60655737705</v>
      </c>
      <c r="H80" s="18">
        <f t="shared" si="35"/>
        <v>30447.60655737705</v>
      </c>
      <c r="I80" s="18">
        <f t="shared" si="35"/>
        <v>30447.60655737705</v>
      </c>
      <c r="J80" s="18">
        <f t="shared" si="35"/>
        <v>30447.60655737705</v>
      </c>
      <c r="K80" s="18">
        <f t="shared" si="35"/>
        <v>30447.60655737705</v>
      </c>
      <c r="L80" s="18">
        <f t="shared" si="35"/>
        <v>30447.60655737705</v>
      </c>
      <c r="M80" s="18">
        <f t="shared" si="35"/>
        <v>30447.60655737705</v>
      </c>
      <c r="N80" s="18">
        <f t="shared" si="35"/>
        <v>30447.60655737705</v>
      </c>
      <c r="O80" s="18">
        <f t="shared" si="35"/>
        <v>30447.60655737705</v>
      </c>
      <c r="P80" s="18">
        <f t="shared" si="35"/>
        <v>30447.60655737705</v>
      </c>
      <c r="Q80" s="18">
        <f t="shared" si="35"/>
        <v>30447.60655737705</v>
      </c>
      <c r="R80" s="18">
        <f t="shared" si="35"/>
        <v>30447.60655737705</v>
      </c>
      <c r="S80" s="18">
        <f t="shared" si="35"/>
        <v>30447.60655737705</v>
      </c>
      <c r="T80" s="18">
        <f t="shared" si="35"/>
        <v>30447.60655737705</v>
      </c>
      <c r="U80" s="18">
        <f t="shared" si="35"/>
        <v>30447.60655737705</v>
      </c>
      <c r="V80" s="18">
        <f t="shared" si="35"/>
        <v>30447.60655737705</v>
      </c>
      <c r="W80" s="18">
        <f t="shared" si="35"/>
        <v>30447.60655737705</v>
      </c>
      <c r="X80" s="18">
        <f t="shared" si="35"/>
        <v>30447.60655737705</v>
      </c>
      <c r="Y80" s="18">
        <f t="shared" si="35"/>
        <v>30447.60655737705</v>
      </c>
      <c r="Z80" s="18">
        <f t="shared" si="35"/>
        <v>30447.60655737705</v>
      </c>
      <c r="AA80" s="18">
        <f t="shared" si="35"/>
        <v>30447.60655737705</v>
      </c>
      <c r="AB80" s="18">
        <f t="shared" si="35"/>
        <v>30447.60655737705</v>
      </c>
      <c r="AC80" s="18">
        <f t="shared" si="35"/>
        <v>30447.60655737705</v>
      </c>
      <c r="AD80" s="18">
        <f t="shared" si="35"/>
        <v>30447.60655737705</v>
      </c>
      <c r="AE80" s="18">
        <f t="shared" si="35"/>
        <v>30447.60655737705</v>
      </c>
      <c r="AF80" s="18">
        <f t="shared" si="35"/>
        <v>30447.60655737705</v>
      </c>
      <c r="AG80" s="18">
        <f t="shared" si="35"/>
        <v>30447.60655737705</v>
      </c>
      <c r="AH80" s="18">
        <f t="shared" si="35"/>
        <v>30447.60655737705</v>
      </c>
      <c r="AI80" s="18">
        <f t="shared" si="35"/>
        <v>30447.60655737705</v>
      </c>
      <c r="AJ80" s="18">
        <f t="shared" si="35"/>
        <v>30447.60655737705</v>
      </c>
      <c r="AK80" s="18">
        <f t="shared" si="35"/>
        <v>30447.60655737705</v>
      </c>
      <c r="AL80" s="18">
        <f t="shared" si="35"/>
        <v>30447.60655737705</v>
      </c>
      <c r="AM80" s="18">
        <f t="shared" si="35"/>
        <v>30447.60655737705</v>
      </c>
      <c r="AN80" s="18">
        <f t="shared" si="35"/>
        <v>30447.60655737705</v>
      </c>
    </row>
    <row r="81" spans="2:40">
      <c r="B81" s="20" t="s">
        <v>90</v>
      </c>
      <c r="C81" s="21">
        <v>8.6199999999999992</v>
      </c>
      <c r="D81" s="233">
        <f>SUM(E81:AN81)</f>
        <v>4973740</v>
      </c>
      <c r="E81" s="173">
        <f t="shared" ref="E81:AM81" si="36">$C$81*E43</f>
        <v>43099.999999999993</v>
      </c>
      <c r="F81" s="23">
        <f t="shared" si="36"/>
        <v>86199.999999999985</v>
      </c>
      <c r="G81" s="23">
        <f t="shared" si="36"/>
        <v>137920</v>
      </c>
      <c r="H81" s="23">
        <f t="shared" si="36"/>
        <v>146540</v>
      </c>
      <c r="I81" s="23">
        <f t="shared" si="36"/>
        <v>146540</v>
      </c>
      <c r="J81" s="23">
        <f t="shared" si="36"/>
        <v>146540</v>
      </c>
      <c r="K81" s="23">
        <f t="shared" si="36"/>
        <v>146540</v>
      </c>
      <c r="L81" s="23">
        <f t="shared" si="36"/>
        <v>163779.99999999997</v>
      </c>
      <c r="M81" s="23">
        <f t="shared" si="36"/>
        <v>146540</v>
      </c>
      <c r="N81" s="23">
        <f t="shared" si="36"/>
        <v>146540</v>
      </c>
      <c r="O81" s="23">
        <f t="shared" si="36"/>
        <v>163779.99999999997</v>
      </c>
      <c r="P81" s="23">
        <f t="shared" si="36"/>
        <v>146540</v>
      </c>
      <c r="Q81" s="23">
        <f t="shared" si="36"/>
        <v>146540</v>
      </c>
      <c r="R81" s="23">
        <f t="shared" si="36"/>
        <v>155160</v>
      </c>
      <c r="S81" s="23">
        <f t="shared" si="36"/>
        <v>146540</v>
      </c>
      <c r="T81" s="23">
        <f t="shared" si="36"/>
        <v>146540</v>
      </c>
      <c r="U81" s="23">
        <f t="shared" si="36"/>
        <v>155160</v>
      </c>
      <c r="V81" s="23">
        <f t="shared" si="36"/>
        <v>155160</v>
      </c>
      <c r="W81" s="23">
        <f t="shared" si="36"/>
        <v>155160</v>
      </c>
      <c r="X81" s="23">
        <f t="shared" si="36"/>
        <v>146540</v>
      </c>
      <c r="Y81" s="23">
        <f t="shared" si="36"/>
        <v>146540</v>
      </c>
      <c r="Z81" s="23">
        <f t="shared" si="36"/>
        <v>146540</v>
      </c>
      <c r="AA81" s="23">
        <f t="shared" si="36"/>
        <v>146540</v>
      </c>
      <c r="AB81" s="23">
        <f t="shared" si="36"/>
        <v>146540</v>
      </c>
      <c r="AC81" s="23">
        <f t="shared" si="36"/>
        <v>129299.99999999999</v>
      </c>
      <c r="AD81" s="23">
        <f t="shared" si="36"/>
        <v>137920</v>
      </c>
      <c r="AE81" s="23">
        <f t="shared" si="36"/>
        <v>146540</v>
      </c>
      <c r="AF81" s="23">
        <f t="shared" si="36"/>
        <v>146540</v>
      </c>
      <c r="AG81" s="23">
        <f t="shared" si="36"/>
        <v>146540</v>
      </c>
      <c r="AH81" s="23">
        <f t="shared" si="36"/>
        <v>146540</v>
      </c>
      <c r="AI81" s="23">
        <f t="shared" si="36"/>
        <v>146540</v>
      </c>
      <c r="AJ81" s="23">
        <f t="shared" si="36"/>
        <v>155160</v>
      </c>
      <c r="AK81" s="23">
        <f t="shared" si="36"/>
        <v>146540</v>
      </c>
      <c r="AL81" s="23">
        <f t="shared" si="36"/>
        <v>137920</v>
      </c>
      <c r="AM81" s="23">
        <f t="shared" si="36"/>
        <v>51719.999999999993</v>
      </c>
      <c r="AN81" s="23">
        <f t="shared" ref="AN81" si="37">$C$81*AN43</f>
        <v>68960</v>
      </c>
    </row>
    <row r="82" spans="2:40">
      <c r="B82" s="24" t="s">
        <v>91</v>
      </c>
      <c r="C82" s="25">
        <f>SUM(E82:AN82)</f>
        <v>3709340.2262295084</v>
      </c>
      <c r="D82" s="252">
        <f>D61-D78-D79-D80-D81</f>
        <v>3709340.2262295093</v>
      </c>
      <c r="E82" s="177">
        <f t="shared" ref="E82:AM82" si="38">E61-E78-E79-E80-E81</f>
        <v>-101877.37704918033</v>
      </c>
      <c r="F82" s="26">
        <f t="shared" si="38"/>
        <v>-144977.37704918033</v>
      </c>
      <c r="G82" s="26">
        <f>G61-G78-G79-G80-G81</f>
        <v>-134390.37704918033</v>
      </c>
      <c r="H82" s="26">
        <f t="shared" si="38"/>
        <v>225847.06295081967</v>
      </c>
      <c r="I82" s="26">
        <f t="shared" si="38"/>
        <v>300035.86295081966</v>
      </c>
      <c r="J82" s="26">
        <f t="shared" si="38"/>
        <v>175682.68295081967</v>
      </c>
      <c r="K82" s="27">
        <f t="shared" si="38"/>
        <v>153020.32295081968</v>
      </c>
      <c r="L82" s="26">
        <f t="shared" si="38"/>
        <v>102511.28295081973</v>
      </c>
      <c r="M82" s="27">
        <f t="shared" si="38"/>
        <v>53618.922950819659</v>
      </c>
      <c r="N82" s="26">
        <f t="shared" si="38"/>
        <v>75404.982950819656</v>
      </c>
      <c r="O82" s="26">
        <f t="shared" si="38"/>
        <v>-7235.9770491803065</v>
      </c>
      <c r="P82" s="26">
        <f t="shared" si="38"/>
        <v>67906.062950819673</v>
      </c>
      <c r="Q82" s="26">
        <f t="shared" si="38"/>
        <v>42635.502950819675</v>
      </c>
      <c r="R82" s="26">
        <f t="shared" si="38"/>
        <v>78094.082950819604</v>
      </c>
      <c r="S82" s="26">
        <f t="shared" si="38"/>
        <v>111607.90295081967</v>
      </c>
      <c r="T82" s="26">
        <f t="shared" si="38"/>
        <v>170350.36295081966</v>
      </c>
      <c r="U82" s="26">
        <f t="shared" si="38"/>
        <v>117506.88295081968</v>
      </c>
      <c r="V82" s="26">
        <f t="shared" si="38"/>
        <v>228239.46295081964</v>
      </c>
      <c r="W82" s="26">
        <f t="shared" si="38"/>
        <v>322859.16295081971</v>
      </c>
      <c r="X82" s="26">
        <f t="shared" si="38"/>
        <v>236395.7829508197</v>
      </c>
      <c r="Y82" s="26">
        <f t="shared" si="38"/>
        <v>164503.30295081966</v>
      </c>
      <c r="Z82" s="26">
        <f t="shared" si="38"/>
        <v>247205.32295081968</v>
      </c>
      <c r="AA82" s="26">
        <f t="shared" si="38"/>
        <v>210922.36295081966</v>
      </c>
      <c r="AB82" s="26">
        <f t="shared" si="38"/>
        <v>78338.862950819661</v>
      </c>
      <c r="AC82" s="26">
        <f t="shared" si="38"/>
        <v>121979.64295081967</v>
      </c>
      <c r="AD82" s="26">
        <f t="shared" si="38"/>
        <v>164799.14295081969</v>
      </c>
      <c r="AE82" s="26">
        <f t="shared" si="38"/>
        <v>147427.18295081967</v>
      </c>
      <c r="AF82" s="26">
        <f t="shared" si="38"/>
        <v>166930.72295081965</v>
      </c>
      <c r="AG82" s="26">
        <f t="shared" si="38"/>
        <v>210197.86295081966</v>
      </c>
      <c r="AH82" s="26">
        <f t="shared" si="38"/>
        <v>267288.46295081964</v>
      </c>
      <c r="AI82" s="26">
        <f t="shared" si="38"/>
        <v>188028.16295081971</v>
      </c>
      <c r="AJ82" s="26">
        <f t="shared" si="38"/>
        <v>230806.26295081968</v>
      </c>
      <c r="AK82" s="26">
        <f t="shared" si="38"/>
        <v>-127390.15704918033</v>
      </c>
      <c r="AL82" s="26">
        <f t="shared" si="38"/>
        <v>-196697.37704918033</v>
      </c>
      <c r="AM82" s="26">
        <f t="shared" si="38"/>
        <v>-110497.37704918033</v>
      </c>
      <c r="AN82" s="26">
        <f t="shared" ref="AN82" si="39">AN61-AN78-AN79-AN80-AN81</f>
        <v>-127737.37704918033</v>
      </c>
    </row>
    <row r="83" spans="2:40">
      <c r="B83" s="320" t="s">
        <v>496</v>
      </c>
      <c r="C83" s="321"/>
      <c r="D83" s="326"/>
      <c r="E83" s="29">
        <f>+E82</f>
        <v>-101877.37704918033</v>
      </c>
      <c r="F83" s="29">
        <f t="shared" ref="F83:AN83" si="40">F82+E83</f>
        <v>-246854.75409836066</v>
      </c>
      <c r="G83" s="29">
        <f t="shared" si="40"/>
        <v>-381245.13114754099</v>
      </c>
      <c r="H83" s="29">
        <f t="shared" si="40"/>
        <v>-155398.06819672132</v>
      </c>
      <c r="I83" s="29">
        <f t="shared" si="40"/>
        <v>144637.79475409834</v>
      </c>
      <c r="J83" s="29">
        <f t="shared" si="40"/>
        <v>320320.47770491801</v>
      </c>
      <c r="K83" s="28">
        <f t="shared" si="40"/>
        <v>473340.80065573769</v>
      </c>
      <c r="L83" s="29">
        <f t="shared" si="40"/>
        <v>575852.08360655745</v>
      </c>
      <c r="M83" s="28">
        <f t="shared" si="40"/>
        <v>629471.00655737706</v>
      </c>
      <c r="N83" s="29">
        <f t="shared" si="40"/>
        <v>704875.98950819671</v>
      </c>
      <c r="O83" s="29">
        <f t="shared" si="40"/>
        <v>697640.01245901641</v>
      </c>
      <c r="P83" s="29">
        <f t="shared" si="40"/>
        <v>765546.07540983614</v>
      </c>
      <c r="Q83" s="29">
        <f t="shared" si="40"/>
        <v>808181.57836065581</v>
      </c>
      <c r="R83" s="29">
        <f t="shared" si="40"/>
        <v>886275.66131147544</v>
      </c>
      <c r="S83" s="29">
        <f t="shared" si="40"/>
        <v>997883.56426229514</v>
      </c>
      <c r="T83" s="29">
        <f t="shared" si="40"/>
        <v>1168233.9272131147</v>
      </c>
      <c r="U83" s="29">
        <f t="shared" si="40"/>
        <v>1285740.8101639342</v>
      </c>
      <c r="V83" s="29">
        <f t="shared" si="40"/>
        <v>1513980.2731147539</v>
      </c>
      <c r="W83" s="29">
        <f t="shared" si="40"/>
        <v>1836839.4360655737</v>
      </c>
      <c r="X83" s="29">
        <f t="shared" si="40"/>
        <v>2073235.2190163934</v>
      </c>
      <c r="Y83" s="29">
        <f t="shared" si="40"/>
        <v>2237738.5219672131</v>
      </c>
      <c r="Z83" s="29">
        <f t="shared" si="40"/>
        <v>2484943.8449180326</v>
      </c>
      <c r="AA83" s="29">
        <f t="shared" si="40"/>
        <v>2695866.2078688522</v>
      </c>
      <c r="AB83" s="29">
        <f t="shared" si="40"/>
        <v>2774205.0708196717</v>
      </c>
      <c r="AC83" s="29">
        <f t="shared" si="40"/>
        <v>2896184.7137704915</v>
      </c>
      <c r="AD83" s="29">
        <f t="shared" si="40"/>
        <v>3060983.8567213113</v>
      </c>
      <c r="AE83" s="29">
        <f t="shared" si="40"/>
        <v>3208411.0396721312</v>
      </c>
      <c r="AF83" s="29">
        <f t="shared" si="40"/>
        <v>3375341.7626229506</v>
      </c>
      <c r="AG83" s="29">
        <f t="shared" si="40"/>
        <v>3585539.6255737701</v>
      </c>
      <c r="AH83" s="29">
        <f t="shared" si="40"/>
        <v>3852828.0885245898</v>
      </c>
      <c r="AI83" s="29">
        <f t="shared" si="40"/>
        <v>4040856.2514754096</v>
      </c>
      <c r="AJ83" s="29">
        <f t="shared" si="40"/>
        <v>4271662.5144262295</v>
      </c>
      <c r="AK83" s="29">
        <f t="shared" si="40"/>
        <v>4144272.357377049</v>
      </c>
      <c r="AL83" s="29">
        <f t="shared" si="40"/>
        <v>3947574.9803278688</v>
      </c>
      <c r="AM83" s="29">
        <f t="shared" si="40"/>
        <v>3837077.6032786886</v>
      </c>
      <c r="AN83" s="29">
        <f t="shared" si="40"/>
        <v>3709340.2262295084</v>
      </c>
    </row>
    <row r="85" spans="2:40">
      <c r="B85" s="30" t="s">
        <v>93</v>
      </c>
      <c r="C85" s="31">
        <f>D43/D27</f>
        <v>1.0674420786042584</v>
      </c>
    </row>
    <row r="87" spans="2:40">
      <c r="B87" s="282" t="s">
        <v>452</v>
      </c>
      <c r="C87" s="284">
        <f>+(1700000/31)</f>
        <v>54838.709677419356</v>
      </c>
      <c r="D87" s="300">
        <f>SUM(E87:AN87)</f>
        <v>1974193.5483870977</v>
      </c>
      <c r="E87" s="300">
        <f t="shared" ref="E87:AN87" si="41">+$C$87</f>
        <v>54838.709677419356</v>
      </c>
      <c r="F87" s="300">
        <f t="shared" si="41"/>
        <v>54838.709677419356</v>
      </c>
      <c r="G87" s="300">
        <f t="shared" si="41"/>
        <v>54838.709677419356</v>
      </c>
      <c r="H87" s="300">
        <f t="shared" si="41"/>
        <v>54838.709677419356</v>
      </c>
      <c r="I87" s="300">
        <f t="shared" si="41"/>
        <v>54838.709677419356</v>
      </c>
      <c r="J87" s="300">
        <f t="shared" si="41"/>
        <v>54838.709677419356</v>
      </c>
      <c r="K87" s="300">
        <f t="shared" si="41"/>
        <v>54838.709677419356</v>
      </c>
      <c r="L87" s="300">
        <f t="shared" si="41"/>
        <v>54838.709677419356</v>
      </c>
      <c r="M87" s="300">
        <f t="shared" si="41"/>
        <v>54838.709677419356</v>
      </c>
      <c r="N87" s="300">
        <f t="shared" si="41"/>
        <v>54838.709677419356</v>
      </c>
      <c r="O87" s="300">
        <f t="shared" si="41"/>
        <v>54838.709677419356</v>
      </c>
      <c r="P87" s="300">
        <f t="shared" si="41"/>
        <v>54838.709677419356</v>
      </c>
      <c r="Q87" s="300">
        <f t="shared" si="41"/>
        <v>54838.709677419356</v>
      </c>
      <c r="R87" s="300">
        <f t="shared" si="41"/>
        <v>54838.709677419356</v>
      </c>
      <c r="S87" s="300">
        <f t="shared" si="41"/>
        <v>54838.709677419356</v>
      </c>
      <c r="T87" s="300">
        <f t="shared" si="41"/>
        <v>54838.709677419356</v>
      </c>
      <c r="U87" s="300">
        <f t="shared" si="41"/>
        <v>54838.709677419356</v>
      </c>
      <c r="V87" s="300">
        <f t="shared" si="41"/>
        <v>54838.709677419356</v>
      </c>
      <c r="W87" s="300">
        <f t="shared" si="41"/>
        <v>54838.709677419356</v>
      </c>
      <c r="X87" s="300">
        <f t="shared" si="41"/>
        <v>54838.709677419356</v>
      </c>
      <c r="Y87" s="300">
        <f t="shared" si="41"/>
        <v>54838.709677419356</v>
      </c>
      <c r="Z87" s="300">
        <f t="shared" si="41"/>
        <v>54838.709677419356</v>
      </c>
      <c r="AA87" s="300">
        <f t="shared" si="41"/>
        <v>54838.709677419356</v>
      </c>
      <c r="AB87" s="300">
        <f t="shared" si="41"/>
        <v>54838.709677419356</v>
      </c>
      <c r="AC87" s="300">
        <f t="shared" si="41"/>
        <v>54838.709677419356</v>
      </c>
      <c r="AD87" s="300">
        <f t="shared" si="41"/>
        <v>54838.709677419356</v>
      </c>
      <c r="AE87" s="300">
        <f t="shared" si="41"/>
        <v>54838.709677419356</v>
      </c>
      <c r="AF87" s="300">
        <f t="shared" si="41"/>
        <v>54838.709677419356</v>
      </c>
      <c r="AG87" s="300">
        <f t="shared" si="41"/>
        <v>54838.709677419356</v>
      </c>
      <c r="AH87" s="300">
        <f t="shared" si="41"/>
        <v>54838.709677419356</v>
      </c>
      <c r="AI87" s="300">
        <f t="shared" si="41"/>
        <v>54838.709677419356</v>
      </c>
      <c r="AJ87" s="300">
        <f t="shared" si="41"/>
        <v>54838.709677419356</v>
      </c>
      <c r="AK87" s="300">
        <f t="shared" si="41"/>
        <v>54838.709677419356</v>
      </c>
      <c r="AL87" s="300">
        <f t="shared" si="41"/>
        <v>54838.709677419356</v>
      </c>
      <c r="AM87" s="300">
        <f t="shared" si="41"/>
        <v>54838.709677419356</v>
      </c>
      <c r="AN87" s="300">
        <f t="shared" si="41"/>
        <v>54838.709677419356</v>
      </c>
    </row>
    <row r="88" spans="2:40">
      <c r="B88" s="286" t="s">
        <v>453</v>
      </c>
      <c r="C88" s="288">
        <f>300000000*7%/365</f>
        <v>57534.246575342477</v>
      </c>
      <c r="D88" s="301">
        <f>SUM(E88:AN88)</f>
        <v>2071232.8767123295</v>
      </c>
      <c r="E88" s="301">
        <f t="shared" ref="E88:AN88" si="42">+$C$88</f>
        <v>57534.246575342477</v>
      </c>
      <c r="F88" s="301">
        <f t="shared" si="42"/>
        <v>57534.246575342477</v>
      </c>
      <c r="G88" s="301">
        <f t="shared" si="42"/>
        <v>57534.246575342477</v>
      </c>
      <c r="H88" s="301">
        <f t="shared" si="42"/>
        <v>57534.246575342477</v>
      </c>
      <c r="I88" s="301">
        <f t="shared" si="42"/>
        <v>57534.246575342477</v>
      </c>
      <c r="J88" s="301">
        <f t="shared" si="42"/>
        <v>57534.246575342477</v>
      </c>
      <c r="K88" s="301">
        <f t="shared" si="42"/>
        <v>57534.246575342477</v>
      </c>
      <c r="L88" s="301">
        <f t="shared" si="42"/>
        <v>57534.246575342477</v>
      </c>
      <c r="M88" s="301">
        <f t="shared" si="42"/>
        <v>57534.246575342477</v>
      </c>
      <c r="N88" s="301">
        <f t="shared" si="42"/>
        <v>57534.246575342477</v>
      </c>
      <c r="O88" s="301">
        <f t="shared" si="42"/>
        <v>57534.246575342477</v>
      </c>
      <c r="P88" s="301">
        <f t="shared" si="42"/>
        <v>57534.246575342477</v>
      </c>
      <c r="Q88" s="301">
        <f t="shared" si="42"/>
        <v>57534.246575342477</v>
      </c>
      <c r="R88" s="301">
        <f t="shared" si="42"/>
        <v>57534.246575342477</v>
      </c>
      <c r="S88" s="301">
        <f t="shared" si="42"/>
        <v>57534.246575342477</v>
      </c>
      <c r="T88" s="301">
        <f t="shared" si="42"/>
        <v>57534.246575342477</v>
      </c>
      <c r="U88" s="301">
        <f t="shared" si="42"/>
        <v>57534.246575342477</v>
      </c>
      <c r="V88" s="301">
        <f t="shared" si="42"/>
        <v>57534.246575342477</v>
      </c>
      <c r="W88" s="301">
        <f t="shared" si="42"/>
        <v>57534.246575342477</v>
      </c>
      <c r="X88" s="301">
        <f t="shared" si="42"/>
        <v>57534.246575342477</v>
      </c>
      <c r="Y88" s="301">
        <f t="shared" si="42"/>
        <v>57534.246575342477</v>
      </c>
      <c r="Z88" s="301">
        <f t="shared" si="42"/>
        <v>57534.246575342477</v>
      </c>
      <c r="AA88" s="301">
        <f t="shared" si="42"/>
        <v>57534.246575342477</v>
      </c>
      <c r="AB88" s="301">
        <f t="shared" si="42"/>
        <v>57534.246575342477</v>
      </c>
      <c r="AC88" s="301">
        <f t="shared" si="42"/>
        <v>57534.246575342477</v>
      </c>
      <c r="AD88" s="301">
        <f t="shared" si="42"/>
        <v>57534.246575342477</v>
      </c>
      <c r="AE88" s="301">
        <f t="shared" si="42"/>
        <v>57534.246575342477</v>
      </c>
      <c r="AF88" s="301">
        <f t="shared" si="42"/>
        <v>57534.246575342477</v>
      </c>
      <c r="AG88" s="301">
        <f t="shared" si="42"/>
        <v>57534.246575342477</v>
      </c>
      <c r="AH88" s="301">
        <f t="shared" si="42"/>
        <v>57534.246575342477</v>
      </c>
      <c r="AI88" s="301">
        <f t="shared" si="42"/>
        <v>57534.246575342477</v>
      </c>
      <c r="AJ88" s="301">
        <f t="shared" si="42"/>
        <v>57534.246575342477</v>
      </c>
      <c r="AK88" s="301">
        <f t="shared" si="42"/>
        <v>57534.246575342477</v>
      </c>
      <c r="AL88" s="301">
        <f t="shared" si="42"/>
        <v>57534.246575342477</v>
      </c>
      <c r="AM88" s="301">
        <f t="shared" si="42"/>
        <v>57534.246575342477</v>
      </c>
      <c r="AN88" s="301">
        <f t="shared" si="42"/>
        <v>57534.246575342477</v>
      </c>
    </row>
    <row r="89" spans="2:40">
      <c r="B89" s="302" t="s">
        <v>454</v>
      </c>
      <c r="C89" s="302"/>
      <c r="D89" s="303">
        <f>+D82-D87-D88</f>
        <v>-336086.19886991777</v>
      </c>
      <c r="E89" s="303">
        <f>+E82-E87-E88</f>
        <v>-214250.33330194216</v>
      </c>
      <c r="F89" s="303">
        <f t="shared" ref="F89:AN89" si="43">+F82-F87-F88</f>
        <v>-257350.33330194216</v>
      </c>
      <c r="G89" s="303">
        <f t="shared" si="43"/>
        <v>-246763.33330194216</v>
      </c>
      <c r="H89" s="303">
        <f t="shared" si="43"/>
        <v>113474.10669805783</v>
      </c>
      <c r="I89" s="303">
        <f t="shared" si="43"/>
        <v>187662.90669805784</v>
      </c>
      <c r="J89" s="303">
        <f t="shared" si="43"/>
        <v>63309.726698057828</v>
      </c>
      <c r="K89" s="303">
        <f t="shared" si="43"/>
        <v>40647.366698057842</v>
      </c>
      <c r="L89" s="303">
        <f t="shared" si="43"/>
        <v>-9861.6733019421008</v>
      </c>
      <c r="M89" s="303">
        <f t="shared" si="43"/>
        <v>-58754.033301942174</v>
      </c>
      <c r="N89" s="303">
        <f t="shared" si="43"/>
        <v>-36967.973301942176</v>
      </c>
      <c r="O89" s="303">
        <f t="shared" si="43"/>
        <v>-119608.93330194213</v>
      </c>
      <c r="P89" s="303">
        <f t="shared" si="43"/>
        <v>-44466.89330194216</v>
      </c>
      <c r="Q89" s="303">
        <f t="shared" si="43"/>
        <v>-69737.453301942151</v>
      </c>
      <c r="R89" s="303">
        <f t="shared" si="43"/>
        <v>-34278.873301942229</v>
      </c>
      <c r="S89" s="303">
        <f t="shared" si="43"/>
        <v>-765.05330194216367</v>
      </c>
      <c r="T89" s="303">
        <f t="shared" si="43"/>
        <v>57977.406698057821</v>
      </c>
      <c r="U89" s="303">
        <f t="shared" si="43"/>
        <v>5133.9266980578468</v>
      </c>
      <c r="V89" s="303">
        <f t="shared" si="43"/>
        <v>115866.5066980578</v>
      </c>
      <c r="W89" s="303">
        <f t="shared" si="43"/>
        <v>210486.20669805788</v>
      </c>
      <c r="X89" s="303">
        <f t="shared" si="43"/>
        <v>124022.82669805786</v>
      </c>
      <c r="Y89" s="303">
        <f t="shared" si="43"/>
        <v>52130.346698057823</v>
      </c>
      <c r="Z89" s="303">
        <f t="shared" si="43"/>
        <v>134832.36669805786</v>
      </c>
      <c r="AA89" s="303">
        <f t="shared" si="43"/>
        <v>98549.406698057821</v>
      </c>
      <c r="AB89" s="303">
        <f t="shared" si="43"/>
        <v>-34034.093301942172</v>
      </c>
      <c r="AC89" s="303">
        <f t="shared" si="43"/>
        <v>9606.6866980578488</v>
      </c>
      <c r="AD89" s="303">
        <f t="shared" si="43"/>
        <v>52426.186698057849</v>
      </c>
      <c r="AE89" s="303">
        <f t="shared" si="43"/>
        <v>35054.226698057828</v>
      </c>
      <c r="AF89" s="303">
        <f t="shared" si="43"/>
        <v>54557.766698057807</v>
      </c>
      <c r="AG89" s="303">
        <f t="shared" si="43"/>
        <v>97824.906698057821</v>
      </c>
      <c r="AH89" s="303">
        <f t="shared" si="43"/>
        <v>154915.50669805781</v>
      </c>
      <c r="AI89" s="303">
        <f t="shared" si="43"/>
        <v>75655.206698057867</v>
      </c>
      <c r="AJ89" s="303">
        <f t="shared" si="43"/>
        <v>118433.30669805784</v>
      </c>
      <c r="AK89" s="303">
        <f t="shared" si="43"/>
        <v>-239763.11330194218</v>
      </c>
      <c r="AL89" s="303">
        <f t="shared" si="43"/>
        <v>-309070.33330194216</v>
      </c>
      <c r="AM89" s="303">
        <f t="shared" si="43"/>
        <v>-222870.33330194216</v>
      </c>
      <c r="AN89" s="303">
        <f t="shared" si="43"/>
        <v>-240110.33330194216</v>
      </c>
    </row>
    <row r="90" spans="2:40">
      <c r="B90" s="320" t="s">
        <v>92</v>
      </c>
      <c r="C90" s="321"/>
      <c r="D90" s="326"/>
      <c r="E90" s="29">
        <f>+E89</f>
        <v>-214250.33330194216</v>
      </c>
      <c r="F90" s="29">
        <f>+E90+F89</f>
        <v>-471600.66660388431</v>
      </c>
      <c r="G90" s="29">
        <f t="shared" ref="G90:AN90" si="44">+F90+G89</f>
        <v>-718363.99990582652</v>
      </c>
      <c r="H90" s="29">
        <f t="shared" si="44"/>
        <v>-604889.89320776868</v>
      </c>
      <c r="I90" s="29">
        <f t="shared" si="44"/>
        <v>-417226.98650971084</v>
      </c>
      <c r="J90" s="29">
        <f t="shared" si="44"/>
        <v>-353917.259811653</v>
      </c>
      <c r="K90" s="29">
        <f t="shared" si="44"/>
        <v>-313269.89311359514</v>
      </c>
      <c r="L90" s="29">
        <f t="shared" si="44"/>
        <v>-323131.56641553727</v>
      </c>
      <c r="M90" s="29">
        <f t="shared" si="44"/>
        <v>-381885.59971747943</v>
      </c>
      <c r="N90" s="29">
        <f t="shared" si="44"/>
        <v>-418853.5730194216</v>
      </c>
      <c r="O90" s="29">
        <f t="shared" si="44"/>
        <v>-538462.50632136373</v>
      </c>
      <c r="P90" s="29">
        <f t="shared" si="44"/>
        <v>-582929.39962330589</v>
      </c>
      <c r="Q90" s="29">
        <f t="shared" si="44"/>
        <v>-652666.85292524798</v>
      </c>
      <c r="R90" s="29">
        <f t="shared" si="44"/>
        <v>-686945.72622719023</v>
      </c>
      <c r="S90" s="29">
        <f t="shared" si="44"/>
        <v>-687710.77952913241</v>
      </c>
      <c r="T90" s="29">
        <f t="shared" si="44"/>
        <v>-629733.37283107464</v>
      </c>
      <c r="U90" s="29">
        <f t="shared" si="44"/>
        <v>-624599.44613301684</v>
      </c>
      <c r="V90" s="29">
        <f t="shared" si="44"/>
        <v>-508732.93943495903</v>
      </c>
      <c r="W90" s="29">
        <f t="shared" si="44"/>
        <v>-298246.73273690115</v>
      </c>
      <c r="X90" s="29">
        <f t="shared" si="44"/>
        <v>-174223.90603884327</v>
      </c>
      <c r="Y90" s="29">
        <f t="shared" si="44"/>
        <v>-122093.55934078545</v>
      </c>
      <c r="Z90" s="29">
        <f t="shared" si="44"/>
        <v>12738.80735727241</v>
      </c>
      <c r="AA90" s="29">
        <f t="shared" si="44"/>
        <v>111288.21405533023</v>
      </c>
      <c r="AB90" s="29">
        <f t="shared" si="44"/>
        <v>77254.120753388066</v>
      </c>
      <c r="AC90" s="29">
        <f t="shared" si="44"/>
        <v>86860.807451445915</v>
      </c>
      <c r="AD90" s="29">
        <f t="shared" si="44"/>
        <v>139286.99414950376</v>
      </c>
      <c r="AE90" s="29">
        <f t="shared" si="44"/>
        <v>174341.22084756161</v>
      </c>
      <c r="AF90" s="29">
        <f t="shared" si="44"/>
        <v>228898.98754561943</v>
      </c>
      <c r="AG90" s="29">
        <f t="shared" si="44"/>
        <v>326723.89424367726</v>
      </c>
      <c r="AH90" s="29">
        <f t="shared" si="44"/>
        <v>481639.40094173508</v>
      </c>
      <c r="AI90" s="29">
        <f t="shared" si="44"/>
        <v>557294.60763979296</v>
      </c>
      <c r="AJ90" s="29">
        <f t="shared" si="44"/>
        <v>675727.91433785076</v>
      </c>
      <c r="AK90" s="29">
        <f t="shared" si="44"/>
        <v>435964.80103590857</v>
      </c>
      <c r="AL90" s="29">
        <f t="shared" si="44"/>
        <v>126894.46773396642</v>
      </c>
      <c r="AM90" s="29">
        <f t="shared" si="44"/>
        <v>-95975.865567975736</v>
      </c>
      <c r="AN90" s="29">
        <f t="shared" si="44"/>
        <v>-336086.19886991789</v>
      </c>
    </row>
  </sheetData>
  <mergeCells count="7">
    <mergeCell ref="B90:D90"/>
    <mergeCell ref="B83:D83"/>
    <mergeCell ref="A27:A39"/>
    <mergeCell ref="A43:A44"/>
    <mergeCell ref="A48:A53"/>
    <mergeCell ref="A55:A59"/>
    <mergeCell ref="B76:C76"/>
  </mergeCells>
  <conditionalFormatting sqref="B89:AN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AN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3:AN83 B8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0:AN90 B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FDCE-9695-43A9-A587-653A5CE6DDD1}">
  <dimension ref="A2:AN88"/>
  <sheetViews>
    <sheetView topLeftCell="A5" zoomScale="110" zoomScaleNormal="110" workbookViewId="0">
      <selection activeCell="AG41" sqref="AG41:AN41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9.85546875" bestFit="1" customWidth="1"/>
    <col min="6" max="7" width="12.28515625" bestFit="1" customWidth="1"/>
    <col min="8" max="8" width="11.28515625" bestFit="1" customWidth="1"/>
  </cols>
  <sheetData>
    <row r="2" spans="2:40" ht="15.75">
      <c r="B2" s="54" t="s">
        <v>0</v>
      </c>
      <c r="C2" s="109" t="s">
        <v>1</v>
      </c>
    </row>
    <row r="3" spans="2:40" ht="15.75">
      <c r="B3" s="54" t="s">
        <v>2</v>
      </c>
      <c r="C3" s="109" t="s">
        <v>497</v>
      </c>
    </row>
    <row r="4" spans="2:40" ht="15.75">
      <c r="B4" s="54" t="s">
        <v>3</v>
      </c>
      <c r="C4" s="110">
        <v>45455</v>
      </c>
    </row>
    <row r="5" spans="2:40" ht="15.75">
      <c r="B5" s="54" t="s">
        <v>4</v>
      </c>
      <c r="C5" s="110">
        <v>45490</v>
      </c>
    </row>
    <row r="6" spans="2:40" ht="15.75">
      <c r="B6" s="179" t="s">
        <v>230</v>
      </c>
      <c r="C6" s="110" t="s">
        <v>421</v>
      </c>
    </row>
    <row r="7" spans="2:40" ht="15.75">
      <c r="B7" s="2"/>
      <c r="C7" s="2"/>
    </row>
    <row r="8" spans="2:40" ht="15.75">
      <c r="B8" s="54" t="s">
        <v>5</v>
      </c>
      <c r="D8" s="41" t="s">
        <v>6</v>
      </c>
      <c r="E8" s="42">
        <v>45456</v>
      </c>
      <c r="F8" s="42">
        <v>45457</v>
      </c>
      <c r="G8" s="42">
        <v>45458</v>
      </c>
      <c r="H8" s="42">
        <v>45459</v>
      </c>
      <c r="I8" s="42">
        <v>45460</v>
      </c>
      <c r="J8" s="42">
        <v>45461</v>
      </c>
      <c r="K8" s="42">
        <v>45462</v>
      </c>
      <c r="L8" s="42">
        <v>45463</v>
      </c>
      <c r="M8" s="42">
        <v>45464</v>
      </c>
      <c r="N8" s="42">
        <v>45465</v>
      </c>
      <c r="O8" s="42">
        <v>45466</v>
      </c>
      <c r="P8" s="42">
        <v>45467</v>
      </c>
      <c r="Q8" s="42">
        <v>45468</v>
      </c>
      <c r="R8" s="42">
        <v>45469</v>
      </c>
      <c r="S8" s="42">
        <v>45470</v>
      </c>
      <c r="T8" s="42">
        <v>45471</v>
      </c>
      <c r="U8" s="42">
        <v>45472</v>
      </c>
      <c r="V8" s="42">
        <v>45473</v>
      </c>
      <c r="W8" s="42">
        <v>45474</v>
      </c>
      <c r="X8" s="42">
        <v>45475</v>
      </c>
      <c r="Y8" s="42">
        <v>45476</v>
      </c>
      <c r="Z8" s="42">
        <v>45477</v>
      </c>
      <c r="AA8" s="42">
        <v>45478</v>
      </c>
      <c r="AB8" s="42">
        <v>45479</v>
      </c>
      <c r="AC8" s="42">
        <v>45480</v>
      </c>
      <c r="AD8" s="42">
        <v>45481</v>
      </c>
      <c r="AE8" s="42">
        <v>45482</v>
      </c>
      <c r="AF8" s="42">
        <v>45483</v>
      </c>
      <c r="AG8" s="42">
        <v>45484</v>
      </c>
      <c r="AH8" s="42">
        <v>45485</v>
      </c>
      <c r="AI8" s="42">
        <v>45486</v>
      </c>
      <c r="AJ8" s="42">
        <v>45487</v>
      </c>
      <c r="AK8" s="42">
        <v>45488</v>
      </c>
      <c r="AL8" s="42">
        <v>45489</v>
      </c>
      <c r="AM8" s="42">
        <v>45490</v>
      </c>
      <c r="AN8" s="42">
        <v>45491</v>
      </c>
    </row>
    <row r="9" spans="2:40">
      <c r="B9" s="46" t="s">
        <v>7</v>
      </c>
      <c r="C9" s="47" t="s">
        <v>8</v>
      </c>
      <c r="D9" s="71">
        <f>SUM(E9:N9)</f>
        <v>139</v>
      </c>
      <c r="E9" s="114">
        <v>0</v>
      </c>
      <c r="F9" s="114">
        <v>0</v>
      </c>
      <c r="G9" s="114">
        <v>11</v>
      </c>
      <c r="H9" s="114">
        <v>7</v>
      </c>
      <c r="I9" s="114">
        <v>18</v>
      </c>
      <c r="J9" s="114">
        <v>20</v>
      </c>
      <c r="K9" s="114">
        <v>23</v>
      </c>
      <c r="L9" s="114">
        <v>22</v>
      </c>
      <c r="M9" s="114">
        <v>20</v>
      </c>
      <c r="N9" s="114">
        <v>18</v>
      </c>
      <c r="O9" s="114">
        <v>18</v>
      </c>
      <c r="P9" s="114">
        <v>20</v>
      </c>
      <c r="Q9" s="114">
        <v>22</v>
      </c>
      <c r="R9" s="114">
        <v>14</v>
      </c>
      <c r="S9" s="114">
        <v>24</v>
      </c>
      <c r="T9" s="114">
        <v>17</v>
      </c>
      <c r="U9" s="114">
        <v>16</v>
      </c>
      <c r="V9" s="114">
        <v>21</v>
      </c>
      <c r="W9" s="114">
        <v>18</v>
      </c>
      <c r="X9" s="114">
        <v>18</v>
      </c>
      <c r="Y9" s="114">
        <v>17</v>
      </c>
      <c r="Z9" s="114">
        <v>19</v>
      </c>
      <c r="AA9" s="114">
        <v>18</v>
      </c>
      <c r="AB9" s="114">
        <v>21</v>
      </c>
      <c r="AC9" s="114">
        <v>20</v>
      </c>
      <c r="AD9" s="114">
        <v>21</v>
      </c>
      <c r="AE9" s="114">
        <v>15</v>
      </c>
      <c r="AF9" s="114">
        <v>18</v>
      </c>
      <c r="AG9" s="114">
        <v>21</v>
      </c>
      <c r="AH9" s="114">
        <v>24</v>
      </c>
      <c r="AI9" s="114">
        <v>19</v>
      </c>
      <c r="AJ9" s="114">
        <v>15</v>
      </c>
      <c r="AK9" s="114">
        <v>16</v>
      </c>
      <c r="AL9" s="114">
        <v>0</v>
      </c>
      <c r="AM9" s="114">
        <v>0</v>
      </c>
      <c r="AN9" s="114">
        <v>0</v>
      </c>
    </row>
    <row r="10" spans="2:40">
      <c r="B10" s="48" t="s">
        <v>9</v>
      </c>
      <c r="C10" s="38" t="s">
        <v>8</v>
      </c>
      <c r="D10" s="71">
        <f t="shared" ref="D10:D16" si="0">SUM(E10:K10)</f>
        <v>61</v>
      </c>
      <c r="E10" s="115">
        <v>5</v>
      </c>
      <c r="F10" s="115">
        <v>24</v>
      </c>
      <c r="G10" s="115">
        <v>13</v>
      </c>
      <c r="H10" s="115">
        <v>17</v>
      </c>
      <c r="I10" s="115">
        <v>2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3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8</v>
      </c>
      <c r="AL10" s="115">
        <v>0</v>
      </c>
      <c r="AM10" s="115">
        <v>9</v>
      </c>
      <c r="AN10" s="115">
        <v>24</v>
      </c>
    </row>
    <row r="11" spans="2:40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</row>
    <row r="12" spans="2:40">
      <c r="B12" s="48" t="s">
        <v>11</v>
      </c>
      <c r="C12" s="38" t="s">
        <v>8</v>
      </c>
      <c r="D12" s="71">
        <f t="shared" si="0"/>
        <v>5</v>
      </c>
      <c r="E12" s="115">
        <v>5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</row>
    <row r="13" spans="2:40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15</v>
      </c>
      <c r="AN13" s="115">
        <v>0</v>
      </c>
    </row>
    <row r="14" spans="2:40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</row>
    <row r="15" spans="2:40">
      <c r="B15" s="49" t="s">
        <v>14</v>
      </c>
      <c r="C15" s="40" t="s">
        <v>8</v>
      </c>
      <c r="D15" s="71">
        <f t="shared" si="0"/>
        <v>23</v>
      </c>
      <c r="E15" s="116">
        <v>14</v>
      </c>
      <c r="F15" s="116">
        <v>0</v>
      </c>
      <c r="G15" s="116">
        <v>0</v>
      </c>
      <c r="H15" s="116">
        <v>0</v>
      </c>
      <c r="I15" s="116">
        <v>4</v>
      </c>
      <c r="J15" s="116">
        <v>4</v>
      </c>
      <c r="K15" s="116">
        <v>1</v>
      </c>
      <c r="L15" s="116">
        <v>2</v>
      </c>
      <c r="M15" s="116">
        <v>4</v>
      </c>
      <c r="N15" s="116">
        <v>6</v>
      </c>
      <c r="O15" s="116">
        <v>6</v>
      </c>
      <c r="P15" s="116">
        <v>4</v>
      </c>
      <c r="Q15" s="116">
        <v>2</v>
      </c>
      <c r="R15" s="116">
        <v>10</v>
      </c>
      <c r="S15" s="116">
        <v>0</v>
      </c>
      <c r="T15" s="116">
        <v>7</v>
      </c>
      <c r="U15" s="116">
        <v>8</v>
      </c>
      <c r="V15" s="116">
        <v>0</v>
      </c>
      <c r="W15" s="116">
        <v>6</v>
      </c>
      <c r="X15" s="116">
        <v>6</v>
      </c>
      <c r="Y15" s="116">
        <v>7</v>
      </c>
      <c r="Z15" s="116">
        <v>5</v>
      </c>
      <c r="AA15" s="116">
        <v>6</v>
      </c>
      <c r="AB15" s="116">
        <v>3</v>
      </c>
      <c r="AC15" s="116">
        <v>4</v>
      </c>
      <c r="AD15" s="116">
        <v>3</v>
      </c>
      <c r="AE15" s="116">
        <v>9</v>
      </c>
      <c r="AF15" s="116">
        <v>6</v>
      </c>
      <c r="AG15" s="116">
        <v>3</v>
      </c>
      <c r="AH15" s="116">
        <v>0</v>
      </c>
      <c r="AI15" s="116">
        <v>5</v>
      </c>
      <c r="AJ15" s="116">
        <v>9</v>
      </c>
      <c r="AK15" s="116">
        <v>0</v>
      </c>
      <c r="AL15" s="116">
        <v>0</v>
      </c>
      <c r="AM15" s="116">
        <v>0</v>
      </c>
      <c r="AN15" s="116">
        <v>0</v>
      </c>
    </row>
    <row r="16" spans="2:40">
      <c r="B16" s="68" t="s">
        <v>15</v>
      </c>
      <c r="C16" s="69" t="s">
        <v>8</v>
      </c>
      <c r="D16" s="70">
        <f t="shared" si="0"/>
        <v>168</v>
      </c>
      <c r="E16" s="117">
        <f t="shared" ref="E16:AN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0</v>
      </c>
      <c r="AM16" s="117">
        <f t="shared" si="1"/>
        <v>24</v>
      </c>
      <c r="AN16" s="117">
        <f t="shared" si="1"/>
        <v>24</v>
      </c>
    </row>
    <row r="18" spans="1:40">
      <c r="B18" s="50" t="s">
        <v>16</v>
      </c>
      <c r="C18" s="50" t="s">
        <v>0</v>
      </c>
      <c r="D18" s="58">
        <f>SUM(E18:K18)</f>
        <v>0</v>
      </c>
      <c r="E18" s="127">
        <v>0</v>
      </c>
      <c r="F18" s="127">
        <v>0</v>
      </c>
      <c r="G18" s="127" t="s">
        <v>498</v>
      </c>
      <c r="H18" s="127" t="s">
        <v>196</v>
      </c>
      <c r="I18" s="127" t="s">
        <v>196</v>
      </c>
      <c r="J18" s="127" t="s">
        <v>196</v>
      </c>
      <c r="K18" s="127" t="s">
        <v>196</v>
      </c>
      <c r="L18" s="127" t="s">
        <v>196</v>
      </c>
      <c r="M18" s="127" t="s">
        <v>196</v>
      </c>
      <c r="N18" s="127" t="s">
        <v>196</v>
      </c>
      <c r="O18" s="127" t="s">
        <v>196</v>
      </c>
      <c r="P18" s="127" t="s">
        <v>196</v>
      </c>
      <c r="Q18" s="127" t="s">
        <v>196</v>
      </c>
      <c r="R18" s="127" t="s">
        <v>196</v>
      </c>
      <c r="S18" s="127" t="s">
        <v>196</v>
      </c>
      <c r="T18" s="127" t="s">
        <v>196</v>
      </c>
      <c r="U18" s="127" t="s">
        <v>196</v>
      </c>
      <c r="V18" s="127" t="s">
        <v>196</v>
      </c>
      <c r="W18" s="127" t="s">
        <v>196</v>
      </c>
      <c r="X18" s="127" t="s">
        <v>196</v>
      </c>
      <c r="Y18" s="127" t="s">
        <v>196</v>
      </c>
      <c r="Z18" s="127" t="s">
        <v>196</v>
      </c>
      <c r="AA18" s="127" t="s">
        <v>196</v>
      </c>
      <c r="AB18" s="127" t="s">
        <v>196</v>
      </c>
      <c r="AC18" s="127" t="s">
        <v>196</v>
      </c>
      <c r="AD18" s="127" t="s">
        <v>196</v>
      </c>
      <c r="AE18" s="127" t="s">
        <v>196</v>
      </c>
      <c r="AF18" s="127" t="s">
        <v>196</v>
      </c>
      <c r="AG18" s="127" t="s">
        <v>196</v>
      </c>
      <c r="AH18" s="127" t="s">
        <v>196</v>
      </c>
      <c r="AI18" s="127" t="s">
        <v>196</v>
      </c>
      <c r="AJ18" s="127" t="s">
        <v>196</v>
      </c>
      <c r="AK18" s="127" t="s">
        <v>196</v>
      </c>
      <c r="AL18" s="127" t="s">
        <v>499</v>
      </c>
      <c r="AM18" s="127" t="s">
        <v>203</v>
      </c>
      <c r="AN18" s="127" t="s">
        <v>203</v>
      </c>
    </row>
    <row r="19" spans="1:40">
      <c r="B19" s="37" t="s">
        <v>31</v>
      </c>
      <c r="C19" s="37" t="s">
        <v>32</v>
      </c>
      <c r="D19" s="131">
        <f>SUM(E19:K19)</f>
        <v>79</v>
      </c>
      <c r="E19" s="162">
        <v>0</v>
      </c>
      <c r="F19" s="162">
        <v>0</v>
      </c>
      <c r="G19" s="162">
        <v>11</v>
      </c>
      <c r="H19" s="162">
        <v>7</v>
      </c>
      <c r="I19" s="162">
        <v>18</v>
      </c>
      <c r="J19" s="162">
        <v>20</v>
      </c>
      <c r="K19" s="162">
        <v>23</v>
      </c>
      <c r="L19" s="162">
        <v>22</v>
      </c>
      <c r="M19" s="162">
        <v>20</v>
      </c>
      <c r="N19" s="162">
        <v>18</v>
      </c>
      <c r="O19" s="162">
        <v>18</v>
      </c>
      <c r="P19" s="162">
        <v>20</v>
      </c>
      <c r="Q19" s="162">
        <v>22</v>
      </c>
      <c r="R19" s="162">
        <v>14</v>
      </c>
      <c r="S19" s="162">
        <v>24</v>
      </c>
      <c r="T19" s="162">
        <v>17</v>
      </c>
      <c r="U19" s="162">
        <v>16</v>
      </c>
      <c r="V19" s="162">
        <v>21</v>
      </c>
      <c r="W19" s="162">
        <v>18</v>
      </c>
      <c r="X19" s="162">
        <v>18</v>
      </c>
      <c r="Y19" s="162">
        <v>17</v>
      </c>
      <c r="Z19" s="162">
        <v>19</v>
      </c>
      <c r="AA19" s="162">
        <v>18</v>
      </c>
      <c r="AB19" s="162">
        <v>21</v>
      </c>
      <c r="AC19" s="162">
        <v>20</v>
      </c>
      <c r="AD19" s="162">
        <v>21</v>
      </c>
      <c r="AE19" s="162">
        <v>15</v>
      </c>
      <c r="AF19" s="162">
        <v>18</v>
      </c>
      <c r="AG19" s="162">
        <v>21</v>
      </c>
      <c r="AH19" s="162">
        <v>24</v>
      </c>
      <c r="AI19" s="162">
        <v>19</v>
      </c>
      <c r="AJ19" s="162">
        <v>15</v>
      </c>
      <c r="AK19" s="162">
        <v>16</v>
      </c>
      <c r="AL19" s="162">
        <v>0</v>
      </c>
      <c r="AM19" s="162">
        <v>0</v>
      </c>
      <c r="AN19" s="162">
        <v>0</v>
      </c>
    </row>
    <row r="20" spans="1:40">
      <c r="B20" s="37" t="s">
        <v>35</v>
      </c>
      <c r="C20" s="37" t="s">
        <v>36</v>
      </c>
      <c r="D20" s="131">
        <f>SUM(E20:K20)</f>
        <v>12</v>
      </c>
      <c r="E20" s="162">
        <v>0</v>
      </c>
      <c r="F20" s="162">
        <v>0</v>
      </c>
      <c r="G20" s="162">
        <v>2</v>
      </c>
      <c r="H20" s="162">
        <v>1</v>
      </c>
      <c r="I20" s="162">
        <v>3</v>
      </c>
      <c r="J20" s="162">
        <v>3</v>
      </c>
      <c r="K20" s="162">
        <v>3</v>
      </c>
      <c r="L20" s="162">
        <v>3</v>
      </c>
      <c r="M20" s="162">
        <v>3</v>
      </c>
      <c r="N20" s="162">
        <v>3</v>
      </c>
      <c r="O20" s="162">
        <v>3</v>
      </c>
      <c r="P20" s="162">
        <v>3</v>
      </c>
      <c r="Q20" s="162">
        <v>3</v>
      </c>
      <c r="R20" s="162">
        <v>2</v>
      </c>
      <c r="S20" s="162">
        <v>4</v>
      </c>
      <c r="T20" s="162">
        <v>3</v>
      </c>
      <c r="U20" s="162">
        <v>3</v>
      </c>
      <c r="V20" s="162">
        <v>3</v>
      </c>
      <c r="W20" s="162">
        <v>3</v>
      </c>
      <c r="X20" s="162">
        <v>3</v>
      </c>
      <c r="Y20" s="162">
        <v>3</v>
      </c>
      <c r="Z20" s="162">
        <v>3</v>
      </c>
      <c r="AA20" s="162">
        <v>3</v>
      </c>
      <c r="AB20" s="162">
        <v>3</v>
      </c>
      <c r="AC20" s="162">
        <v>3</v>
      </c>
      <c r="AD20" s="162">
        <v>3</v>
      </c>
      <c r="AE20" s="162">
        <v>2</v>
      </c>
      <c r="AF20" s="162">
        <v>3</v>
      </c>
      <c r="AG20" s="162">
        <v>3</v>
      </c>
      <c r="AH20" s="162">
        <v>3</v>
      </c>
      <c r="AI20" s="162">
        <v>3</v>
      </c>
      <c r="AJ20" s="162">
        <v>2</v>
      </c>
      <c r="AK20" s="162">
        <v>3</v>
      </c>
      <c r="AL20" s="162">
        <v>0</v>
      </c>
      <c r="AM20" s="162">
        <v>0</v>
      </c>
      <c r="AN20" s="162">
        <v>0</v>
      </c>
    </row>
    <row r="21" spans="1:40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>
        <v>0</v>
      </c>
      <c r="H21" s="129">
        <v>0</v>
      </c>
      <c r="I21" s="129">
        <v>0</v>
      </c>
      <c r="J21" s="129">
        <v>0</v>
      </c>
      <c r="K21" s="129">
        <v>0</v>
      </c>
      <c r="L21" s="129">
        <v>0</v>
      </c>
      <c r="M21" s="129">
        <v>0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</row>
    <row r="22" spans="1:40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4" spans="1:40">
      <c r="B24" s="167" t="s">
        <v>43</v>
      </c>
      <c r="C24" s="168">
        <f>D26/D19</f>
        <v>6162.3544303797471</v>
      </c>
    </row>
    <row r="25" spans="1:40">
      <c r="D25" s="10"/>
    </row>
    <row r="26" spans="1:40">
      <c r="A26" s="312" t="s">
        <v>44</v>
      </c>
      <c r="B26" s="35" t="s">
        <v>45</v>
      </c>
      <c r="C26" s="35"/>
      <c r="D26" s="175">
        <f t="shared" ref="D26:D38" si="2">SUM(E26:AN26)</f>
        <v>486826</v>
      </c>
      <c r="E26" s="75">
        <f t="shared" ref="E26:AN26" si="3">SUM(E27:E38)</f>
        <v>0</v>
      </c>
      <c r="F26" s="175">
        <f t="shared" si="3"/>
        <v>0</v>
      </c>
      <c r="G26" s="75">
        <f t="shared" si="3"/>
        <v>5956</v>
      </c>
      <c r="H26" s="175">
        <f t="shared" si="3"/>
        <v>4134</v>
      </c>
      <c r="I26" s="75">
        <f t="shared" si="3"/>
        <v>17023</v>
      </c>
      <c r="J26" s="175">
        <f t="shared" si="3"/>
        <v>18148</v>
      </c>
      <c r="K26" s="75">
        <f t="shared" si="3"/>
        <v>18426</v>
      </c>
      <c r="L26" s="175">
        <f t="shared" si="3"/>
        <v>14144</v>
      </c>
      <c r="M26" s="75">
        <f t="shared" si="3"/>
        <v>17461</v>
      </c>
      <c r="N26" s="175">
        <f t="shared" si="3"/>
        <v>13216</v>
      </c>
      <c r="O26" s="75">
        <f t="shared" si="3"/>
        <v>17553</v>
      </c>
      <c r="P26" s="175">
        <f t="shared" si="3"/>
        <v>15631</v>
      </c>
      <c r="Q26" s="75">
        <f t="shared" si="3"/>
        <v>11731</v>
      </c>
      <c r="R26" s="175">
        <f t="shared" si="3"/>
        <v>14348</v>
      </c>
      <c r="S26" s="75">
        <f t="shared" si="3"/>
        <v>18031</v>
      </c>
      <c r="T26" s="175">
        <f t="shared" si="3"/>
        <v>10849</v>
      </c>
      <c r="U26" s="75">
        <f t="shared" si="3"/>
        <v>17655</v>
      </c>
      <c r="V26" s="175">
        <f t="shared" si="3"/>
        <v>11985</v>
      </c>
      <c r="W26" s="75">
        <f t="shared" si="3"/>
        <v>19352</v>
      </c>
      <c r="X26" s="175">
        <f t="shared" si="3"/>
        <v>15911</v>
      </c>
      <c r="Y26" s="75">
        <f t="shared" si="3"/>
        <v>18652</v>
      </c>
      <c r="Z26" s="175">
        <f t="shared" si="3"/>
        <v>19971</v>
      </c>
      <c r="AA26" s="75">
        <f t="shared" si="3"/>
        <v>17537</v>
      </c>
      <c r="AB26" s="175">
        <f t="shared" si="3"/>
        <v>16408</v>
      </c>
      <c r="AC26" s="75">
        <f t="shared" si="3"/>
        <v>21243</v>
      </c>
      <c r="AD26" s="175">
        <f t="shared" si="3"/>
        <v>20253</v>
      </c>
      <c r="AE26" s="75">
        <f t="shared" si="3"/>
        <v>10719</v>
      </c>
      <c r="AF26" s="175">
        <f t="shared" si="3"/>
        <v>10831</v>
      </c>
      <c r="AG26" s="75">
        <f t="shared" si="3"/>
        <v>23028</v>
      </c>
      <c r="AH26" s="175">
        <f t="shared" si="3"/>
        <v>21494</v>
      </c>
      <c r="AI26" s="75">
        <f t="shared" si="3"/>
        <v>16925</v>
      </c>
      <c r="AJ26" s="175">
        <f t="shared" si="3"/>
        <v>13633</v>
      </c>
      <c r="AK26" s="75">
        <f t="shared" si="3"/>
        <v>14578</v>
      </c>
      <c r="AL26" s="175">
        <f t="shared" si="3"/>
        <v>0</v>
      </c>
      <c r="AM26" s="75">
        <f t="shared" si="3"/>
        <v>0</v>
      </c>
      <c r="AN26" s="175">
        <f t="shared" si="3"/>
        <v>0</v>
      </c>
    </row>
    <row r="27" spans="1:40">
      <c r="A27" s="313"/>
      <c r="B27" s="37" t="s">
        <v>47</v>
      </c>
      <c r="C27" s="38" t="s">
        <v>48</v>
      </c>
      <c r="D27" s="73">
        <f t="shared" si="2"/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  <c r="AM27" s="55">
        <v>0</v>
      </c>
      <c r="AN27" s="55">
        <v>0</v>
      </c>
    </row>
    <row r="28" spans="1:40">
      <c r="A28" s="313"/>
      <c r="B28" s="37" t="s">
        <v>49</v>
      </c>
      <c r="C28" s="38" t="s">
        <v>48</v>
      </c>
      <c r="D28" s="73">
        <f t="shared" si="2"/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</row>
    <row r="29" spans="1:40">
      <c r="A29" s="313"/>
      <c r="B29" s="37" t="s">
        <v>50</v>
      </c>
      <c r="C29" s="38" t="s">
        <v>48</v>
      </c>
      <c r="D29" s="73">
        <f t="shared" si="2"/>
        <v>0</v>
      </c>
      <c r="E29" s="55">
        <v>0</v>
      </c>
      <c r="F29" s="55">
        <v>0</v>
      </c>
      <c r="G29" s="55"/>
      <c r="H29" s="55">
        <v>0</v>
      </c>
      <c r="I29" s="55"/>
      <c r="J29" s="55"/>
      <c r="K29" s="55"/>
      <c r="L29" s="55"/>
      <c r="M29" s="55"/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</row>
    <row r="30" spans="1:40">
      <c r="A30" s="313"/>
      <c r="B30" s="37" t="s">
        <v>51</v>
      </c>
      <c r="C30" s="38" t="s">
        <v>48</v>
      </c>
      <c r="D30" s="73">
        <f t="shared" si="2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</row>
    <row r="31" spans="1:40">
      <c r="A31" s="313"/>
      <c r="B31" s="37" t="s">
        <v>52</v>
      </c>
      <c r="C31" s="38" t="s">
        <v>48</v>
      </c>
      <c r="D31" s="73">
        <f t="shared" si="2"/>
        <v>0</v>
      </c>
      <c r="E31" s="55">
        <v>0</v>
      </c>
      <c r="F31" s="55">
        <v>0</v>
      </c>
      <c r="G31" s="55"/>
      <c r="H31" s="55"/>
      <c r="I31" s="55"/>
      <c r="J31" s="55"/>
      <c r="K31" s="55"/>
      <c r="L31" s="55"/>
      <c r="M31" s="55"/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</row>
    <row r="32" spans="1:40">
      <c r="A32" s="313"/>
      <c r="B32" s="37" t="s">
        <v>53</v>
      </c>
      <c r="C32" s="38" t="s">
        <v>48</v>
      </c>
      <c r="D32" s="73">
        <f t="shared" si="2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</row>
    <row r="33" spans="1:40">
      <c r="A33" s="313"/>
      <c r="B33" s="37" t="s">
        <v>54</v>
      </c>
      <c r="C33" s="38" t="s">
        <v>48</v>
      </c>
      <c r="D33" s="73">
        <f t="shared" si="2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</row>
    <row r="34" spans="1:40">
      <c r="A34" s="313"/>
      <c r="B34" s="37" t="s">
        <v>55</v>
      </c>
      <c r="C34" s="38" t="s">
        <v>48</v>
      </c>
      <c r="D34" s="73">
        <f t="shared" si="2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</row>
    <row r="35" spans="1:40">
      <c r="A35" s="313"/>
      <c r="B35" s="37" t="s">
        <v>56</v>
      </c>
      <c r="C35" s="38" t="s">
        <v>48</v>
      </c>
      <c r="D35" s="73">
        <f t="shared" si="2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</row>
    <row r="36" spans="1:40">
      <c r="A36" s="313"/>
      <c r="B36" s="37" t="s">
        <v>57</v>
      </c>
      <c r="C36" s="38" t="s">
        <v>48</v>
      </c>
      <c r="D36" s="73">
        <f t="shared" si="2"/>
        <v>200190</v>
      </c>
      <c r="E36" s="55">
        <v>0</v>
      </c>
      <c r="F36" s="55">
        <v>0</v>
      </c>
      <c r="G36" s="55">
        <v>4494</v>
      </c>
      <c r="H36" s="55">
        <v>1344</v>
      </c>
      <c r="I36" s="55">
        <v>6783</v>
      </c>
      <c r="J36" s="55">
        <v>4998</v>
      </c>
      <c r="K36" s="55">
        <v>10626</v>
      </c>
      <c r="L36" s="55">
        <v>7014</v>
      </c>
      <c r="M36" s="55">
        <v>7791</v>
      </c>
      <c r="N36" s="55">
        <v>3801</v>
      </c>
      <c r="O36" s="55">
        <v>7833</v>
      </c>
      <c r="P36" s="55">
        <v>6531</v>
      </c>
      <c r="Q36" s="55">
        <v>3801</v>
      </c>
      <c r="R36" s="55">
        <v>6048</v>
      </c>
      <c r="S36" s="55">
        <v>5796</v>
      </c>
      <c r="T36" s="55">
        <v>3339</v>
      </c>
      <c r="U36" s="55">
        <v>4935</v>
      </c>
      <c r="V36" s="55">
        <v>3255</v>
      </c>
      <c r="W36" s="55">
        <v>10017</v>
      </c>
      <c r="X36" s="55">
        <v>5376</v>
      </c>
      <c r="Y36" s="55">
        <v>10857</v>
      </c>
      <c r="Z36" s="55">
        <v>7476</v>
      </c>
      <c r="AA36" s="55">
        <v>5712</v>
      </c>
      <c r="AB36" s="55">
        <v>6048</v>
      </c>
      <c r="AC36" s="55">
        <v>9618</v>
      </c>
      <c r="AD36" s="55">
        <v>10353</v>
      </c>
      <c r="AE36" s="55">
        <v>5544</v>
      </c>
      <c r="AF36" s="55">
        <v>3591</v>
      </c>
      <c r="AG36" s="55">
        <v>10458</v>
      </c>
      <c r="AH36" s="55">
        <v>9384</v>
      </c>
      <c r="AI36" s="55">
        <v>6720</v>
      </c>
      <c r="AJ36" s="55">
        <v>4893</v>
      </c>
      <c r="AK36" s="55">
        <v>5754</v>
      </c>
      <c r="AL36" s="55">
        <v>0</v>
      </c>
      <c r="AM36" s="55">
        <v>0</v>
      </c>
      <c r="AN36" s="55">
        <v>0</v>
      </c>
    </row>
    <row r="37" spans="1:40">
      <c r="A37" s="313"/>
      <c r="B37" s="37" t="s">
        <v>58</v>
      </c>
      <c r="C37" s="38" t="s">
        <v>48</v>
      </c>
      <c r="D37" s="73">
        <f t="shared" si="2"/>
        <v>286636</v>
      </c>
      <c r="E37" s="55">
        <v>0</v>
      </c>
      <c r="F37" s="55">
        <v>0</v>
      </c>
      <c r="G37" s="55">
        <v>1462</v>
      </c>
      <c r="H37" s="55">
        <v>2790</v>
      </c>
      <c r="I37" s="55">
        <v>10240</v>
      </c>
      <c r="J37" s="55">
        <v>13150</v>
      </c>
      <c r="K37" s="55">
        <v>7800</v>
      </c>
      <c r="L37" s="55">
        <v>7130</v>
      </c>
      <c r="M37" s="55">
        <v>9670</v>
      </c>
      <c r="N37" s="55">
        <v>9415</v>
      </c>
      <c r="O37" s="55">
        <v>9720</v>
      </c>
      <c r="P37" s="55">
        <v>9100</v>
      </c>
      <c r="Q37" s="55">
        <v>7930</v>
      </c>
      <c r="R37" s="55">
        <v>8300</v>
      </c>
      <c r="S37" s="55">
        <v>12235</v>
      </c>
      <c r="T37" s="55">
        <v>7510</v>
      </c>
      <c r="U37" s="55">
        <v>12720</v>
      </c>
      <c r="V37" s="55">
        <v>8730</v>
      </c>
      <c r="W37" s="55">
        <v>9335</v>
      </c>
      <c r="X37" s="55">
        <v>10535</v>
      </c>
      <c r="Y37" s="55">
        <v>7795</v>
      </c>
      <c r="Z37" s="55">
        <v>12495</v>
      </c>
      <c r="AA37" s="55">
        <v>11825</v>
      </c>
      <c r="AB37" s="55">
        <v>10360</v>
      </c>
      <c r="AC37" s="55">
        <v>11625</v>
      </c>
      <c r="AD37" s="55">
        <v>9900</v>
      </c>
      <c r="AE37" s="55">
        <v>5175</v>
      </c>
      <c r="AF37" s="55">
        <v>7240</v>
      </c>
      <c r="AG37" s="55">
        <v>12570</v>
      </c>
      <c r="AH37" s="55">
        <v>12110</v>
      </c>
      <c r="AI37" s="55">
        <v>10205</v>
      </c>
      <c r="AJ37" s="55">
        <v>8740</v>
      </c>
      <c r="AK37" s="55">
        <v>8824</v>
      </c>
      <c r="AL37" s="55">
        <v>0</v>
      </c>
      <c r="AM37" s="55">
        <v>0</v>
      </c>
      <c r="AN37" s="55">
        <v>0</v>
      </c>
    </row>
    <row r="38" spans="1:40">
      <c r="A38" s="314"/>
      <c r="B38" s="39" t="s">
        <v>59</v>
      </c>
      <c r="C38" s="40" t="s">
        <v>48</v>
      </c>
      <c r="D38" s="74">
        <f t="shared" si="2"/>
        <v>0</v>
      </c>
      <c r="E38" s="55">
        <v>0</v>
      </c>
      <c r="F38" s="55">
        <v>0</v>
      </c>
      <c r="G38" s="55">
        <v>0</v>
      </c>
      <c r="H38" s="55">
        <v>0</v>
      </c>
      <c r="I38" s="55"/>
      <c r="J38" s="55"/>
      <c r="K38" s="55"/>
      <c r="L38" s="55"/>
      <c r="M38" s="55"/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0</v>
      </c>
      <c r="AM38" s="55">
        <v>0</v>
      </c>
      <c r="AN38" s="55">
        <v>0</v>
      </c>
    </row>
    <row r="39" spans="1:40">
      <c r="A39" s="164"/>
      <c r="B39" s="94" t="s">
        <v>149</v>
      </c>
      <c r="C39" s="166"/>
      <c r="D39" s="180">
        <f t="shared" ref="D39:AN39" si="4">D37/D26</f>
        <v>0.58878531549259905</v>
      </c>
      <c r="E39" s="170" t="e">
        <f t="shared" si="4"/>
        <v>#DIV/0!</v>
      </c>
      <c r="F39" s="170" t="e">
        <f t="shared" si="4"/>
        <v>#DIV/0!</v>
      </c>
      <c r="G39" s="170">
        <f t="shared" si="4"/>
        <v>0.24546675621222297</v>
      </c>
      <c r="H39" s="170">
        <f t="shared" si="4"/>
        <v>0.67489114658925975</v>
      </c>
      <c r="I39" s="170">
        <f t="shared" si="4"/>
        <v>0.60153909416671558</v>
      </c>
      <c r="J39" s="170">
        <f t="shared" si="4"/>
        <v>0.72459775181838215</v>
      </c>
      <c r="K39" s="170">
        <f t="shared" si="4"/>
        <v>0.42331488114620647</v>
      </c>
      <c r="L39" s="170">
        <f t="shared" si="4"/>
        <v>0.50410067873303166</v>
      </c>
      <c r="M39" s="170">
        <f t="shared" si="4"/>
        <v>0.55380562396197242</v>
      </c>
      <c r="N39" s="170">
        <f t="shared" si="4"/>
        <v>0.71239406779661019</v>
      </c>
      <c r="O39" s="170">
        <f t="shared" si="4"/>
        <v>0.55375149547085967</v>
      </c>
      <c r="P39" s="170">
        <f t="shared" si="4"/>
        <v>0.58217644424540971</v>
      </c>
      <c r="Q39" s="170">
        <f t="shared" si="4"/>
        <v>0.67598670190094623</v>
      </c>
      <c r="R39" s="170">
        <f t="shared" si="4"/>
        <v>0.57847783663228325</v>
      </c>
      <c r="S39" s="170">
        <f t="shared" si="4"/>
        <v>0.67855360212966553</v>
      </c>
      <c r="T39" s="170">
        <f t="shared" si="4"/>
        <v>0.69222969858973182</v>
      </c>
      <c r="U39" s="170">
        <f t="shared" si="4"/>
        <v>0.72047578589634664</v>
      </c>
      <c r="V39" s="170">
        <f t="shared" si="4"/>
        <v>0.7284105131414268</v>
      </c>
      <c r="W39" s="170">
        <f t="shared" si="4"/>
        <v>0.48237908226539894</v>
      </c>
      <c r="X39" s="170">
        <f t="shared" si="4"/>
        <v>0.66212054553453581</v>
      </c>
      <c r="Y39" s="170">
        <f t="shared" si="4"/>
        <v>0.41791764958181427</v>
      </c>
      <c r="Z39" s="170">
        <f t="shared" si="4"/>
        <v>0.62565720294426919</v>
      </c>
      <c r="AA39" s="170">
        <f t="shared" si="4"/>
        <v>0.6742886468609226</v>
      </c>
      <c r="AB39" s="170">
        <f t="shared" si="4"/>
        <v>0.6313993174061433</v>
      </c>
      <c r="AC39" s="170">
        <f t="shared" si="4"/>
        <v>0.54723909052393727</v>
      </c>
      <c r="AD39" s="170">
        <f t="shared" si="4"/>
        <v>0.48881647163383202</v>
      </c>
      <c r="AE39" s="170">
        <f t="shared" si="4"/>
        <v>0.4827875734676742</v>
      </c>
      <c r="AF39" s="170">
        <f t="shared" si="4"/>
        <v>0.66845166651278742</v>
      </c>
      <c r="AG39" s="170">
        <f t="shared" si="4"/>
        <v>0.54585721730067749</v>
      </c>
      <c r="AH39" s="170">
        <f t="shared" si="4"/>
        <v>0.56341304550107008</v>
      </c>
      <c r="AI39" s="170">
        <f t="shared" si="4"/>
        <v>0.60295420974889213</v>
      </c>
      <c r="AJ39" s="170">
        <f t="shared" si="4"/>
        <v>0.64109146922907656</v>
      </c>
      <c r="AK39" s="170">
        <f t="shared" si="4"/>
        <v>0.60529565098093019</v>
      </c>
      <c r="AL39" s="170" t="e">
        <f t="shared" si="4"/>
        <v>#DIV/0!</v>
      </c>
      <c r="AM39" s="170" t="e">
        <f t="shared" si="4"/>
        <v>#DIV/0!</v>
      </c>
      <c r="AN39" s="170" t="e">
        <f t="shared" si="4"/>
        <v>#DIV/0!</v>
      </c>
    </row>
    <row r="40" spans="1:40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</row>
    <row r="41" spans="1:40">
      <c r="A41" s="324" t="s">
        <v>60</v>
      </c>
      <c r="B41" s="50" t="s">
        <v>61</v>
      </c>
      <c r="C41" s="91" t="s">
        <v>62</v>
      </c>
      <c r="D41" s="81">
        <f>SUM(E41:AN41)</f>
        <v>573000</v>
      </c>
      <c r="E41" s="86">
        <v>4000</v>
      </c>
      <c r="F41" s="86">
        <v>10000</v>
      </c>
      <c r="G41" s="86">
        <v>15000</v>
      </c>
      <c r="H41" s="86">
        <v>16000</v>
      </c>
      <c r="I41" s="86">
        <v>17000</v>
      </c>
      <c r="J41" s="86">
        <v>18000</v>
      </c>
      <c r="K41" s="86">
        <v>16000</v>
      </c>
      <c r="L41" s="86">
        <v>17000</v>
      </c>
      <c r="M41" s="86">
        <v>16000</v>
      </c>
      <c r="N41" s="86">
        <v>17000</v>
      </c>
      <c r="O41" s="86">
        <v>16000</v>
      </c>
      <c r="P41" s="86">
        <v>16000</v>
      </c>
      <c r="Q41" s="86">
        <v>18000</v>
      </c>
      <c r="R41" s="86">
        <v>16000</v>
      </c>
      <c r="S41" s="86">
        <v>17000</v>
      </c>
      <c r="T41" s="86">
        <v>16000</v>
      </c>
      <c r="U41" s="86">
        <v>16000</v>
      </c>
      <c r="V41" s="86">
        <v>16000</v>
      </c>
      <c r="W41" s="86">
        <v>16000</v>
      </c>
      <c r="X41" s="86">
        <v>16000</v>
      </c>
      <c r="Y41" s="86">
        <v>17000</v>
      </c>
      <c r="Z41" s="86">
        <v>17000</v>
      </c>
      <c r="AA41" s="86">
        <v>15000</v>
      </c>
      <c r="AB41" s="86">
        <v>17000</v>
      </c>
      <c r="AC41" s="86">
        <v>18000</v>
      </c>
      <c r="AD41" s="86">
        <v>17000</v>
      </c>
      <c r="AE41" s="86">
        <v>17000</v>
      </c>
      <c r="AF41" s="86">
        <v>16000</v>
      </c>
      <c r="AG41" s="86">
        <v>17000</v>
      </c>
      <c r="AH41" s="86">
        <v>18000</v>
      </c>
      <c r="AI41" s="86">
        <v>17000</v>
      </c>
      <c r="AJ41" s="86">
        <v>17000</v>
      </c>
      <c r="AK41" s="86">
        <v>20000</v>
      </c>
      <c r="AL41" s="86">
        <v>18000</v>
      </c>
      <c r="AM41" s="86">
        <v>8000</v>
      </c>
      <c r="AN41" s="86">
        <v>15000</v>
      </c>
    </row>
    <row r="42" spans="1:40">
      <c r="A42" s="325"/>
      <c r="B42" s="39" t="s">
        <v>63</v>
      </c>
      <c r="C42" s="92" t="s">
        <v>62</v>
      </c>
      <c r="D42" s="82">
        <f>SUM(E42:AN42)</f>
        <v>1100</v>
      </c>
      <c r="E42" s="87">
        <v>400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/>
      <c r="W42" s="87">
        <v>0</v>
      </c>
      <c r="X42" s="87">
        <v>0</v>
      </c>
      <c r="Y42" s="87">
        <v>0</v>
      </c>
      <c r="Z42" s="87">
        <v>0</v>
      </c>
      <c r="AA42" s="87">
        <v>200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  <c r="AI42" s="87">
        <v>200</v>
      </c>
      <c r="AJ42" s="87">
        <v>0</v>
      </c>
      <c r="AK42" s="87">
        <v>0</v>
      </c>
      <c r="AL42" s="87"/>
      <c r="AM42" s="87">
        <v>300</v>
      </c>
      <c r="AN42" s="87">
        <v>0</v>
      </c>
    </row>
    <row r="44" spans="1:40">
      <c r="B44" s="167" t="s">
        <v>240</v>
      </c>
      <c r="C44" s="184" t="s">
        <v>241</v>
      </c>
      <c r="D44" s="187">
        <f>D41/D26</f>
        <v>1.1770119097993945</v>
      </c>
      <c r="E44" s="185" t="e">
        <f t="shared" ref="E44:AN44" si="5">E41/E26</f>
        <v>#DIV/0!</v>
      </c>
      <c r="F44" s="188" t="e">
        <f t="shared" si="5"/>
        <v>#DIV/0!</v>
      </c>
      <c r="G44" s="186">
        <f t="shared" si="5"/>
        <v>2.5184687709872398</v>
      </c>
      <c r="H44" s="188">
        <f t="shared" si="5"/>
        <v>3.8703434929850022</v>
      </c>
      <c r="I44" s="186">
        <f t="shared" si="5"/>
        <v>0.99864888680021147</v>
      </c>
      <c r="J44" s="188">
        <f t="shared" si="5"/>
        <v>0.99184483138637869</v>
      </c>
      <c r="K44" s="186">
        <f t="shared" si="5"/>
        <v>0.8683382177358081</v>
      </c>
      <c r="L44" s="188">
        <f t="shared" si="5"/>
        <v>1.2019230769230769</v>
      </c>
      <c r="M44" s="186">
        <f t="shared" si="5"/>
        <v>0.9163278162762728</v>
      </c>
      <c r="N44" s="188">
        <f t="shared" si="5"/>
        <v>1.286319612590799</v>
      </c>
      <c r="O44" s="186">
        <f t="shared" si="5"/>
        <v>0.91152509542528348</v>
      </c>
      <c r="P44" s="188">
        <f t="shared" si="5"/>
        <v>1.0236069349369843</v>
      </c>
      <c r="Q44" s="186">
        <f t="shared" si="5"/>
        <v>1.5343960446679736</v>
      </c>
      <c r="R44" s="188">
        <f t="shared" si="5"/>
        <v>1.1151379983272931</v>
      </c>
      <c r="S44" s="186">
        <f t="shared" si="5"/>
        <v>0.94282069768731624</v>
      </c>
      <c r="T44" s="188">
        <f t="shared" si="5"/>
        <v>1.4747903032537562</v>
      </c>
      <c r="U44" s="186">
        <f t="shared" si="5"/>
        <v>0.90625885018408381</v>
      </c>
      <c r="V44" s="188">
        <f t="shared" si="5"/>
        <v>1.3350020859407592</v>
      </c>
      <c r="W44" s="186">
        <f t="shared" si="5"/>
        <v>0.82678792889623809</v>
      </c>
      <c r="X44" s="188">
        <f t="shared" si="5"/>
        <v>1.005593614480548</v>
      </c>
      <c r="Y44" s="186">
        <f t="shared" si="5"/>
        <v>0.91143040960754884</v>
      </c>
      <c r="Z44" s="188">
        <f t="shared" si="5"/>
        <v>0.85123428972009418</v>
      </c>
      <c r="AA44" s="186">
        <f t="shared" si="5"/>
        <v>0.85533443576438384</v>
      </c>
      <c r="AB44" s="188">
        <f t="shared" si="5"/>
        <v>1.0360799609946367</v>
      </c>
      <c r="AC44" s="186">
        <f t="shared" si="5"/>
        <v>0.84733794661770934</v>
      </c>
      <c r="AD44" s="188">
        <f t="shared" si="5"/>
        <v>0.83938181997728734</v>
      </c>
      <c r="AE44" s="186">
        <f t="shared" si="5"/>
        <v>1.5859688403769008</v>
      </c>
      <c r="AF44" s="188">
        <f t="shared" si="5"/>
        <v>1.4772412519619611</v>
      </c>
      <c r="AG44" s="186">
        <f t="shared" si="5"/>
        <v>0.73823171790863296</v>
      </c>
      <c r="AH44" s="188">
        <f t="shared" si="5"/>
        <v>0.83744300735088861</v>
      </c>
      <c r="AI44" s="186">
        <f t="shared" si="5"/>
        <v>1.0044313146233383</v>
      </c>
      <c r="AJ44" s="188">
        <f t="shared" si="5"/>
        <v>1.2469742536492334</v>
      </c>
      <c r="AK44" s="186">
        <f t="shared" si="5"/>
        <v>1.3719303059404582</v>
      </c>
      <c r="AL44" s="188" t="e">
        <f t="shared" si="5"/>
        <v>#DIV/0!</v>
      </c>
      <c r="AM44" s="186" t="e">
        <f t="shared" si="5"/>
        <v>#DIV/0!</v>
      </c>
      <c r="AN44" s="188" t="e">
        <f t="shared" si="5"/>
        <v>#DIV/0!</v>
      </c>
    </row>
    <row r="46" spans="1:40">
      <c r="A46" s="312" t="s">
        <v>64</v>
      </c>
      <c r="B46" s="93" t="s">
        <v>65</v>
      </c>
      <c r="C46" s="47" t="s">
        <v>8</v>
      </c>
      <c r="D46" s="181">
        <f t="shared" ref="D46:D51" si="6">SUM(E46:AN46)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</row>
    <row r="47" spans="1:40">
      <c r="A47" s="313"/>
      <c r="B47" s="94" t="s">
        <v>66</v>
      </c>
      <c r="C47" s="38" t="s">
        <v>8</v>
      </c>
      <c r="D47" s="182">
        <f t="shared" si="6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</row>
    <row r="48" spans="1:40">
      <c r="A48" s="313"/>
      <c r="B48" s="94" t="s">
        <v>67</v>
      </c>
      <c r="C48" s="38" t="s">
        <v>8</v>
      </c>
      <c r="D48" s="182">
        <f t="shared" si="6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</row>
    <row r="49" spans="1:40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</row>
    <row r="50" spans="1:40">
      <c r="A50" s="313"/>
      <c r="B50" s="93" t="s">
        <v>69</v>
      </c>
      <c r="C50" s="91" t="s">
        <v>48</v>
      </c>
      <c r="D50" s="181">
        <f t="shared" si="6"/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/>
      <c r="AD50" s="86">
        <v>0</v>
      </c>
      <c r="AE50" s="86">
        <v>0</v>
      </c>
      <c r="AF50" s="86">
        <v>0</v>
      </c>
      <c r="AG50" s="86">
        <v>0</v>
      </c>
      <c r="AH50" s="86"/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</row>
    <row r="51" spans="1:40">
      <c r="A51" s="314"/>
      <c r="B51" s="95" t="s">
        <v>70</v>
      </c>
      <c r="C51" s="92" t="s">
        <v>48</v>
      </c>
      <c r="D51" s="183">
        <f t="shared" si="6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0</v>
      </c>
      <c r="AG51" s="87">
        <v>0</v>
      </c>
      <c r="AH51" s="87"/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</row>
    <row r="52" spans="1:40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12</v>
      </c>
      <c r="AN53" s="7" t="s">
        <v>73</v>
      </c>
    </row>
    <row r="54" spans="1:40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500</v>
      </c>
      <c r="AN54" s="8" t="s">
        <v>75</v>
      </c>
    </row>
    <row r="55" spans="1:40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501</v>
      </c>
      <c r="AN55" s="8" t="s">
        <v>75</v>
      </c>
    </row>
    <row r="56" spans="1:40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</row>
    <row r="57" spans="1:40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</row>
    <row r="59" spans="1:40" ht="15.75">
      <c r="B59" s="53" t="s">
        <v>83</v>
      </c>
      <c r="C59" s="99" t="s">
        <v>84</v>
      </c>
      <c r="D59" s="100">
        <f>SUM(D60:D72)</f>
        <v>16042512</v>
      </c>
      <c r="E59" s="101">
        <f>SUM(E60:E72)</f>
        <v>0</v>
      </c>
      <c r="F59" s="101">
        <f t="shared" ref="F59:AN59" si="7">SUM(F60:F72)</f>
        <v>0</v>
      </c>
      <c r="G59" s="101">
        <f t="shared" si="7"/>
        <v>151284</v>
      </c>
      <c r="H59" s="101">
        <f t="shared" si="7"/>
        <v>144060</v>
      </c>
      <c r="I59" s="101">
        <f t="shared" si="7"/>
        <v>565740</v>
      </c>
      <c r="J59" s="101">
        <f t="shared" si="7"/>
        <v>652260</v>
      </c>
      <c r="K59" s="101">
        <f t="shared" si="7"/>
        <v>540120</v>
      </c>
      <c r="L59" s="101">
        <f t="shared" si="7"/>
        <v>439740</v>
      </c>
      <c r="M59" s="101">
        <f t="shared" si="7"/>
        <v>561960</v>
      </c>
      <c r="N59" s="101">
        <f t="shared" si="7"/>
        <v>471450</v>
      </c>
      <c r="O59" s="101">
        <f t="shared" si="7"/>
        <v>564900</v>
      </c>
      <c r="P59" s="101">
        <f t="shared" si="7"/>
        <v>512820</v>
      </c>
      <c r="Q59" s="101">
        <f t="shared" si="7"/>
        <v>409080</v>
      </c>
      <c r="R59" s="101">
        <f t="shared" si="7"/>
        <v>469560</v>
      </c>
      <c r="S59" s="101">
        <f t="shared" si="7"/>
        <v>629790</v>
      </c>
      <c r="T59" s="101">
        <f t="shared" si="7"/>
        <v>382200</v>
      </c>
      <c r="U59" s="101">
        <f t="shared" si="7"/>
        <v>632940</v>
      </c>
      <c r="V59" s="101">
        <f t="shared" si="7"/>
        <v>431760</v>
      </c>
      <c r="W59" s="101">
        <f t="shared" si="7"/>
        <v>592410</v>
      </c>
      <c r="X59" s="101">
        <f t="shared" si="7"/>
        <v>549990</v>
      </c>
      <c r="Y59" s="101">
        <f t="shared" si="7"/>
        <v>544530</v>
      </c>
      <c r="Z59" s="101">
        <f t="shared" si="7"/>
        <v>674310</v>
      </c>
      <c r="AA59" s="101">
        <f t="shared" si="7"/>
        <v>610890</v>
      </c>
      <c r="AB59" s="101">
        <f t="shared" si="7"/>
        <v>556080</v>
      </c>
      <c r="AC59" s="101">
        <f t="shared" si="7"/>
        <v>680610</v>
      </c>
      <c r="AD59" s="101">
        <f t="shared" si="7"/>
        <v>622860</v>
      </c>
      <c r="AE59" s="101">
        <f t="shared" si="7"/>
        <v>328230</v>
      </c>
      <c r="AF59" s="101">
        <f t="shared" si="7"/>
        <v>375900</v>
      </c>
      <c r="AG59" s="101">
        <f t="shared" si="7"/>
        <v>737100</v>
      </c>
      <c r="AH59" s="101">
        <f t="shared" si="7"/>
        <v>696300</v>
      </c>
      <c r="AI59" s="101">
        <f t="shared" si="7"/>
        <v>563010</v>
      </c>
      <c r="AJ59" s="101">
        <f t="shared" si="7"/>
        <v>464940</v>
      </c>
      <c r="AK59" s="101">
        <f t="shared" si="7"/>
        <v>485688</v>
      </c>
      <c r="AL59" s="101">
        <f t="shared" si="7"/>
        <v>0</v>
      </c>
      <c r="AM59" s="101">
        <f t="shared" si="7"/>
        <v>0</v>
      </c>
      <c r="AN59" s="101">
        <f t="shared" si="7"/>
        <v>0</v>
      </c>
    </row>
    <row r="60" spans="1:40">
      <c r="B60" s="96" t="s">
        <v>47</v>
      </c>
      <c r="C60" s="111">
        <v>53</v>
      </c>
      <c r="D60" s="97">
        <f>D27*$C60</f>
        <v>0</v>
      </c>
      <c r="E60" s="104">
        <f t="shared" ref="E60:AN71" si="8">E27*$C60</f>
        <v>0</v>
      </c>
      <c r="F60" s="104">
        <f t="shared" si="8"/>
        <v>0</v>
      </c>
      <c r="G60" s="104">
        <f t="shared" si="8"/>
        <v>0</v>
      </c>
      <c r="H60" s="104">
        <f t="shared" si="8"/>
        <v>0</v>
      </c>
      <c r="I60" s="104">
        <f t="shared" si="8"/>
        <v>0</v>
      </c>
      <c r="J60" s="104">
        <f t="shared" si="8"/>
        <v>0</v>
      </c>
      <c r="K60" s="104">
        <f t="shared" si="8"/>
        <v>0</v>
      </c>
      <c r="L60" s="104">
        <f t="shared" si="8"/>
        <v>0</v>
      </c>
      <c r="M60" s="104">
        <f t="shared" si="8"/>
        <v>0</v>
      </c>
      <c r="N60" s="104">
        <f t="shared" si="8"/>
        <v>0</v>
      </c>
      <c r="O60" s="104">
        <f t="shared" si="8"/>
        <v>0</v>
      </c>
      <c r="P60" s="104">
        <f t="shared" si="8"/>
        <v>0</v>
      </c>
      <c r="Q60" s="104">
        <f t="shared" si="8"/>
        <v>0</v>
      </c>
      <c r="R60" s="104">
        <f t="shared" si="8"/>
        <v>0</v>
      </c>
      <c r="S60" s="104">
        <f t="shared" si="8"/>
        <v>0</v>
      </c>
      <c r="T60" s="104">
        <f t="shared" si="8"/>
        <v>0</v>
      </c>
      <c r="U60" s="104">
        <f t="shared" si="8"/>
        <v>0</v>
      </c>
      <c r="V60" s="104">
        <f t="shared" si="8"/>
        <v>0</v>
      </c>
      <c r="W60" s="104">
        <f t="shared" si="8"/>
        <v>0</v>
      </c>
      <c r="X60" s="104">
        <f t="shared" si="8"/>
        <v>0</v>
      </c>
      <c r="Y60" s="104">
        <f t="shared" si="8"/>
        <v>0</v>
      </c>
      <c r="Z60" s="104">
        <f t="shared" si="8"/>
        <v>0</v>
      </c>
      <c r="AA60" s="104">
        <f t="shared" si="8"/>
        <v>0</v>
      </c>
      <c r="AB60" s="104">
        <f t="shared" si="8"/>
        <v>0</v>
      </c>
      <c r="AC60" s="104">
        <f t="shared" si="8"/>
        <v>0</v>
      </c>
      <c r="AD60" s="104">
        <f t="shared" si="8"/>
        <v>0</v>
      </c>
      <c r="AE60" s="104">
        <f t="shared" si="8"/>
        <v>0</v>
      </c>
      <c r="AF60" s="104">
        <f t="shared" si="8"/>
        <v>0</v>
      </c>
      <c r="AG60" s="104">
        <f t="shared" si="8"/>
        <v>0</v>
      </c>
      <c r="AH60" s="104">
        <f t="shared" si="8"/>
        <v>0</v>
      </c>
      <c r="AI60" s="104">
        <f t="shared" si="8"/>
        <v>0</v>
      </c>
      <c r="AJ60" s="104">
        <f t="shared" si="8"/>
        <v>0</v>
      </c>
      <c r="AK60" s="104">
        <f t="shared" si="8"/>
        <v>0</v>
      </c>
      <c r="AL60" s="104">
        <f t="shared" si="8"/>
        <v>0</v>
      </c>
      <c r="AM60" s="104">
        <f t="shared" si="8"/>
        <v>0</v>
      </c>
      <c r="AN60" s="104">
        <f t="shared" si="8"/>
        <v>0</v>
      </c>
    </row>
    <row r="61" spans="1:40">
      <c r="B61" s="96" t="s">
        <v>49</v>
      </c>
      <c r="C61" s="111">
        <v>32</v>
      </c>
      <c r="D61" s="97">
        <f t="shared" ref="D61:AJ68" si="9">D28*$C61</f>
        <v>0</v>
      </c>
      <c r="E61" s="104">
        <f t="shared" si="9"/>
        <v>0</v>
      </c>
      <c r="F61" s="104">
        <f t="shared" si="9"/>
        <v>0</v>
      </c>
      <c r="G61" s="104">
        <f t="shared" si="9"/>
        <v>0</v>
      </c>
      <c r="H61" s="104">
        <f t="shared" si="9"/>
        <v>0</v>
      </c>
      <c r="I61" s="104">
        <f t="shared" si="9"/>
        <v>0</v>
      </c>
      <c r="J61" s="104">
        <f t="shared" si="9"/>
        <v>0</v>
      </c>
      <c r="K61" s="104">
        <f t="shared" si="9"/>
        <v>0</v>
      </c>
      <c r="L61" s="104">
        <f t="shared" si="9"/>
        <v>0</v>
      </c>
      <c r="M61" s="104">
        <f t="shared" si="9"/>
        <v>0</v>
      </c>
      <c r="N61" s="104">
        <f t="shared" si="9"/>
        <v>0</v>
      </c>
      <c r="O61" s="104">
        <f t="shared" si="9"/>
        <v>0</v>
      </c>
      <c r="P61" s="104">
        <f t="shared" si="9"/>
        <v>0</v>
      </c>
      <c r="Q61" s="104">
        <f t="shared" si="9"/>
        <v>0</v>
      </c>
      <c r="R61" s="104">
        <f t="shared" si="9"/>
        <v>0</v>
      </c>
      <c r="S61" s="104">
        <f t="shared" si="9"/>
        <v>0</v>
      </c>
      <c r="T61" s="104">
        <f t="shared" si="9"/>
        <v>0</v>
      </c>
      <c r="U61" s="104">
        <f t="shared" si="9"/>
        <v>0</v>
      </c>
      <c r="V61" s="104">
        <f t="shared" si="9"/>
        <v>0</v>
      </c>
      <c r="W61" s="104">
        <f t="shared" si="9"/>
        <v>0</v>
      </c>
      <c r="X61" s="104">
        <f t="shared" si="9"/>
        <v>0</v>
      </c>
      <c r="Y61" s="104">
        <f t="shared" si="9"/>
        <v>0</v>
      </c>
      <c r="Z61" s="104">
        <f t="shared" si="9"/>
        <v>0</v>
      </c>
      <c r="AA61" s="104">
        <f t="shared" si="9"/>
        <v>0</v>
      </c>
      <c r="AB61" s="104">
        <f t="shared" si="9"/>
        <v>0</v>
      </c>
      <c r="AC61" s="104">
        <f t="shared" si="9"/>
        <v>0</v>
      </c>
      <c r="AD61" s="104">
        <f t="shared" si="9"/>
        <v>0</v>
      </c>
      <c r="AE61" s="104">
        <f t="shared" si="9"/>
        <v>0</v>
      </c>
      <c r="AF61" s="104">
        <f t="shared" si="9"/>
        <v>0</v>
      </c>
      <c r="AG61" s="104">
        <f t="shared" si="9"/>
        <v>0</v>
      </c>
      <c r="AH61" s="104">
        <f t="shared" si="9"/>
        <v>0</v>
      </c>
      <c r="AI61" s="104">
        <f t="shared" si="9"/>
        <v>0</v>
      </c>
      <c r="AJ61" s="104">
        <f t="shared" si="9"/>
        <v>0</v>
      </c>
      <c r="AK61" s="104">
        <f t="shared" si="8"/>
        <v>0</v>
      </c>
      <c r="AL61" s="104">
        <f t="shared" si="8"/>
        <v>0</v>
      </c>
      <c r="AM61" s="104">
        <f t="shared" si="8"/>
        <v>0</v>
      </c>
      <c r="AN61" s="104">
        <f t="shared" si="8"/>
        <v>0</v>
      </c>
    </row>
    <row r="62" spans="1:40">
      <c r="B62" s="96" t="s">
        <v>50</v>
      </c>
      <c r="C62" s="111">
        <v>23</v>
      </c>
      <c r="D62" s="97">
        <f t="shared" si="9"/>
        <v>0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0</v>
      </c>
      <c r="K62" s="104">
        <f t="shared" si="9"/>
        <v>0</v>
      </c>
      <c r="L62" s="104">
        <f t="shared" si="9"/>
        <v>0</v>
      </c>
      <c r="M62" s="104">
        <f t="shared" si="9"/>
        <v>0</v>
      </c>
      <c r="N62" s="104">
        <f t="shared" si="9"/>
        <v>0</v>
      </c>
      <c r="O62" s="104">
        <f t="shared" si="9"/>
        <v>0</v>
      </c>
      <c r="P62" s="104">
        <f t="shared" si="9"/>
        <v>0</v>
      </c>
      <c r="Q62" s="104">
        <f t="shared" si="9"/>
        <v>0</v>
      </c>
      <c r="R62" s="104">
        <f t="shared" si="9"/>
        <v>0</v>
      </c>
      <c r="S62" s="104">
        <f t="shared" si="9"/>
        <v>0</v>
      </c>
      <c r="T62" s="104">
        <f t="shared" si="9"/>
        <v>0</v>
      </c>
      <c r="U62" s="104">
        <f t="shared" si="9"/>
        <v>0</v>
      </c>
      <c r="V62" s="104">
        <f t="shared" si="9"/>
        <v>0</v>
      </c>
      <c r="W62" s="104">
        <f t="shared" si="9"/>
        <v>0</v>
      </c>
      <c r="X62" s="104">
        <f t="shared" si="9"/>
        <v>0</v>
      </c>
      <c r="Y62" s="104">
        <f t="shared" si="9"/>
        <v>0</v>
      </c>
      <c r="Z62" s="104">
        <f t="shared" si="9"/>
        <v>0</v>
      </c>
      <c r="AA62" s="104">
        <f t="shared" si="9"/>
        <v>0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0</v>
      </c>
      <c r="AF62" s="104">
        <f t="shared" si="9"/>
        <v>0</v>
      </c>
      <c r="AG62" s="104">
        <f t="shared" si="9"/>
        <v>0</v>
      </c>
      <c r="AH62" s="104">
        <f t="shared" si="9"/>
        <v>0</v>
      </c>
      <c r="AI62" s="104">
        <f t="shared" si="9"/>
        <v>0</v>
      </c>
      <c r="AJ62" s="104">
        <f t="shared" si="9"/>
        <v>0</v>
      </c>
      <c r="AK62" s="104">
        <f t="shared" si="8"/>
        <v>0</v>
      </c>
      <c r="AL62" s="104">
        <f t="shared" si="8"/>
        <v>0</v>
      </c>
      <c r="AM62" s="104">
        <f t="shared" si="8"/>
        <v>0</v>
      </c>
      <c r="AN62" s="104">
        <f t="shared" si="8"/>
        <v>0</v>
      </c>
    </row>
    <row r="63" spans="1:40">
      <c r="B63" s="96" t="s">
        <v>51</v>
      </c>
      <c r="C63" s="111">
        <v>15</v>
      </c>
      <c r="D63" s="97">
        <f t="shared" si="9"/>
        <v>0</v>
      </c>
      <c r="E63" s="104">
        <f t="shared" si="9"/>
        <v>0</v>
      </c>
      <c r="F63" s="104">
        <f t="shared" si="9"/>
        <v>0</v>
      </c>
      <c r="G63" s="104">
        <f t="shared" si="9"/>
        <v>0</v>
      </c>
      <c r="H63" s="104">
        <f t="shared" si="9"/>
        <v>0</v>
      </c>
      <c r="I63" s="104">
        <f t="shared" si="9"/>
        <v>0</v>
      </c>
      <c r="J63" s="104">
        <f t="shared" si="9"/>
        <v>0</v>
      </c>
      <c r="K63" s="104">
        <f t="shared" si="9"/>
        <v>0</v>
      </c>
      <c r="L63" s="104">
        <f t="shared" si="9"/>
        <v>0</v>
      </c>
      <c r="M63" s="104">
        <f t="shared" si="9"/>
        <v>0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  <c r="AG63" s="104">
        <f t="shared" si="9"/>
        <v>0</v>
      </c>
      <c r="AH63" s="104">
        <f t="shared" si="9"/>
        <v>0</v>
      </c>
      <c r="AI63" s="104">
        <f t="shared" si="9"/>
        <v>0</v>
      </c>
      <c r="AJ63" s="104">
        <f t="shared" si="9"/>
        <v>0</v>
      </c>
      <c r="AK63" s="104">
        <f t="shared" si="8"/>
        <v>0</v>
      </c>
      <c r="AL63" s="104">
        <f t="shared" si="8"/>
        <v>0</v>
      </c>
      <c r="AM63" s="104">
        <f t="shared" si="8"/>
        <v>0</v>
      </c>
      <c r="AN63" s="104">
        <f t="shared" si="8"/>
        <v>0</v>
      </c>
    </row>
    <row r="64" spans="1:40">
      <c r="B64" s="96" t="s">
        <v>52</v>
      </c>
      <c r="C64" s="111">
        <v>10</v>
      </c>
      <c r="D64" s="97">
        <f t="shared" si="9"/>
        <v>0</v>
      </c>
      <c r="E64" s="104">
        <f t="shared" si="9"/>
        <v>0</v>
      </c>
      <c r="F64" s="104">
        <f t="shared" si="9"/>
        <v>0</v>
      </c>
      <c r="G64" s="104">
        <f t="shared" si="9"/>
        <v>0</v>
      </c>
      <c r="H64" s="104">
        <f t="shared" si="9"/>
        <v>0</v>
      </c>
      <c r="I64" s="104">
        <f t="shared" si="9"/>
        <v>0</v>
      </c>
      <c r="J64" s="104">
        <f t="shared" si="9"/>
        <v>0</v>
      </c>
      <c r="K64" s="104">
        <f t="shared" si="9"/>
        <v>0</v>
      </c>
      <c r="L64" s="104">
        <f t="shared" si="9"/>
        <v>0</v>
      </c>
      <c r="M64" s="104">
        <f t="shared" si="9"/>
        <v>0</v>
      </c>
      <c r="N64" s="104">
        <f t="shared" si="9"/>
        <v>0</v>
      </c>
      <c r="O64" s="104">
        <f t="shared" si="9"/>
        <v>0</v>
      </c>
      <c r="P64" s="104">
        <f t="shared" si="9"/>
        <v>0</v>
      </c>
      <c r="Q64" s="104">
        <f t="shared" si="9"/>
        <v>0</v>
      </c>
      <c r="R64" s="104">
        <f t="shared" si="9"/>
        <v>0</v>
      </c>
      <c r="S64" s="104">
        <f t="shared" si="9"/>
        <v>0</v>
      </c>
      <c r="T64" s="104">
        <f t="shared" si="9"/>
        <v>0</v>
      </c>
      <c r="U64" s="104">
        <f t="shared" si="9"/>
        <v>0</v>
      </c>
      <c r="V64" s="104">
        <f t="shared" si="9"/>
        <v>0</v>
      </c>
      <c r="W64" s="104">
        <f t="shared" si="9"/>
        <v>0</v>
      </c>
      <c r="X64" s="104">
        <f t="shared" si="9"/>
        <v>0</v>
      </c>
      <c r="Y64" s="104">
        <f t="shared" si="9"/>
        <v>0</v>
      </c>
      <c r="Z64" s="104">
        <f t="shared" si="9"/>
        <v>0</v>
      </c>
      <c r="AA64" s="104">
        <f t="shared" si="9"/>
        <v>0</v>
      </c>
      <c r="AB64" s="104">
        <f t="shared" si="9"/>
        <v>0</v>
      </c>
      <c r="AC64" s="104">
        <f t="shared" si="9"/>
        <v>0</v>
      </c>
      <c r="AD64" s="104">
        <f t="shared" si="9"/>
        <v>0</v>
      </c>
      <c r="AE64" s="104">
        <f t="shared" si="9"/>
        <v>0</v>
      </c>
      <c r="AF64" s="104">
        <f t="shared" si="9"/>
        <v>0</v>
      </c>
      <c r="AG64" s="104">
        <f t="shared" si="9"/>
        <v>0</v>
      </c>
      <c r="AH64" s="104">
        <f t="shared" si="9"/>
        <v>0</v>
      </c>
      <c r="AI64" s="104">
        <f t="shared" si="9"/>
        <v>0</v>
      </c>
      <c r="AJ64" s="104">
        <f t="shared" si="9"/>
        <v>0</v>
      </c>
      <c r="AK64" s="104">
        <f t="shared" si="8"/>
        <v>0</v>
      </c>
      <c r="AL64" s="104">
        <f t="shared" si="8"/>
        <v>0</v>
      </c>
      <c r="AM64" s="104">
        <f t="shared" si="8"/>
        <v>0</v>
      </c>
      <c r="AN64" s="104">
        <f t="shared" si="8"/>
        <v>0</v>
      </c>
    </row>
    <row r="65" spans="2:40">
      <c r="B65" s="96" t="s">
        <v>53</v>
      </c>
      <c r="C65" s="111">
        <v>19</v>
      </c>
      <c r="D65" s="97">
        <f t="shared" si="9"/>
        <v>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8"/>
        <v>0</v>
      </c>
      <c r="AL65" s="104">
        <f t="shared" si="8"/>
        <v>0</v>
      </c>
      <c r="AM65" s="104">
        <f t="shared" si="8"/>
        <v>0</v>
      </c>
      <c r="AN65" s="104">
        <f t="shared" si="8"/>
        <v>0</v>
      </c>
    </row>
    <row r="66" spans="2:40">
      <c r="B66" s="96" t="s">
        <v>54</v>
      </c>
      <c r="C66" s="111">
        <v>10</v>
      </c>
      <c r="D66" s="97">
        <f t="shared" si="9"/>
        <v>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0</v>
      </c>
      <c r="AF66" s="104">
        <f t="shared" si="9"/>
        <v>0</v>
      </c>
      <c r="AG66" s="104">
        <f t="shared" si="9"/>
        <v>0</v>
      </c>
      <c r="AH66" s="104">
        <f t="shared" si="9"/>
        <v>0</v>
      </c>
      <c r="AI66" s="104">
        <f t="shared" si="9"/>
        <v>0</v>
      </c>
      <c r="AJ66" s="104">
        <f t="shared" si="9"/>
        <v>0</v>
      </c>
      <c r="AK66" s="104">
        <f t="shared" si="8"/>
        <v>0</v>
      </c>
      <c r="AL66" s="104">
        <f t="shared" si="8"/>
        <v>0</v>
      </c>
      <c r="AM66" s="104">
        <f t="shared" si="8"/>
        <v>0</v>
      </c>
      <c r="AN66" s="104">
        <f t="shared" si="8"/>
        <v>0</v>
      </c>
    </row>
    <row r="67" spans="2:40">
      <c r="B67" s="96" t="s">
        <v>55</v>
      </c>
      <c r="C67" s="111">
        <v>50</v>
      </c>
      <c r="D67" s="97">
        <f t="shared" si="9"/>
        <v>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0</v>
      </c>
      <c r="Q67" s="104">
        <f t="shared" si="9"/>
        <v>0</v>
      </c>
      <c r="R67" s="104">
        <f t="shared" si="9"/>
        <v>0</v>
      </c>
      <c r="S67" s="104">
        <f t="shared" si="9"/>
        <v>0</v>
      </c>
      <c r="T67" s="104">
        <f t="shared" si="9"/>
        <v>0</v>
      </c>
      <c r="U67" s="104">
        <f t="shared" si="9"/>
        <v>0</v>
      </c>
      <c r="V67" s="104">
        <f t="shared" si="9"/>
        <v>0</v>
      </c>
      <c r="W67" s="104">
        <f t="shared" si="9"/>
        <v>0</v>
      </c>
      <c r="X67" s="104">
        <f t="shared" si="9"/>
        <v>0</v>
      </c>
      <c r="Y67" s="104">
        <f t="shared" si="9"/>
        <v>0</v>
      </c>
      <c r="Z67" s="104">
        <f t="shared" si="9"/>
        <v>0</v>
      </c>
      <c r="AA67" s="104">
        <f t="shared" si="9"/>
        <v>0</v>
      </c>
      <c r="AB67" s="104">
        <f t="shared" si="9"/>
        <v>0</v>
      </c>
      <c r="AC67" s="104">
        <f t="shared" si="9"/>
        <v>0</v>
      </c>
      <c r="AD67" s="104">
        <f t="shared" si="9"/>
        <v>0</v>
      </c>
      <c r="AE67" s="104">
        <f t="shared" si="9"/>
        <v>0</v>
      </c>
      <c r="AF67" s="104">
        <f t="shared" si="9"/>
        <v>0</v>
      </c>
      <c r="AG67" s="104">
        <f t="shared" si="9"/>
        <v>0</v>
      </c>
      <c r="AH67" s="104">
        <f t="shared" si="9"/>
        <v>0</v>
      </c>
      <c r="AI67" s="104">
        <f t="shared" si="9"/>
        <v>0</v>
      </c>
      <c r="AJ67" s="104">
        <f t="shared" si="9"/>
        <v>0</v>
      </c>
      <c r="AK67" s="104">
        <f t="shared" si="8"/>
        <v>0</v>
      </c>
      <c r="AL67" s="104">
        <f t="shared" si="8"/>
        <v>0</v>
      </c>
      <c r="AM67" s="104">
        <f t="shared" si="8"/>
        <v>0</v>
      </c>
      <c r="AN67" s="104">
        <f t="shared" si="8"/>
        <v>0</v>
      </c>
    </row>
    <row r="68" spans="2:40">
      <c r="B68" s="96" t="s">
        <v>56</v>
      </c>
      <c r="C68" s="111">
        <v>27.39</v>
      </c>
      <c r="D68" s="97">
        <f t="shared" si="9"/>
        <v>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0</v>
      </c>
      <c r="AB68" s="104">
        <f t="shared" ref="AB68:AJ68" si="10">AB35*$C68</f>
        <v>0</v>
      </c>
      <c r="AC68" s="104">
        <f t="shared" si="10"/>
        <v>0</v>
      </c>
      <c r="AD68" s="104">
        <f t="shared" si="10"/>
        <v>0</v>
      </c>
      <c r="AE68" s="104">
        <f t="shared" si="10"/>
        <v>0</v>
      </c>
      <c r="AF68" s="104">
        <f t="shared" si="10"/>
        <v>0</v>
      </c>
      <c r="AG68" s="104">
        <f t="shared" si="10"/>
        <v>0</v>
      </c>
      <c r="AH68" s="104">
        <f t="shared" si="10"/>
        <v>0</v>
      </c>
      <c r="AI68" s="104">
        <f t="shared" si="10"/>
        <v>0</v>
      </c>
      <c r="AJ68" s="104">
        <f t="shared" si="10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  <c r="AN68" s="104">
        <f t="shared" si="8"/>
        <v>0</v>
      </c>
    </row>
    <row r="69" spans="2:40">
      <c r="B69" s="96" t="s">
        <v>57</v>
      </c>
      <c r="C69" s="111">
        <v>20</v>
      </c>
      <c r="D69" s="97">
        <f t="shared" ref="D69:AJ71" si="11">D36*$C69</f>
        <v>4003800</v>
      </c>
      <c r="E69" s="104">
        <f t="shared" si="11"/>
        <v>0</v>
      </c>
      <c r="F69" s="104">
        <f t="shared" si="11"/>
        <v>0</v>
      </c>
      <c r="G69" s="104">
        <f t="shared" si="11"/>
        <v>89880</v>
      </c>
      <c r="H69" s="104">
        <f t="shared" si="11"/>
        <v>26880</v>
      </c>
      <c r="I69" s="104">
        <f t="shared" si="11"/>
        <v>135660</v>
      </c>
      <c r="J69" s="104">
        <f t="shared" si="11"/>
        <v>99960</v>
      </c>
      <c r="K69" s="104">
        <f t="shared" si="11"/>
        <v>212520</v>
      </c>
      <c r="L69" s="104">
        <f t="shared" si="11"/>
        <v>140280</v>
      </c>
      <c r="M69" s="104">
        <f t="shared" si="11"/>
        <v>155820</v>
      </c>
      <c r="N69" s="104">
        <f t="shared" si="11"/>
        <v>76020</v>
      </c>
      <c r="O69" s="104">
        <f t="shared" si="11"/>
        <v>156660</v>
      </c>
      <c r="P69" s="104">
        <f t="shared" si="11"/>
        <v>130620</v>
      </c>
      <c r="Q69" s="104">
        <f t="shared" si="11"/>
        <v>76020</v>
      </c>
      <c r="R69" s="104">
        <f t="shared" si="11"/>
        <v>120960</v>
      </c>
      <c r="S69" s="104">
        <f t="shared" si="11"/>
        <v>115920</v>
      </c>
      <c r="T69" s="104">
        <f t="shared" si="11"/>
        <v>66780</v>
      </c>
      <c r="U69" s="104">
        <f t="shared" si="11"/>
        <v>98700</v>
      </c>
      <c r="V69" s="104">
        <f t="shared" si="11"/>
        <v>65100</v>
      </c>
      <c r="W69" s="104">
        <f t="shared" si="11"/>
        <v>200340</v>
      </c>
      <c r="X69" s="104">
        <f t="shared" si="11"/>
        <v>107520</v>
      </c>
      <c r="Y69" s="104">
        <f t="shared" si="11"/>
        <v>217140</v>
      </c>
      <c r="Z69" s="104">
        <f t="shared" si="11"/>
        <v>149520</v>
      </c>
      <c r="AA69" s="104">
        <f t="shared" si="11"/>
        <v>114240</v>
      </c>
      <c r="AB69" s="104">
        <f t="shared" si="11"/>
        <v>120960</v>
      </c>
      <c r="AC69" s="104">
        <f t="shared" si="11"/>
        <v>192360</v>
      </c>
      <c r="AD69" s="104">
        <f t="shared" si="11"/>
        <v>207060</v>
      </c>
      <c r="AE69" s="104">
        <f t="shared" si="11"/>
        <v>110880</v>
      </c>
      <c r="AF69" s="104">
        <f t="shared" si="11"/>
        <v>71820</v>
      </c>
      <c r="AG69" s="104">
        <f t="shared" si="11"/>
        <v>209160</v>
      </c>
      <c r="AH69" s="104">
        <f t="shared" si="11"/>
        <v>187680</v>
      </c>
      <c r="AI69" s="104">
        <f t="shared" si="11"/>
        <v>134400</v>
      </c>
      <c r="AJ69" s="104">
        <f t="shared" si="11"/>
        <v>97860</v>
      </c>
      <c r="AK69" s="104">
        <f t="shared" si="8"/>
        <v>115080</v>
      </c>
      <c r="AL69" s="104">
        <f t="shared" si="8"/>
        <v>0</v>
      </c>
      <c r="AM69" s="104">
        <f t="shared" si="8"/>
        <v>0</v>
      </c>
      <c r="AN69" s="104">
        <f t="shared" si="8"/>
        <v>0</v>
      </c>
    </row>
    <row r="70" spans="2:40">
      <c r="B70" s="96" t="s">
        <v>58</v>
      </c>
      <c r="C70" s="111">
        <v>42</v>
      </c>
      <c r="D70" s="97">
        <f t="shared" si="11"/>
        <v>12038712</v>
      </c>
      <c r="E70" s="104">
        <f t="shared" si="11"/>
        <v>0</v>
      </c>
      <c r="F70" s="104">
        <f t="shared" si="11"/>
        <v>0</v>
      </c>
      <c r="G70" s="104">
        <f t="shared" si="11"/>
        <v>61404</v>
      </c>
      <c r="H70" s="104">
        <f t="shared" si="11"/>
        <v>117180</v>
      </c>
      <c r="I70" s="104">
        <f t="shared" si="11"/>
        <v>430080</v>
      </c>
      <c r="J70" s="104">
        <f t="shared" si="11"/>
        <v>552300</v>
      </c>
      <c r="K70" s="104">
        <f t="shared" si="11"/>
        <v>327600</v>
      </c>
      <c r="L70" s="104">
        <f t="shared" si="11"/>
        <v>299460</v>
      </c>
      <c r="M70" s="104">
        <f t="shared" si="11"/>
        <v>406140</v>
      </c>
      <c r="N70" s="104">
        <f t="shared" si="11"/>
        <v>395430</v>
      </c>
      <c r="O70" s="104">
        <f t="shared" si="11"/>
        <v>408240</v>
      </c>
      <c r="P70" s="104">
        <f t="shared" si="11"/>
        <v>382200</v>
      </c>
      <c r="Q70" s="104">
        <f t="shared" si="11"/>
        <v>333060</v>
      </c>
      <c r="R70" s="104">
        <f t="shared" si="11"/>
        <v>348600</v>
      </c>
      <c r="S70" s="104">
        <f t="shared" si="11"/>
        <v>513870</v>
      </c>
      <c r="T70" s="104">
        <f t="shared" si="11"/>
        <v>315420</v>
      </c>
      <c r="U70" s="104">
        <f t="shared" si="11"/>
        <v>534240</v>
      </c>
      <c r="V70" s="104">
        <f t="shared" si="11"/>
        <v>366660</v>
      </c>
      <c r="W70" s="104">
        <f t="shared" si="11"/>
        <v>392070</v>
      </c>
      <c r="X70" s="104">
        <f t="shared" si="11"/>
        <v>442470</v>
      </c>
      <c r="Y70" s="104">
        <f t="shared" si="11"/>
        <v>327390</v>
      </c>
      <c r="Z70" s="104">
        <f t="shared" si="11"/>
        <v>524790</v>
      </c>
      <c r="AA70" s="104">
        <f t="shared" si="11"/>
        <v>496650</v>
      </c>
      <c r="AB70" s="104">
        <f t="shared" si="11"/>
        <v>435120</v>
      </c>
      <c r="AC70" s="104">
        <f t="shared" si="11"/>
        <v>488250</v>
      </c>
      <c r="AD70" s="104">
        <f t="shared" si="11"/>
        <v>415800</v>
      </c>
      <c r="AE70" s="104">
        <f t="shared" si="11"/>
        <v>217350</v>
      </c>
      <c r="AF70" s="104">
        <f t="shared" si="11"/>
        <v>304080</v>
      </c>
      <c r="AG70" s="104">
        <f t="shared" si="11"/>
        <v>527940</v>
      </c>
      <c r="AH70" s="104">
        <f t="shared" si="11"/>
        <v>508620</v>
      </c>
      <c r="AI70" s="104">
        <f t="shared" si="11"/>
        <v>428610</v>
      </c>
      <c r="AJ70" s="104">
        <f t="shared" si="11"/>
        <v>367080</v>
      </c>
      <c r="AK70" s="104">
        <f t="shared" si="8"/>
        <v>370608</v>
      </c>
      <c r="AL70" s="104">
        <f t="shared" si="8"/>
        <v>0</v>
      </c>
      <c r="AM70" s="104">
        <f t="shared" si="8"/>
        <v>0</v>
      </c>
      <c r="AN70" s="104">
        <f t="shared" si="8"/>
        <v>0</v>
      </c>
    </row>
    <row r="71" spans="2:40">
      <c r="B71" s="96" t="s">
        <v>59</v>
      </c>
      <c r="C71" s="112">
        <v>8</v>
      </c>
      <c r="D71" s="97">
        <f t="shared" si="11"/>
        <v>0</v>
      </c>
      <c r="E71" s="104">
        <f t="shared" si="11"/>
        <v>0</v>
      </c>
      <c r="F71" s="104">
        <f t="shared" si="11"/>
        <v>0</v>
      </c>
      <c r="G71" s="104">
        <f t="shared" si="11"/>
        <v>0</v>
      </c>
      <c r="H71" s="104">
        <f t="shared" si="11"/>
        <v>0</v>
      </c>
      <c r="I71" s="104">
        <f t="shared" si="11"/>
        <v>0</v>
      </c>
      <c r="J71" s="104">
        <f t="shared" si="11"/>
        <v>0</v>
      </c>
      <c r="K71" s="104">
        <f t="shared" si="11"/>
        <v>0</v>
      </c>
      <c r="L71" s="104">
        <f t="shared" si="11"/>
        <v>0</v>
      </c>
      <c r="M71" s="104">
        <f t="shared" si="11"/>
        <v>0</v>
      </c>
      <c r="N71" s="104">
        <f t="shared" si="11"/>
        <v>0</v>
      </c>
      <c r="O71" s="104">
        <f t="shared" si="11"/>
        <v>0</v>
      </c>
      <c r="P71" s="104">
        <f t="shared" si="11"/>
        <v>0</v>
      </c>
      <c r="Q71" s="104">
        <f t="shared" si="11"/>
        <v>0</v>
      </c>
      <c r="R71" s="104">
        <f t="shared" si="11"/>
        <v>0</v>
      </c>
      <c r="S71" s="104">
        <f t="shared" si="11"/>
        <v>0</v>
      </c>
      <c r="T71" s="104">
        <f t="shared" si="11"/>
        <v>0</v>
      </c>
      <c r="U71" s="104">
        <f t="shared" si="11"/>
        <v>0</v>
      </c>
      <c r="V71" s="104">
        <f t="shared" si="11"/>
        <v>0</v>
      </c>
      <c r="W71" s="104">
        <f t="shared" si="11"/>
        <v>0</v>
      </c>
      <c r="X71" s="104">
        <f t="shared" si="11"/>
        <v>0</v>
      </c>
      <c r="Y71" s="104">
        <f t="shared" si="11"/>
        <v>0</v>
      </c>
      <c r="Z71" s="104">
        <f t="shared" si="11"/>
        <v>0</v>
      </c>
      <c r="AA71" s="104">
        <f t="shared" si="11"/>
        <v>0</v>
      </c>
      <c r="AB71" s="104">
        <f t="shared" si="11"/>
        <v>0</v>
      </c>
      <c r="AC71" s="104">
        <f t="shared" si="11"/>
        <v>0</v>
      </c>
      <c r="AD71" s="104">
        <f t="shared" si="11"/>
        <v>0</v>
      </c>
      <c r="AE71" s="104">
        <f t="shared" si="11"/>
        <v>0</v>
      </c>
      <c r="AF71" s="104">
        <f t="shared" si="11"/>
        <v>0</v>
      </c>
      <c r="AG71" s="104">
        <f t="shared" si="11"/>
        <v>0</v>
      </c>
      <c r="AH71" s="104">
        <f t="shared" si="11"/>
        <v>0</v>
      </c>
      <c r="AI71" s="104">
        <f t="shared" si="11"/>
        <v>0</v>
      </c>
      <c r="AJ71" s="104">
        <f t="shared" si="11"/>
        <v>0</v>
      </c>
      <c r="AK71" s="104">
        <f t="shared" si="8"/>
        <v>0</v>
      </c>
      <c r="AL71" s="104">
        <f t="shared" si="8"/>
        <v>0</v>
      </c>
      <c r="AM71" s="104">
        <f t="shared" si="8"/>
        <v>0</v>
      </c>
      <c r="AN71" s="104">
        <f t="shared" si="8"/>
        <v>0</v>
      </c>
    </row>
    <row r="72" spans="2:40">
      <c r="B72" s="35" t="s">
        <v>85</v>
      </c>
      <c r="C72" s="113">
        <v>3.5</v>
      </c>
      <c r="D72" s="98">
        <f t="shared" ref="D72:AN72" si="12">D50*C72</f>
        <v>0</v>
      </c>
      <c r="E72" s="107">
        <f>E50*$C$72</f>
        <v>0</v>
      </c>
      <c r="F72" s="107">
        <f t="shared" si="12"/>
        <v>0</v>
      </c>
      <c r="G72" s="107">
        <f t="shared" si="12"/>
        <v>0</v>
      </c>
      <c r="H72" s="107">
        <f t="shared" si="12"/>
        <v>0</v>
      </c>
      <c r="I72" s="107">
        <f t="shared" si="12"/>
        <v>0</v>
      </c>
      <c r="J72" s="107">
        <f t="shared" si="12"/>
        <v>0</v>
      </c>
      <c r="K72" s="107">
        <f t="shared" si="12"/>
        <v>0</v>
      </c>
      <c r="L72" s="107">
        <f t="shared" si="12"/>
        <v>0</v>
      </c>
      <c r="M72" s="107">
        <f t="shared" si="12"/>
        <v>0</v>
      </c>
      <c r="N72" s="107">
        <f t="shared" si="12"/>
        <v>0</v>
      </c>
      <c r="O72" s="107">
        <f t="shared" si="12"/>
        <v>0</v>
      </c>
      <c r="P72" s="107">
        <f t="shared" si="12"/>
        <v>0</v>
      </c>
      <c r="Q72" s="107">
        <f t="shared" si="12"/>
        <v>0</v>
      </c>
      <c r="R72" s="107">
        <f t="shared" si="12"/>
        <v>0</v>
      </c>
      <c r="S72" s="107">
        <f t="shared" si="12"/>
        <v>0</v>
      </c>
      <c r="T72" s="107">
        <f t="shared" si="12"/>
        <v>0</v>
      </c>
      <c r="U72" s="107">
        <f t="shared" si="12"/>
        <v>0</v>
      </c>
      <c r="V72" s="107">
        <f t="shared" si="12"/>
        <v>0</v>
      </c>
      <c r="W72" s="107">
        <f t="shared" si="12"/>
        <v>0</v>
      </c>
      <c r="X72" s="107">
        <f t="shared" si="12"/>
        <v>0</v>
      </c>
      <c r="Y72" s="107">
        <f t="shared" si="12"/>
        <v>0</v>
      </c>
      <c r="Z72" s="107">
        <f t="shared" si="12"/>
        <v>0</v>
      </c>
      <c r="AA72" s="107">
        <f t="shared" si="12"/>
        <v>0</v>
      </c>
      <c r="AB72" s="107">
        <f t="shared" si="12"/>
        <v>0</v>
      </c>
      <c r="AC72" s="107">
        <f t="shared" si="12"/>
        <v>0</v>
      </c>
      <c r="AD72" s="107">
        <f t="shared" si="12"/>
        <v>0</v>
      </c>
      <c r="AE72" s="107">
        <f t="shared" si="12"/>
        <v>0</v>
      </c>
      <c r="AF72" s="107">
        <f t="shared" si="12"/>
        <v>0</v>
      </c>
      <c r="AG72" s="107">
        <f t="shared" si="12"/>
        <v>0</v>
      </c>
      <c r="AH72" s="107">
        <f t="shared" si="12"/>
        <v>0</v>
      </c>
      <c r="AI72" s="107">
        <f t="shared" si="12"/>
        <v>0</v>
      </c>
      <c r="AJ72" s="107">
        <f t="shared" si="12"/>
        <v>0</v>
      </c>
      <c r="AK72" s="107">
        <f t="shared" si="12"/>
        <v>0</v>
      </c>
      <c r="AL72" s="107">
        <f t="shared" si="12"/>
        <v>0</v>
      </c>
      <c r="AM72" s="107">
        <f t="shared" si="12"/>
        <v>0</v>
      </c>
      <c r="AN72" s="107">
        <f t="shared" si="12"/>
        <v>0</v>
      </c>
    </row>
    <row r="74" spans="2:40">
      <c r="B74" s="318" t="s">
        <v>86</v>
      </c>
      <c r="C74" s="319"/>
      <c r="D74" s="108">
        <f>AVERAGEIF(E59:N59, "&gt;0")</f>
        <v>440826.75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6" spans="2:40">
      <c r="B76" s="12" t="s">
        <v>87</v>
      </c>
      <c r="C76" s="13">
        <v>0.28999999999999998</v>
      </c>
      <c r="D76" s="231">
        <f>SUM(E76:AN76)</f>
        <v>4652328.4800000004</v>
      </c>
      <c r="E76" s="171">
        <f t="shared" ref="E76:AN76" si="13">E59*$C$76</f>
        <v>0</v>
      </c>
      <c r="F76" s="14">
        <f t="shared" si="13"/>
        <v>0</v>
      </c>
      <c r="G76" s="14">
        <f t="shared" si="13"/>
        <v>43872.36</v>
      </c>
      <c r="H76" s="14">
        <f t="shared" si="13"/>
        <v>41777.399999999994</v>
      </c>
      <c r="I76" s="14">
        <f t="shared" si="13"/>
        <v>164064.59999999998</v>
      </c>
      <c r="J76" s="14">
        <f t="shared" si="13"/>
        <v>189155.4</v>
      </c>
      <c r="K76" s="15">
        <f t="shared" si="13"/>
        <v>156634.79999999999</v>
      </c>
      <c r="L76" s="14">
        <f t="shared" si="13"/>
        <v>127524.59999999999</v>
      </c>
      <c r="M76" s="15">
        <f t="shared" si="13"/>
        <v>162968.4</v>
      </c>
      <c r="N76" s="14">
        <f t="shared" si="13"/>
        <v>136720.5</v>
      </c>
      <c r="O76" s="14">
        <f t="shared" si="13"/>
        <v>163821</v>
      </c>
      <c r="P76" s="14">
        <f t="shared" si="13"/>
        <v>148717.79999999999</v>
      </c>
      <c r="Q76" s="14">
        <f t="shared" si="13"/>
        <v>118633.2</v>
      </c>
      <c r="R76" s="14">
        <f t="shared" si="13"/>
        <v>136172.4</v>
      </c>
      <c r="S76" s="14">
        <f t="shared" si="13"/>
        <v>182639.09999999998</v>
      </c>
      <c r="T76" s="14">
        <f t="shared" si="13"/>
        <v>110837.99999999999</v>
      </c>
      <c r="U76" s="14">
        <f t="shared" si="13"/>
        <v>183552.59999999998</v>
      </c>
      <c r="V76" s="14">
        <f t="shared" si="13"/>
        <v>125210.4</v>
      </c>
      <c r="W76" s="14">
        <f t="shared" si="13"/>
        <v>171798.9</v>
      </c>
      <c r="X76" s="14">
        <f t="shared" si="13"/>
        <v>159497.09999999998</v>
      </c>
      <c r="Y76" s="14">
        <f t="shared" si="13"/>
        <v>157913.69999999998</v>
      </c>
      <c r="Z76" s="14">
        <f t="shared" si="13"/>
        <v>195549.9</v>
      </c>
      <c r="AA76" s="14">
        <f t="shared" si="13"/>
        <v>177158.09999999998</v>
      </c>
      <c r="AB76" s="14">
        <f t="shared" si="13"/>
        <v>161263.19999999998</v>
      </c>
      <c r="AC76" s="14">
        <f t="shared" si="13"/>
        <v>197376.9</v>
      </c>
      <c r="AD76" s="14">
        <f t="shared" si="13"/>
        <v>180629.4</v>
      </c>
      <c r="AE76" s="14">
        <f t="shared" si="13"/>
        <v>95186.7</v>
      </c>
      <c r="AF76" s="14">
        <f t="shared" si="13"/>
        <v>109010.99999999999</v>
      </c>
      <c r="AG76" s="14">
        <f t="shared" si="13"/>
        <v>213758.99999999997</v>
      </c>
      <c r="AH76" s="14">
        <f t="shared" si="13"/>
        <v>201927</v>
      </c>
      <c r="AI76" s="14">
        <f t="shared" si="13"/>
        <v>163272.9</v>
      </c>
      <c r="AJ76" s="14">
        <f t="shared" si="13"/>
        <v>134832.59999999998</v>
      </c>
      <c r="AK76" s="14">
        <f t="shared" si="13"/>
        <v>140849.51999999999</v>
      </c>
      <c r="AL76" s="14">
        <f t="shared" si="13"/>
        <v>0</v>
      </c>
      <c r="AM76" s="14">
        <f t="shared" si="13"/>
        <v>0</v>
      </c>
      <c r="AN76" s="14">
        <f t="shared" si="13"/>
        <v>0</v>
      </c>
    </row>
    <row r="77" spans="2:40">
      <c r="B77" s="16" t="s">
        <v>88</v>
      </c>
      <c r="C77" s="17">
        <f>11800000/322</f>
        <v>36645.962732919252</v>
      </c>
      <c r="D77" s="232">
        <f>SUM(E77:AN77)</f>
        <v>1319254.6583850931</v>
      </c>
      <c r="E77" s="172">
        <f t="shared" ref="E77:AN77" si="14">$C$77</f>
        <v>36645.962732919252</v>
      </c>
      <c r="F77" s="18">
        <f t="shared" si="14"/>
        <v>36645.962732919252</v>
      </c>
      <c r="G77" s="18">
        <f t="shared" si="14"/>
        <v>36645.962732919252</v>
      </c>
      <c r="H77" s="18">
        <f t="shared" si="14"/>
        <v>36645.962732919252</v>
      </c>
      <c r="I77" s="18">
        <f t="shared" si="14"/>
        <v>36645.962732919252</v>
      </c>
      <c r="J77" s="18">
        <f t="shared" si="14"/>
        <v>36645.962732919252</v>
      </c>
      <c r="K77" s="19">
        <f t="shared" si="14"/>
        <v>36645.962732919252</v>
      </c>
      <c r="L77" s="18">
        <f t="shared" si="14"/>
        <v>36645.962732919252</v>
      </c>
      <c r="M77" s="19">
        <f t="shared" si="14"/>
        <v>36645.962732919252</v>
      </c>
      <c r="N77" s="18">
        <f t="shared" si="14"/>
        <v>36645.962732919252</v>
      </c>
      <c r="O77" s="18">
        <f t="shared" si="14"/>
        <v>36645.962732919252</v>
      </c>
      <c r="P77" s="18">
        <f t="shared" si="14"/>
        <v>36645.962732919252</v>
      </c>
      <c r="Q77" s="18">
        <f t="shared" si="14"/>
        <v>36645.962732919252</v>
      </c>
      <c r="R77" s="18">
        <f t="shared" si="14"/>
        <v>36645.962732919252</v>
      </c>
      <c r="S77" s="18">
        <f t="shared" si="14"/>
        <v>36645.962732919252</v>
      </c>
      <c r="T77" s="18">
        <f t="shared" si="14"/>
        <v>36645.962732919252</v>
      </c>
      <c r="U77" s="18">
        <f t="shared" si="14"/>
        <v>36645.962732919252</v>
      </c>
      <c r="V77" s="18">
        <f t="shared" si="14"/>
        <v>36645.962732919252</v>
      </c>
      <c r="W77" s="18">
        <f t="shared" si="14"/>
        <v>36645.962732919252</v>
      </c>
      <c r="X77" s="18">
        <f t="shared" si="14"/>
        <v>36645.962732919252</v>
      </c>
      <c r="Y77" s="18">
        <f t="shared" si="14"/>
        <v>36645.962732919252</v>
      </c>
      <c r="Z77" s="18">
        <f t="shared" si="14"/>
        <v>36645.962732919252</v>
      </c>
      <c r="AA77" s="18">
        <f t="shared" si="14"/>
        <v>36645.962732919252</v>
      </c>
      <c r="AB77" s="18">
        <f t="shared" si="14"/>
        <v>36645.962732919252</v>
      </c>
      <c r="AC77" s="18">
        <f t="shared" si="14"/>
        <v>36645.962732919252</v>
      </c>
      <c r="AD77" s="18">
        <f t="shared" si="14"/>
        <v>36645.962732919252</v>
      </c>
      <c r="AE77" s="18">
        <f t="shared" si="14"/>
        <v>36645.962732919252</v>
      </c>
      <c r="AF77" s="18">
        <f t="shared" si="14"/>
        <v>36645.962732919252</v>
      </c>
      <c r="AG77" s="18">
        <f t="shared" si="14"/>
        <v>36645.962732919252</v>
      </c>
      <c r="AH77" s="18">
        <f t="shared" si="14"/>
        <v>36645.962732919252</v>
      </c>
      <c r="AI77" s="18">
        <f t="shared" si="14"/>
        <v>36645.962732919252</v>
      </c>
      <c r="AJ77" s="18">
        <f t="shared" si="14"/>
        <v>36645.962732919252</v>
      </c>
      <c r="AK77" s="18">
        <f t="shared" si="14"/>
        <v>36645.962732919252</v>
      </c>
      <c r="AL77" s="18">
        <f t="shared" si="14"/>
        <v>36645.962732919252</v>
      </c>
      <c r="AM77" s="18">
        <f t="shared" si="14"/>
        <v>36645.962732919252</v>
      </c>
      <c r="AN77" s="18">
        <f t="shared" si="14"/>
        <v>36645.962732919252</v>
      </c>
    </row>
    <row r="78" spans="2:40">
      <c r="B78" s="16" t="s">
        <v>89</v>
      </c>
      <c r="C78" s="17">
        <f>11400000/322</f>
        <v>35403.726708074537</v>
      </c>
      <c r="D78" s="232">
        <f>SUM(E78:AN78)</f>
        <v>1274534.1614906841</v>
      </c>
      <c r="E78" s="172">
        <f t="shared" ref="E78:AN78" si="15">$C$78</f>
        <v>35403.726708074537</v>
      </c>
      <c r="F78" s="18">
        <f t="shared" si="15"/>
        <v>35403.726708074537</v>
      </c>
      <c r="G78" s="18">
        <f t="shared" si="15"/>
        <v>35403.726708074537</v>
      </c>
      <c r="H78" s="18">
        <f t="shared" si="15"/>
        <v>35403.726708074537</v>
      </c>
      <c r="I78" s="18">
        <f t="shared" si="15"/>
        <v>35403.726708074537</v>
      </c>
      <c r="J78" s="18">
        <f t="shared" si="15"/>
        <v>35403.726708074537</v>
      </c>
      <c r="K78" s="19">
        <f t="shared" si="15"/>
        <v>35403.726708074537</v>
      </c>
      <c r="L78" s="18">
        <f t="shared" si="15"/>
        <v>35403.726708074537</v>
      </c>
      <c r="M78" s="19">
        <f t="shared" si="15"/>
        <v>35403.726708074537</v>
      </c>
      <c r="N78" s="18">
        <f t="shared" si="15"/>
        <v>35403.726708074537</v>
      </c>
      <c r="O78" s="18">
        <f t="shared" si="15"/>
        <v>35403.726708074537</v>
      </c>
      <c r="P78" s="18">
        <f t="shared" si="15"/>
        <v>35403.726708074537</v>
      </c>
      <c r="Q78" s="18">
        <f t="shared" si="15"/>
        <v>35403.726708074537</v>
      </c>
      <c r="R78" s="18">
        <f t="shared" si="15"/>
        <v>35403.726708074537</v>
      </c>
      <c r="S78" s="18">
        <f t="shared" si="15"/>
        <v>35403.726708074537</v>
      </c>
      <c r="T78" s="18">
        <f t="shared" si="15"/>
        <v>35403.726708074537</v>
      </c>
      <c r="U78" s="18">
        <f t="shared" si="15"/>
        <v>35403.726708074537</v>
      </c>
      <c r="V78" s="18">
        <f t="shared" si="15"/>
        <v>35403.726708074537</v>
      </c>
      <c r="W78" s="18">
        <f t="shared" si="15"/>
        <v>35403.726708074537</v>
      </c>
      <c r="X78" s="18">
        <f t="shared" si="15"/>
        <v>35403.726708074537</v>
      </c>
      <c r="Y78" s="18">
        <f t="shared" si="15"/>
        <v>35403.726708074537</v>
      </c>
      <c r="Z78" s="18">
        <f t="shared" si="15"/>
        <v>35403.726708074537</v>
      </c>
      <c r="AA78" s="18">
        <f t="shared" si="15"/>
        <v>35403.726708074537</v>
      </c>
      <c r="AB78" s="18">
        <f t="shared" si="15"/>
        <v>35403.726708074537</v>
      </c>
      <c r="AC78" s="18">
        <f t="shared" si="15"/>
        <v>35403.726708074537</v>
      </c>
      <c r="AD78" s="18">
        <f t="shared" si="15"/>
        <v>35403.726708074537</v>
      </c>
      <c r="AE78" s="18">
        <f t="shared" si="15"/>
        <v>35403.726708074537</v>
      </c>
      <c r="AF78" s="18">
        <f t="shared" si="15"/>
        <v>35403.726708074537</v>
      </c>
      <c r="AG78" s="18">
        <f t="shared" si="15"/>
        <v>35403.726708074537</v>
      </c>
      <c r="AH78" s="18">
        <f t="shared" si="15"/>
        <v>35403.726708074537</v>
      </c>
      <c r="AI78" s="18">
        <f t="shared" si="15"/>
        <v>35403.726708074537</v>
      </c>
      <c r="AJ78" s="18">
        <f t="shared" si="15"/>
        <v>35403.726708074537</v>
      </c>
      <c r="AK78" s="18">
        <f t="shared" si="15"/>
        <v>35403.726708074537</v>
      </c>
      <c r="AL78" s="18">
        <f t="shared" si="15"/>
        <v>35403.726708074537</v>
      </c>
      <c r="AM78" s="18">
        <f t="shared" si="15"/>
        <v>35403.726708074537</v>
      </c>
      <c r="AN78" s="18">
        <f t="shared" si="15"/>
        <v>35403.726708074537</v>
      </c>
    </row>
    <row r="79" spans="2:40">
      <c r="B79" s="20" t="s">
        <v>90</v>
      </c>
      <c r="C79" s="21">
        <v>9.67</v>
      </c>
      <c r="D79" s="233">
        <f>SUM(E79:AN79)</f>
        <v>5540910</v>
      </c>
      <c r="E79" s="173">
        <f t="shared" ref="E79:AN79" si="16">$C$79*E41</f>
        <v>38680</v>
      </c>
      <c r="F79" s="23">
        <f t="shared" si="16"/>
        <v>96700</v>
      </c>
      <c r="G79" s="23">
        <f t="shared" si="16"/>
        <v>145050</v>
      </c>
      <c r="H79" s="23">
        <f t="shared" si="16"/>
        <v>154720</v>
      </c>
      <c r="I79" s="23">
        <f t="shared" si="16"/>
        <v>164390</v>
      </c>
      <c r="J79" s="23">
        <f t="shared" si="16"/>
        <v>174060</v>
      </c>
      <c r="K79" s="22">
        <f t="shared" si="16"/>
        <v>154720</v>
      </c>
      <c r="L79" s="23">
        <f t="shared" si="16"/>
        <v>164390</v>
      </c>
      <c r="M79" s="22">
        <f t="shared" si="16"/>
        <v>154720</v>
      </c>
      <c r="N79" s="23">
        <f t="shared" si="16"/>
        <v>164390</v>
      </c>
      <c r="O79" s="23">
        <f t="shared" si="16"/>
        <v>154720</v>
      </c>
      <c r="P79" s="23">
        <f t="shared" si="16"/>
        <v>154720</v>
      </c>
      <c r="Q79" s="23">
        <f t="shared" si="16"/>
        <v>174060</v>
      </c>
      <c r="R79" s="23">
        <f t="shared" si="16"/>
        <v>154720</v>
      </c>
      <c r="S79" s="23">
        <f t="shared" si="16"/>
        <v>164390</v>
      </c>
      <c r="T79" s="23">
        <f t="shared" si="16"/>
        <v>154720</v>
      </c>
      <c r="U79" s="23">
        <f t="shared" si="16"/>
        <v>154720</v>
      </c>
      <c r="V79" s="23">
        <f t="shared" si="16"/>
        <v>154720</v>
      </c>
      <c r="W79" s="23">
        <f t="shared" si="16"/>
        <v>154720</v>
      </c>
      <c r="X79" s="23">
        <f t="shared" si="16"/>
        <v>154720</v>
      </c>
      <c r="Y79" s="23">
        <f t="shared" si="16"/>
        <v>164390</v>
      </c>
      <c r="Z79" s="23">
        <f t="shared" si="16"/>
        <v>164390</v>
      </c>
      <c r="AA79" s="23">
        <f t="shared" si="16"/>
        <v>145050</v>
      </c>
      <c r="AB79" s="23">
        <f t="shared" si="16"/>
        <v>164390</v>
      </c>
      <c r="AC79" s="23">
        <f t="shared" si="16"/>
        <v>174060</v>
      </c>
      <c r="AD79" s="23">
        <f t="shared" si="16"/>
        <v>164390</v>
      </c>
      <c r="AE79" s="23">
        <f t="shared" si="16"/>
        <v>164390</v>
      </c>
      <c r="AF79" s="23">
        <f t="shared" si="16"/>
        <v>154720</v>
      </c>
      <c r="AG79" s="23">
        <f t="shared" si="16"/>
        <v>164390</v>
      </c>
      <c r="AH79" s="23">
        <f t="shared" si="16"/>
        <v>174060</v>
      </c>
      <c r="AI79" s="23">
        <f t="shared" si="16"/>
        <v>164390</v>
      </c>
      <c r="AJ79" s="23">
        <f t="shared" si="16"/>
        <v>164390</v>
      </c>
      <c r="AK79" s="23">
        <f t="shared" si="16"/>
        <v>193400</v>
      </c>
      <c r="AL79" s="23">
        <f t="shared" si="16"/>
        <v>174060</v>
      </c>
      <c r="AM79" s="23">
        <f t="shared" si="16"/>
        <v>77360</v>
      </c>
      <c r="AN79" s="23">
        <f t="shared" si="16"/>
        <v>145050</v>
      </c>
    </row>
    <row r="80" spans="2:40">
      <c r="B80" s="24" t="s">
        <v>91</v>
      </c>
      <c r="C80" s="25">
        <f>SUM(E80:AN80)</f>
        <v>3255484.7001242246</v>
      </c>
      <c r="D80" s="252">
        <f>D59-D76-D77-D78-D79</f>
        <v>3255484.7001242228</v>
      </c>
      <c r="E80" s="177">
        <f t="shared" ref="E80:AN80" si="17">E59-E76-E77-E78-E79</f>
        <v>-110729.6894409938</v>
      </c>
      <c r="F80" s="26">
        <f t="shared" si="17"/>
        <v>-168749.6894409938</v>
      </c>
      <c r="G80" s="26">
        <f>G59-G76-G77-G78-G79</f>
        <v>-109688.04944099378</v>
      </c>
      <c r="H80" s="26">
        <f t="shared" si="17"/>
        <v>-124487.08944099379</v>
      </c>
      <c r="I80" s="26">
        <f t="shared" si="17"/>
        <v>165235.7105590062</v>
      </c>
      <c r="J80" s="26">
        <f t="shared" si="17"/>
        <v>216994.91055900615</v>
      </c>
      <c r="K80" s="27">
        <f t="shared" si="17"/>
        <v>156715.51055900624</v>
      </c>
      <c r="L80" s="26">
        <f t="shared" si="17"/>
        <v>75775.710559006227</v>
      </c>
      <c r="M80" s="27">
        <f t="shared" si="17"/>
        <v>172221.91055900615</v>
      </c>
      <c r="N80" s="26">
        <f t="shared" si="17"/>
        <v>98289.810559006175</v>
      </c>
      <c r="O80" s="26">
        <f t="shared" si="17"/>
        <v>174309.31055900618</v>
      </c>
      <c r="P80" s="26">
        <f t="shared" si="17"/>
        <v>137332.51055900624</v>
      </c>
      <c r="Q80" s="26">
        <f t="shared" si="17"/>
        <v>44337.110559006192</v>
      </c>
      <c r="R80" s="26">
        <f t="shared" si="17"/>
        <v>106617.91055900618</v>
      </c>
      <c r="S80" s="26">
        <f t="shared" si="17"/>
        <v>210711.2105590062</v>
      </c>
      <c r="T80" s="26">
        <f t="shared" si="17"/>
        <v>44592.310559006204</v>
      </c>
      <c r="U80" s="26">
        <f t="shared" si="17"/>
        <v>222617.7105590062</v>
      </c>
      <c r="V80" s="26">
        <f t="shared" si="17"/>
        <v>79779.910559006181</v>
      </c>
      <c r="W80" s="26">
        <f t="shared" si="17"/>
        <v>193841.41055900615</v>
      </c>
      <c r="X80" s="26">
        <f t="shared" si="17"/>
        <v>163723.2105590062</v>
      </c>
      <c r="Y80" s="26">
        <f t="shared" si="17"/>
        <v>150176.61055900622</v>
      </c>
      <c r="Z80" s="26">
        <f t="shared" si="17"/>
        <v>242320.41055900615</v>
      </c>
      <c r="AA80" s="26">
        <f t="shared" si="17"/>
        <v>216632.2105590062</v>
      </c>
      <c r="AB80" s="26">
        <f t="shared" si="17"/>
        <v>158377.11055900622</v>
      </c>
      <c r="AC80" s="26">
        <f t="shared" si="17"/>
        <v>237123.41055900615</v>
      </c>
      <c r="AD80" s="26">
        <f t="shared" si="17"/>
        <v>205790.91055900615</v>
      </c>
      <c r="AE80" s="26">
        <f t="shared" si="17"/>
        <v>-3396.3894409938075</v>
      </c>
      <c r="AF80" s="26">
        <f t="shared" si="17"/>
        <v>40119.310559006204</v>
      </c>
      <c r="AG80" s="26">
        <f t="shared" si="17"/>
        <v>286901.31055900618</v>
      </c>
      <c r="AH80" s="26">
        <f t="shared" si="17"/>
        <v>248263.31055900618</v>
      </c>
      <c r="AI80" s="26">
        <f t="shared" si="17"/>
        <v>163297.41055900615</v>
      </c>
      <c r="AJ80" s="26">
        <f t="shared" si="17"/>
        <v>93667.710559006227</v>
      </c>
      <c r="AK80" s="26">
        <f t="shared" si="17"/>
        <v>79388.790559006156</v>
      </c>
      <c r="AL80" s="26">
        <f t="shared" si="17"/>
        <v>-246109.6894409938</v>
      </c>
      <c r="AM80" s="26">
        <f t="shared" si="17"/>
        <v>-149409.6894409938</v>
      </c>
      <c r="AN80" s="26">
        <f t="shared" si="17"/>
        <v>-217099.6894409938</v>
      </c>
    </row>
    <row r="81" spans="2:40">
      <c r="B81" s="320" t="s">
        <v>496</v>
      </c>
      <c r="C81" s="321"/>
      <c r="D81" s="326"/>
      <c r="E81" s="29">
        <f>+E80</f>
        <v>-110729.6894409938</v>
      </c>
      <c r="F81" s="29">
        <f t="shared" ref="F81:AN81" si="18">F80+E81</f>
        <v>-279479.37888198759</v>
      </c>
      <c r="G81" s="29">
        <f t="shared" si="18"/>
        <v>-389167.42832298134</v>
      </c>
      <c r="H81" s="29">
        <f t="shared" si="18"/>
        <v>-513654.51776397513</v>
      </c>
      <c r="I81" s="29">
        <f t="shared" si="18"/>
        <v>-348418.80720496894</v>
      </c>
      <c r="J81" s="29">
        <f t="shared" si="18"/>
        <v>-131423.89664596278</v>
      </c>
      <c r="K81" s="28">
        <f t="shared" si="18"/>
        <v>25291.61391304346</v>
      </c>
      <c r="L81" s="29">
        <f t="shared" si="18"/>
        <v>101067.32447204969</v>
      </c>
      <c r="M81" s="28">
        <f t="shared" si="18"/>
        <v>273289.23503105587</v>
      </c>
      <c r="N81" s="29">
        <f t="shared" si="18"/>
        <v>371579.04559006204</v>
      </c>
      <c r="O81" s="29">
        <f t="shared" si="18"/>
        <v>545888.35614906822</v>
      </c>
      <c r="P81" s="29">
        <f t="shared" si="18"/>
        <v>683220.86670807446</v>
      </c>
      <c r="Q81" s="29">
        <f t="shared" si="18"/>
        <v>727557.97726708069</v>
      </c>
      <c r="R81" s="29">
        <f t="shared" si="18"/>
        <v>834175.88782608684</v>
      </c>
      <c r="S81" s="29">
        <f t="shared" si="18"/>
        <v>1044887.098385093</v>
      </c>
      <c r="T81" s="29">
        <f t="shared" si="18"/>
        <v>1089479.4089440992</v>
      </c>
      <c r="U81" s="29">
        <f t="shared" si="18"/>
        <v>1312097.1195031055</v>
      </c>
      <c r="V81" s="29">
        <f t="shared" si="18"/>
        <v>1391877.0300621118</v>
      </c>
      <c r="W81" s="29">
        <f t="shared" si="18"/>
        <v>1585718.4406211181</v>
      </c>
      <c r="X81" s="29">
        <f t="shared" si="18"/>
        <v>1749441.6511801244</v>
      </c>
      <c r="Y81" s="29">
        <f t="shared" si="18"/>
        <v>1899618.2617391306</v>
      </c>
      <c r="Z81" s="29">
        <f t="shared" si="18"/>
        <v>2141938.6722981366</v>
      </c>
      <c r="AA81" s="29">
        <f t="shared" si="18"/>
        <v>2358570.8828571429</v>
      </c>
      <c r="AB81" s="29">
        <f t="shared" si="18"/>
        <v>2516947.9934161492</v>
      </c>
      <c r="AC81" s="29">
        <f t="shared" si="18"/>
        <v>2754071.4039751552</v>
      </c>
      <c r="AD81" s="29">
        <f t="shared" si="18"/>
        <v>2959862.3145341612</v>
      </c>
      <c r="AE81" s="29">
        <f t="shared" si="18"/>
        <v>2956465.9250931675</v>
      </c>
      <c r="AF81" s="29">
        <f t="shared" si="18"/>
        <v>2996585.2356521739</v>
      </c>
      <c r="AG81" s="29">
        <f t="shared" si="18"/>
        <v>3283486.5462111803</v>
      </c>
      <c r="AH81" s="29">
        <f t="shared" si="18"/>
        <v>3531749.8567701867</v>
      </c>
      <c r="AI81" s="29">
        <f t="shared" si="18"/>
        <v>3695047.2673291927</v>
      </c>
      <c r="AJ81" s="29">
        <f t="shared" si="18"/>
        <v>3788714.977888199</v>
      </c>
      <c r="AK81" s="29">
        <f t="shared" si="18"/>
        <v>3868103.7684472054</v>
      </c>
      <c r="AL81" s="29">
        <f t="shared" si="18"/>
        <v>3621994.0790062118</v>
      </c>
      <c r="AM81" s="29">
        <f t="shared" si="18"/>
        <v>3472584.3895652182</v>
      </c>
      <c r="AN81" s="29">
        <f t="shared" si="18"/>
        <v>3255484.7001242246</v>
      </c>
    </row>
    <row r="83" spans="2:40">
      <c r="B83" s="30" t="s">
        <v>93</v>
      </c>
      <c r="C83" s="31" t="e">
        <f>D41/D25</f>
        <v>#DIV/0!</v>
      </c>
    </row>
    <row r="85" spans="2:40">
      <c r="B85" s="282" t="s">
        <v>452</v>
      </c>
      <c r="C85" s="284">
        <f>+(1700000/31)</f>
        <v>54838.709677419356</v>
      </c>
      <c r="D85" s="300">
        <f>SUM(E85:AN85)</f>
        <v>0</v>
      </c>
      <c r="E85" s="300">
        <f t="shared" ref="E85:AN85" si="19">+$C$87</f>
        <v>0</v>
      </c>
      <c r="F85" s="300">
        <f t="shared" si="19"/>
        <v>0</v>
      </c>
      <c r="G85" s="300">
        <f t="shared" si="19"/>
        <v>0</v>
      </c>
      <c r="H85" s="300">
        <f t="shared" si="19"/>
        <v>0</v>
      </c>
      <c r="I85" s="300">
        <f t="shared" si="19"/>
        <v>0</v>
      </c>
      <c r="J85" s="300">
        <f t="shared" si="19"/>
        <v>0</v>
      </c>
      <c r="K85" s="300">
        <f t="shared" si="19"/>
        <v>0</v>
      </c>
      <c r="L85" s="300">
        <f t="shared" si="19"/>
        <v>0</v>
      </c>
      <c r="M85" s="300">
        <f t="shared" si="19"/>
        <v>0</v>
      </c>
      <c r="N85" s="300">
        <f t="shared" si="19"/>
        <v>0</v>
      </c>
      <c r="O85" s="300">
        <f t="shared" si="19"/>
        <v>0</v>
      </c>
      <c r="P85" s="300">
        <f t="shared" si="19"/>
        <v>0</v>
      </c>
      <c r="Q85" s="300">
        <f t="shared" si="19"/>
        <v>0</v>
      </c>
      <c r="R85" s="300">
        <f t="shared" si="19"/>
        <v>0</v>
      </c>
      <c r="S85" s="300">
        <f t="shared" si="19"/>
        <v>0</v>
      </c>
      <c r="T85" s="300">
        <f t="shared" si="19"/>
        <v>0</v>
      </c>
      <c r="U85" s="300">
        <f t="shared" si="19"/>
        <v>0</v>
      </c>
      <c r="V85" s="300">
        <f t="shared" si="19"/>
        <v>0</v>
      </c>
      <c r="W85" s="300">
        <f t="shared" si="19"/>
        <v>0</v>
      </c>
      <c r="X85" s="300">
        <f t="shared" si="19"/>
        <v>0</v>
      </c>
      <c r="Y85" s="300">
        <f t="shared" si="19"/>
        <v>0</v>
      </c>
      <c r="Z85" s="300">
        <f t="shared" si="19"/>
        <v>0</v>
      </c>
      <c r="AA85" s="300">
        <f t="shared" si="19"/>
        <v>0</v>
      </c>
      <c r="AB85" s="300">
        <f t="shared" si="19"/>
        <v>0</v>
      </c>
      <c r="AC85" s="300">
        <f t="shared" si="19"/>
        <v>0</v>
      </c>
      <c r="AD85" s="300">
        <f t="shared" si="19"/>
        <v>0</v>
      </c>
      <c r="AE85" s="300">
        <f t="shared" si="19"/>
        <v>0</v>
      </c>
      <c r="AF85" s="300">
        <f t="shared" si="19"/>
        <v>0</v>
      </c>
      <c r="AG85" s="300">
        <f t="shared" si="19"/>
        <v>0</v>
      </c>
      <c r="AH85" s="300">
        <f t="shared" si="19"/>
        <v>0</v>
      </c>
      <c r="AI85" s="300">
        <f t="shared" si="19"/>
        <v>0</v>
      </c>
      <c r="AJ85" s="300">
        <f t="shared" si="19"/>
        <v>0</v>
      </c>
      <c r="AK85" s="300">
        <f t="shared" si="19"/>
        <v>0</v>
      </c>
      <c r="AL85" s="300">
        <f t="shared" si="19"/>
        <v>0</v>
      </c>
      <c r="AM85" s="300">
        <f t="shared" si="19"/>
        <v>0</v>
      </c>
      <c r="AN85" s="300">
        <f t="shared" si="19"/>
        <v>0</v>
      </c>
    </row>
    <row r="86" spans="2:40">
      <c r="B86" s="286" t="s">
        <v>453</v>
      </c>
      <c r="C86" s="288">
        <f>300000000*7%/365</f>
        <v>57534.246575342477</v>
      </c>
      <c r="D86" s="301">
        <f>SUM(E86:AN86)</f>
        <v>0</v>
      </c>
      <c r="E86" s="301">
        <f t="shared" ref="E86:AN86" si="20">+$C$88</f>
        <v>0</v>
      </c>
      <c r="F86" s="301">
        <f t="shared" si="20"/>
        <v>0</v>
      </c>
      <c r="G86" s="301">
        <f t="shared" si="20"/>
        <v>0</v>
      </c>
      <c r="H86" s="301">
        <f t="shared" si="20"/>
        <v>0</v>
      </c>
      <c r="I86" s="301">
        <f t="shared" si="20"/>
        <v>0</v>
      </c>
      <c r="J86" s="301">
        <f t="shared" si="20"/>
        <v>0</v>
      </c>
      <c r="K86" s="301">
        <f t="shared" si="20"/>
        <v>0</v>
      </c>
      <c r="L86" s="301">
        <f t="shared" si="20"/>
        <v>0</v>
      </c>
      <c r="M86" s="301">
        <f t="shared" si="20"/>
        <v>0</v>
      </c>
      <c r="N86" s="301">
        <f t="shared" si="20"/>
        <v>0</v>
      </c>
      <c r="O86" s="301">
        <f t="shared" si="20"/>
        <v>0</v>
      </c>
      <c r="P86" s="301">
        <f t="shared" si="20"/>
        <v>0</v>
      </c>
      <c r="Q86" s="301">
        <f t="shared" si="20"/>
        <v>0</v>
      </c>
      <c r="R86" s="301">
        <f t="shared" si="20"/>
        <v>0</v>
      </c>
      <c r="S86" s="301">
        <f t="shared" si="20"/>
        <v>0</v>
      </c>
      <c r="T86" s="301">
        <f t="shared" si="20"/>
        <v>0</v>
      </c>
      <c r="U86" s="301">
        <f t="shared" si="20"/>
        <v>0</v>
      </c>
      <c r="V86" s="301">
        <f t="shared" si="20"/>
        <v>0</v>
      </c>
      <c r="W86" s="301">
        <f t="shared" si="20"/>
        <v>0</v>
      </c>
      <c r="X86" s="301">
        <f t="shared" si="20"/>
        <v>0</v>
      </c>
      <c r="Y86" s="301">
        <f t="shared" si="20"/>
        <v>0</v>
      </c>
      <c r="Z86" s="301">
        <f t="shared" si="20"/>
        <v>0</v>
      </c>
      <c r="AA86" s="301">
        <f t="shared" si="20"/>
        <v>0</v>
      </c>
      <c r="AB86" s="301">
        <f t="shared" si="20"/>
        <v>0</v>
      </c>
      <c r="AC86" s="301">
        <f t="shared" si="20"/>
        <v>0</v>
      </c>
      <c r="AD86" s="301">
        <f t="shared" si="20"/>
        <v>0</v>
      </c>
      <c r="AE86" s="301">
        <f t="shared" si="20"/>
        <v>0</v>
      </c>
      <c r="AF86" s="301">
        <f t="shared" si="20"/>
        <v>0</v>
      </c>
      <c r="AG86" s="301">
        <f t="shared" si="20"/>
        <v>0</v>
      </c>
      <c r="AH86" s="301">
        <f t="shared" si="20"/>
        <v>0</v>
      </c>
      <c r="AI86" s="301">
        <f t="shared" si="20"/>
        <v>0</v>
      </c>
      <c r="AJ86" s="301">
        <f t="shared" si="20"/>
        <v>0</v>
      </c>
      <c r="AK86" s="301">
        <f t="shared" si="20"/>
        <v>0</v>
      </c>
      <c r="AL86" s="301">
        <f t="shared" si="20"/>
        <v>0</v>
      </c>
      <c r="AM86" s="301">
        <f t="shared" si="20"/>
        <v>0</v>
      </c>
      <c r="AN86" s="301">
        <f t="shared" si="20"/>
        <v>0</v>
      </c>
    </row>
    <row r="87" spans="2:40">
      <c r="B87" s="302" t="s">
        <v>454</v>
      </c>
      <c r="C87" s="302"/>
      <c r="D87" s="303">
        <f>+D80-D85-D86</f>
        <v>3255484.7001242228</v>
      </c>
      <c r="E87" s="303">
        <f>+E80-E85-E86</f>
        <v>-110729.6894409938</v>
      </c>
      <c r="F87" s="303">
        <f t="shared" ref="F87:AN87" si="21">+F80-F85-F86</f>
        <v>-168749.6894409938</v>
      </c>
      <c r="G87" s="303">
        <f t="shared" si="21"/>
        <v>-109688.04944099378</v>
      </c>
      <c r="H87" s="303">
        <f t="shared" si="21"/>
        <v>-124487.08944099379</v>
      </c>
      <c r="I87" s="303">
        <f t="shared" si="21"/>
        <v>165235.7105590062</v>
      </c>
      <c r="J87" s="303">
        <f t="shared" si="21"/>
        <v>216994.91055900615</v>
      </c>
      <c r="K87" s="303">
        <f t="shared" si="21"/>
        <v>156715.51055900624</v>
      </c>
      <c r="L87" s="303">
        <f t="shared" si="21"/>
        <v>75775.710559006227</v>
      </c>
      <c r="M87" s="303">
        <f t="shared" si="21"/>
        <v>172221.91055900615</v>
      </c>
      <c r="N87" s="303">
        <f t="shared" si="21"/>
        <v>98289.810559006175</v>
      </c>
      <c r="O87" s="303">
        <f t="shared" si="21"/>
        <v>174309.31055900618</v>
      </c>
      <c r="P87" s="303">
        <f t="shared" si="21"/>
        <v>137332.51055900624</v>
      </c>
      <c r="Q87" s="303">
        <f t="shared" si="21"/>
        <v>44337.110559006192</v>
      </c>
      <c r="R87" s="303">
        <f t="shared" si="21"/>
        <v>106617.91055900618</v>
      </c>
      <c r="S87" s="303">
        <f t="shared" si="21"/>
        <v>210711.2105590062</v>
      </c>
      <c r="T87" s="303">
        <f t="shared" si="21"/>
        <v>44592.310559006204</v>
      </c>
      <c r="U87" s="303">
        <f t="shared" si="21"/>
        <v>222617.7105590062</v>
      </c>
      <c r="V87" s="303">
        <f t="shared" si="21"/>
        <v>79779.910559006181</v>
      </c>
      <c r="W87" s="303">
        <f t="shared" si="21"/>
        <v>193841.41055900615</v>
      </c>
      <c r="X87" s="303">
        <f t="shared" si="21"/>
        <v>163723.2105590062</v>
      </c>
      <c r="Y87" s="303">
        <f t="shared" si="21"/>
        <v>150176.61055900622</v>
      </c>
      <c r="Z87" s="303">
        <f t="shared" si="21"/>
        <v>242320.41055900615</v>
      </c>
      <c r="AA87" s="303">
        <f t="shared" si="21"/>
        <v>216632.2105590062</v>
      </c>
      <c r="AB87" s="303">
        <f t="shared" si="21"/>
        <v>158377.11055900622</v>
      </c>
      <c r="AC87" s="303">
        <f t="shared" si="21"/>
        <v>237123.41055900615</v>
      </c>
      <c r="AD87" s="303">
        <f t="shared" si="21"/>
        <v>205790.91055900615</v>
      </c>
      <c r="AE87" s="303">
        <f t="shared" si="21"/>
        <v>-3396.3894409938075</v>
      </c>
      <c r="AF87" s="303">
        <f t="shared" si="21"/>
        <v>40119.310559006204</v>
      </c>
      <c r="AG87" s="303">
        <f t="shared" si="21"/>
        <v>286901.31055900618</v>
      </c>
      <c r="AH87" s="303">
        <f t="shared" si="21"/>
        <v>248263.31055900618</v>
      </c>
      <c r="AI87" s="303">
        <f t="shared" si="21"/>
        <v>163297.41055900615</v>
      </c>
      <c r="AJ87" s="303">
        <f t="shared" si="21"/>
        <v>93667.710559006227</v>
      </c>
      <c r="AK87" s="303">
        <f t="shared" si="21"/>
        <v>79388.790559006156</v>
      </c>
      <c r="AL87" s="303">
        <f t="shared" si="21"/>
        <v>-246109.6894409938</v>
      </c>
      <c r="AM87" s="303">
        <f t="shared" si="21"/>
        <v>-149409.6894409938</v>
      </c>
      <c r="AN87" s="303">
        <f t="shared" si="21"/>
        <v>-217099.6894409938</v>
      </c>
    </row>
    <row r="88" spans="2:40">
      <c r="B88" s="320" t="s">
        <v>92</v>
      </c>
      <c r="C88" s="321"/>
      <c r="D88" s="326"/>
      <c r="E88" s="29">
        <f>+E87</f>
        <v>-110729.6894409938</v>
      </c>
      <c r="F88" s="29">
        <f>+E88+F87</f>
        <v>-279479.37888198759</v>
      </c>
      <c r="G88" s="29">
        <f t="shared" ref="G88:AN88" si="22">+F88+G87</f>
        <v>-389167.42832298134</v>
      </c>
      <c r="H88" s="29">
        <f t="shared" si="22"/>
        <v>-513654.51776397513</v>
      </c>
      <c r="I88" s="29">
        <f t="shared" si="22"/>
        <v>-348418.80720496894</v>
      </c>
      <c r="J88" s="29">
        <f t="shared" si="22"/>
        <v>-131423.89664596278</v>
      </c>
      <c r="K88" s="29">
        <f t="shared" si="22"/>
        <v>25291.61391304346</v>
      </c>
      <c r="L88" s="29">
        <f t="shared" si="22"/>
        <v>101067.32447204969</v>
      </c>
      <c r="M88" s="29">
        <f t="shared" si="22"/>
        <v>273289.23503105587</v>
      </c>
      <c r="N88" s="29">
        <f t="shared" si="22"/>
        <v>371579.04559006204</v>
      </c>
      <c r="O88" s="29">
        <f t="shared" si="22"/>
        <v>545888.35614906822</v>
      </c>
      <c r="P88" s="29">
        <f t="shared" si="22"/>
        <v>683220.86670807446</v>
      </c>
      <c r="Q88" s="29">
        <f t="shared" si="22"/>
        <v>727557.97726708069</v>
      </c>
      <c r="R88" s="29">
        <f t="shared" si="22"/>
        <v>834175.88782608684</v>
      </c>
      <c r="S88" s="29">
        <f t="shared" si="22"/>
        <v>1044887.098385093</v>
      </c>
      <c r="T88" s="29">
        <f t="shared" si="22"/>
        <v>1089479.4089440992</v>
      </c>
      <c r="U88" s="29">
        <f t="shared" si="22"/>
        <v>1312097.1195031055</v>
      </c>
      <c r="V88" s="29">
        <f t="shared" si="22"/>
        <v>1391877.0300621118</v>
      </c>
      <c r="W88" s="29">
        <f t="shared" si="22"/>
        <v>1585718.4406211181</v>
      </c>
      <c r="X88" s="29">
        <f t="shared" si="22"/>
        <v>1749441.6511801244</v>
      </c>
      <c r="Y88" s="29">
        <f t="shared" si="22"/>
        <v>1899618.2617391306</v>
      </c>
      <c r="Z88" s="29">
        <f t="shared" si="22"/>
        <v>2141938.6722981366</v>
      </c>
      <c r="AA88" s="29">
        <f t="shared" si="22"/>
        <v>2358570.8828571429</v>
      </c>
      <c r="AB88" s="29">
        <f t="shared" si="22"/>
        <v>2516947.9934161492</v>
      </c>
      <c r="AC88" s="29">
        <f t="shared" si="22"/>
        <v>2754071.4039751552</v>
      </c>
      <c r="AD88" s="29">
        <f t="shared" si="22"/>
        <v>2959862.3145341612</v>
      </c>
      <c r="AE88" s="29">
        <f t="shared" si="22"/>
        <v>2956465.9250931675</v>
      </c>
      <c r="AF88" s="29">
        <f t="shared" si="22"/>
        <v>2996585.2356521739</v>
      </c>
      <c r="AG88" s="29">
        <f t="shared" si="22"/>
        <v>3283486.5462111803</v>
      </c>
      <c r="AH88" s="29">
        <f t="shared" si="22"/>
        <v>3531749.8567701867</v>
      </c>
      <c r="AI88" s="29">
        <f t="shared" si="22"/>
        <v>3695047.2673291927</v>
      </c>
      <c r="AJ88" s="29">
        <f t="shared" si="22"/>
        <v>3788714.977888199</v>
      </c>
      <c r="AK88" s="29">
        <f t="shared" si="22"/>
        <v>3868103.7684472054</v>
      </c>
      <c r="AL88" s="29">
        <f t="shared" si="22"/>
        <v>3621994.0790062118</v>
      </c>
      <c r="AM88" s="29">
        <f t="shared" si="22"/>
        <v>3472584.3895652182</v>
      </c>
      <c r="AN88" s="29">
        <f t="shared" si="22"/>
        <v>3255484.7001242246</v>
      </c>
    </row>
  </sheetData>
  <mergeCells count="7">
    <mergeCell ref="B88:D88"/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B87:AN8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1:AN81 B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8:AN88 B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F8E3-3708-4CDB-857C-889FB6E3765F}">
  <dimension ref="A2:AZ84"/>
  <sheetViews>
    <sheetView topLeftCell="A10" workbookViewId="0">
      <selection activeCell="N19" sqref="N19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.140625" bestFit="1" customWidth="1"/>
    <col min="6" max="6" width="11.28515625" bestFit="1" customWidth="1"/>
    <col min="7" max="7" width="12.28515625" bestFit="1" customWidth="1"/>
    <col min="8" max="8" width="11.28515625" bestFit="1" customWidth="1"/>
  </cols>
  <sheetData>
    <row r="2" spans="2:52" ht="15.75">
      <c r="B2" s="54" t="s">
        <v>0</v>
      </c>
      <c r="C2" s="109" t="s">
        <v>1</v>
      </c>
    </row>
    <row r="3" spans="2:52" ht="15.75">
      <c r="B3" s="54" t="s">
        <v>2</v>
      </c>
      <c r="C3" s="109">
        <v>8</v>
      </c>
    </row>
    <row r="4" spans="2:52" ht="15.75">
      <c r="B4" s="54" t="s">
        <v>3</v>
      </c>
      <c r="C4" s="110">
        <v>45525</v>
      </c>
    </row>
    <row r="5" spans="2:52" ht="15.75">
      <c r="B5" s="54" t="s">
        <v>4</v>
      </c>
      <c r="C5" s="110"/>
    </row>
    <row r="6" spans="2:52" ht="15.75">
      <c r="B6" s="179" t="s">
        <v>230</v>
      </c>
      <c r="C6" s="110" t="s">
        <v>421</v>
      </c>
    </row>
    <row r="7" spans="2:52" ht="15.75">
      <c r="B7" s="2"/>
      <c r="C7" s="2"/>
    </row>
    <row r="8" spans="2:52" ht="15.75">
      <c r="B8" s="54" t="s">
        <v>5</v>
      </c>
      <c r="D8" s="41" t="s">
        <v>6</v>
      </c>
      <c r="E8" s="42">
        <v>45525</v>
      </c>
      <c r="F8" s="42">
        <v>45526</v>
      </c>
      <c r="G8" s="42">
        <v>45527</v>
      </c>
      <c r="H8" s="42">
        <v>45528</v>
      </c>
      <c r="I8" s="42">
        <v>45529</v>
      </c>
      <c r="J8" s="42">
        <v>45530</v>
      </c>
      <c r="K8" s="42">
        <v>45531</v>
      </c>
      <c r="L8" s="42">
        <v>45532</v>
      </c>
      <c r="M8" s="42">
        <v>45533</v>
      </c>
      <c r="N8" s="42">
        <v>45534</v>
      </c>
      <c r="O8" s="42">
        <v>45535</v>
      </c>
      <c r="P8" s="42">
        <v>45536</v>
      </c>
      <c r="Q8" s="42">
        <v>45537</v>
      </c>
      <c r="R8" s="42">
        <v>45538</v>
      </c>
      <c r="S8" s="42">
        <v>45539</v>
      </c>
      <c r="T8" s="42">
        <v>45540</v>
      </c>
      <c r="U8" s="42">
        <v>45541</v>
      </c>
      <c r="V8" s="42">
        <v>45542</v>
      </c>
      <c r="W8" s="42">
        <v>45543</v>
      </c>
      <c r="X8" s="42">
        <v>45544</v>
      </c>
      <c r="Y8" s="42">
        <v>45545</v>
      </c>
      <c r="Z8" s="42">
        <v>45546</v>
      </c>
      <c r="AA8" s="42">
        <v>45547</v>
      </c>
      <c r="AB8" s="42">
        <v>45548</v>
      </c>
      <c r="AC8" s="42">
        <v>45549</v>
      </c>
      <c r="AD8" s="42">
        <v>45550</v>
      </c>
      <c r="AE8" s="42">
        <v>45551</v>
      </c>
      <c r="AF8" s="42">
        <v>45552</v>
      </c>
      <c r="AG8" s="42">
        <v>45553</v>
      </c>
      <c r="AH8" s="42">
        <v>45554</v>
      </c>
      <c r="AI8" s="42">
        <v>45555</v>
      </c>
      <c r="AJ8" s="42">
        <v>45556</v>
      </c>
      <c r="AK8" s="42">
        <v>45557</v>
      </c>
      <c r="AL8" s="42">
        <v>45558</v>
      </c>
      <c r="AM8" s="42">
        <v>45559</v>
      </c>
      <c r="AN8" s="42">
        <v>45560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pans="2:52">
      <c r="B9" s="46" t="s">
        <v>7</v>
      </c>
      <c r="C9" s="47" t="s">
        <v>8</v>
      </c>
      <c r="D9" s="71">
        <f>SUM(E9:N9)</f>
        <v>110</v>
      </c>
      <c r="E9" s="114">
        <v>0</v>
      </c>
      <c r="F9" s="114">
        <v>0</v>
      </c>
      <c r="G9" s="114">
        <v>0</v>
      </c>
      <c r="H9" s="114">
        <v>4</v>
      </c>
      <c r="I9" s="114">
        <v>16</v>
      </c>
      <c r="J9" s="114">
        <v>18</v>
      </c>
      <c r="K9" s="114">
        <v>18</v>
      </c>
      <c r="L9" s="114">
        <v>19</v>
      </c>
      <c r="M9" s="114">
        <v>17</v>
      </c>
      <c r="N9" s="114">
        <v>18</v>
      </c>
      <c r="O9" s="114">
        <v>19</v>
      </c>
      <c r="P9" s="114">
        <v>19</v>
      </c>
      <c r="Q9" s="114">
        <v>22</v>
      </c>
      <c r="R9" s="114">
        <v>13</v>
      </c>
      <c r="S9" s="114">
        <v>20</v>
      </c>
      <c r="T9" s="114">
        <v>9</v>
      </c>
      <c r="U9" s="114">
        <v>20</v>
      </c>
      <c r="V9" s="114">
        <v>10</v>
      </c>
      <c r="W9" s="114">
        <v>18</v>
      </c>
      <c r="X9" s="114">
        <v>12</v>
      </c>
      <c r="Y9" s="114">
        <v>19</v>
      </c>
      <c r="Z9" s="114">
        <v>16</v>
      </c>
      <c r="AA9" s="114">
        <v>12</v>
      </c>
      <c r="AB9" s="114">
        <v>13</v>
      </c>
      <c r="AC9" s="114">
        <v>17</v>
      </c>
      <c r="AD9" s="114">
        <v>12</v>
      </c>
      <c r="AE9" s="114">
        <v>13</v>
      </c>
      <c r="AF9" s="114">
        <v>13</v>
      </c>
      <c r="AG9" s="114">
        <v>19</v>
      </c>
      <c r="AH9" s="114">
        <v>20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</row>
    <row r="10" spans="2:52">
      <c r="B10" s="48" t="s">
        <v>9</v>
      </c>
      <c r="C10" s="38" t="s">
        <v>8</v>
      </c>
      <c r="D10" s="71">
        <f t="shared" ref="D10:D16" si="0">SUM(E10:K10)</f>
        <v>57</v>
      </c>
      <c r="E10" s="115">
        <v>6</v>
      </c>
      <c r="F10" s="115">
        <v>0</v>
      </c>
      <c r="G10" s="115">
        <v>24</v>
      </c>
      <c r="H10" s="115">
        <v>20</v>
      </c>
      <c r="I10" s="115">
        <v>5</v>
      </c>
      <c r="J10" s="115">
        <v>2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2</v>
      </c>
      <c r="T10" s="115">
        <v>12</v>
      </c>
      <c r="U10" s="115">
        <v>2</v>
      </c>
      <c r="V10" s="115">
        <v>11</v>
      </c>
      <c r="W10" s="115">
        <v>3</v>
      </c>
      <c r="X10" s="115">
        <v>0</v>
      </c>
      <c r="Y10" s="115">
        <v>5</v>
      </c>
      <c r="Z10" s="115">
        <v>5</v>
      </c>
      <c r="AA10" s="115">
        <v>9</v>
      </c>
      <c r="AB10" s="115">
        <v>0</v>
      </c>
      <c r="AC10" s="115">
        <v>7</v>
      </c>
      <c r="AD10" s="115">
        <v>2</v>
      </c>
      <c r="AE10" s="115">
        <v>8</v>
      </c>
      <c r="AF10" s="115">
        <v>8</v>
      </c>
      <c r="AG10" s="115">
        <v>2</v>
      </c>
      <c r="AH10" s="115">
        <v>1</v>
      </c>
      <c r="AI10" s="115">
        <v>24</v>
      </c>
      <c r="AJ10" s="115">
        <v>24</v>
      </c>
      <c r="AK10" s="115">
        <v>24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52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52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</row>
    <row r="13" spans="2:52">
      <c r="B13" s="48" t="s">
        <v>12</v>
      </c>
      <c r="C13" s="38" t="s">
        <v>8</v>
      </c>
      <c r="D13" s="71">
        <f t="shared" si="0"/>
        <v>20</v>
      </c>
      <c r="E13" s="115">
        <v>18</v>
      </c>
      <c r="F13" s="115">
        <v>2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52">
      <c r="B14" s="48" t="s">
        <v>13</v>
      </c>
      <c r="C14" s="38" t="s">
        <v>8</v>
      </c>
      <c r="D14" s="71">
        <f t="shared" si="0"/>
        <v>4</v>
      </c>
      <c r="E14" s="115">
        <v>0</v>
      </c>
      <c r="F14" s="115">
        <v>4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</row>
    <row r="15" spans="2:52">
      <c r="B15" s="49" t="s">
        <v>14</v>
      </c>
      <c r="C15" s="40" t="s">
        <v>8</v>
      </c>
      <c r="D15" s="71">
        <f t="shared" si="0"/>
        <v>31</v>
      </c>
      <c r="E15" s="116">
        <v>0</v>
      </c>
      <c r="F15" s="116">
        <v>18</v>
      </c>
      <c r="G15" s="116">
        <v>0</v>
      </c>
      <c r="H15" s="116">
        <v>0</v>
      </c>
      <c r="I15" s="116">
        <v>3</v>
      </c>
      <c r="J15" s="116">
        <v>4</v>
      </c>
      <c r="K15" s="116">
        <v>6</v>
      </c>
      <c r="L15" s="116">
        <v>5</v>
      </c>
      <c r="M15" s="116">
        <v>7</v>
      </c>
      <c r="N15" s="116">
        <v>6</v>
      </c>
      <c r="O15" s="116">
        <v>5</v>
      </c>
      <c r="P15" s="116">
        <v>5</v>
      </c>
      <c r="Q15" s="116">
        <v>2</v>
      </c>
      <c r="R15" s="116">
        <v>11</v>
      </c>
      <c r="S15" s="116">
        <v>2</v>
      </c>
      <c r="T15" s="116">
        <v>3</v>
      </c>
      <c r="U15" s="116">
        <v>2</v>
      </c>
      <c r="V15" s="116">
        <v>3</v>
      </c>
      <c r="W15" s="116">
        <v>3</v>
      </c>
      <c r="X15" s="116">
        <v>12</v>
      </c>
      <c r="Y15" s="116">
        <v>0</v>
      </c>
      <c r="Z15" s="116">
        <v>3</v>
      </c>
      <c r="AA15" s="116">
        <v>3</v>
      </c>
      <c r="AB15" s="116">
        <v>11</v>
      </c>
      <c r="AC15" s="116">
        <v>0</v>
      </c>
      <c r="AD15" s="116">
        <v>10</v>
      </c>
      <c r="AE15" s="116">
        <v>3</v>
      </c>
      <c r="AF15" s="116">
        <v>3</v>
      </c>
      <c r="AG15" s="116">
        <v>3</v>
      </c>
      <c r="AH15" s="116">
        <v>3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</row>
    <row r="16" spans="2:52">
      <c r="B16" s="68" t="s">
        <v>15</v>
      </c>
      <c r="C16" s="69" t="s">
        <v>8</v>
      </c>
      <c r="D16" s="70">
        <f t="shared" si="0"/>
        <v>168</v>
      </c>
      <c r="E16" s="117">
        <f t="shared" ref="E16:AR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0</v>
      </c>
      <c r="AM16" s="117">
        <f t="shared" si="1"/>
        <v>0</v>
      </c>
      <c r="AN16" s="117">
        <f t="shared" si="1"/>
        <v>0</v>
      </c>
      <c r="AO16" s="117">
        <f t="shared" si="1"/>
        <v>0</v>
      </c>
      <c r="AP16" s="117">
        <f t="shared" si="1"/>
        <v>0</v>
      </c>
      <c r="AQ16" s="117">
        <f t="shared" si="1"/>
        <v>0</v>
      </c>
      <c r="AR16" s="117">
        <f t="shared" si="1"/>
        <v>0</v>
      </c>
    </row>
    <row r="18" spans="1:44">
      <c r="B18" s="50" t="s">
        <v>16</v>
      </c>
      <c r="C18" s="50" t="s">
        <v>0</v>
      </c>
      <c r="D18" s="58">
        <f>SUM(E18:K18)</f>
        <v>0</v>
      </c>
      <c r="E18" s="127" t="s">
        <v>472</v>
      </c>
      <c r="F18" s="127" t="s">
        <v>203</v>
      </c>
      <c r="G18" s="127" t="s">
        <v>502</v>
      </c>
      <c r="H18" s="127" t="s">
        <v>503</v>
      </c>
      <c r="I18" s="127" t="s">
        <v>504</v>
      </c>
      <c r="J18" s="127" t="s">
        <v>157</v>
      </c>
      <c r="K18" s="127" t="s">
        <v>505</v>
      </c>
      <c r="L18" s="127" t="s">
        <v>506</v>
      </c>
      <c r="M18" s="127" t="s">
        <v>506</v>
      </c>
      <c r="N18" s="127" t="s">
        <v>506</v>
      </c>
      <c r="O18" s="127" t="s">
        <v>506</v>
      </c>
      <c r="P18" s="127" t="s">
        <v>506</v>
      </c>
      <c r="Q18" s="127" t="s">
        <v>506</v>
      </c>
      <c r="R18" s="127" t="s">
        <v>157</v>
      </c>
      <c r="S18" s="127" t="s">
        <v>157</v>
      </c>
      <c r="T18" s="127" t="s">
        <v>507</v>
      </c>
      <c r="U18" s="127" t="s">
        <v>508</v>
      </c>
      <c r="V18" s="127" t="s">
        <v>157</v>
      </c>
      <c r="W18" s="127" t="s">
        <v>509</v>
      </c>
      <c r="X18" s="127" t="s">
        <v>504</v>
      </c>
      <c r="Y18" s="127" t="s">
        <v>510</v>
      </c>
      <c r="Z18" s="127" t="s">
        <v>504</v>
      </c>
      <c r="AA18" s="127" t="s">
        <v>443</v>
      </c>
      <c r="AB18" s="127" t="s">
        <v>443</v>
      </c>
      <c r="AC18" s="127" t="s">
        <v>443</v>
      </c>
      <c r="AD18" s="127" t="s">
        <v>511</v>
      </c>
      <c r="AE18" s="127" t="s">
        <v>504</v>
      </c>
      <c r="AF18" s="127" t="s">
        <v>512</v>
      </c>
      <c r="AG18" s="127" t="s">
        <v>513</v>
      </c>
      <c r="AH18" s="127" t="s">
        <v>514</v>
      </c>
      <c r="AI18" s="127">
        <v>0</v>
      </c>
      <c r="AJ18" s="127">
        <v>0</v>
      </c>
      <c r="AK18" s="127">
        <v>0</v>
      </c>
      <c r="AL18" s="127">
        <v>0</v>
      </c>
      <c r="AM18" s="127">
        <v>0</v>
      </c>
      <c r="AN18" s="127">
        <v>0</v>
      </c>
      <c r="AO18" s="127"/>
      <c r="AP18" s="127"/>
      <c r="AQ18" s="127"/>
      <c r="AR18" s="127"/>
    </row>
    <row r="19" spans="1:44">
      <c r="B19" s="37" t="s">
        <v>31</v>
      </c>
      <c r="C19" s="37" t="s">
        <v>32</v>
      </c>
      <c r="D19" s="131">
        <f>SUM(E19:K19)</f>
        <v>56</v>
      </c>
      <c r="E19" s="162">
        <v>0</v>
      </c>
      <c r="F19" s="162">
        <v>0</v>
      </c>
      <c r="G19" s="162">
        <v>0</v>
      </c>
      <c r="H19" s="162">
        <v>4</v>
      </c>
      <c r="I19" s="162">
        <v>16</v>
      </c>
      <c r="J19" s="162">
        <v>18</v>
      </c>
      <c r="K19" s="162">
        <v>18</v>
      </c>
      <c r="L19" s="162">
        <v>19</v>
      </c>
      <c r="M19" s="162">
        <v>17</v>
      </c>
      <c r="N19" s="162">
        <v>18</v>
      </c>
      <c r="O19" s="162">
        <v>19</v>
      </c>
      <c r="P19" s="162">
        <v>19</v>
      </c>
      <c r="Q19" s="162">
        <v>22</v>
      </c>
      <c r="R19" s="162">
        <v>0</v>
      </c>
      <c r="S19" s="162">
        <v>20</v>
      </c>
      <c r="T19" s="162">
        <v>9</v>
      </c>
      <c r="U19" s="162">
        <v>20</v>
      </c>
      <c r="V19" s="162">
        <v>10</v>
      </c>
      <c r="W19" s="162">
        <v>18</v>
      </c>
      <c r="X19" s="162">
        <v>12</v>
      </c>
      <c r="Y19" s="162">
        <v>19</v>
      </c>
      <c r="Z19" s="162">
        <v>16</v>
      </c>
      <c r="AA19" s="162">
        <v>12</v>
      </c>
      <c r="AB19" s="162">
        <v>13</v>
      </c>
      <c r="AC19" s="162">
        <v>17</v>
      </c>
      <c r="AD19" s="162">
        <v>12</v>
      </c>
      <c r="AE19" s="162">
        <v>13</v>
      </c>
      <c r="AF19" s="162">
        <v>13</v>
      </c>
      <c r="AG19" s="162">
        <v>19</v>
      </c>
      <c r="AH19" s="162">
        <v>20</v>
      </c>
      <c r="AI19" s="162">
        <v>0</v>
      </c>
      <c r="AJ19" s="162">
        <v>0</v>
      </c>
      <c r="AK19" s="162">
        <v>0</v>
      </c>
      <c r="AL19" s="162">
        <v>0</v>
      </c>
      <c r="AM19" s="162">
        <v>0</v>
      </c>
      <c r="AN19" s="162">
        <v>0</v>
      </c>
      <c r="AO19" s="162">
        <v>0</v>
      </c>
      <c r="AP19" s="162"/>
      <c r="AQ19" s="162"/>
      <c r="AR19" s="162"/>
    </row>
    <row r="20" spans="1:44">
      <c r="B20" s="37" t="s">
        <v>35</v>
      </c>
      <c r="C20" s="37" t="s">
        <v>36</v>
      </c>
      <c r="D20" s="131">
        <f>SUM(E20:K20)</f>
        <v>11</v>
      </c>
      <c r="E20" s="162">
        <v>0</v>
      </c>
      <c r="F20" s="162">
        <v>0</v>
      </c>
      <c r="G20" s="162">
        <v>0</v>
      </c>
      <c r="H20" s="162">
        <v>2</v>
      </c>
      <c r="I20" s="162">
        <v>3</v>
      </c>
      <c r="J20" s="162">
        <v>3</v>
      </c>
      <c r="K20" s="162">
        <v>3</v>
      </c>
      <c r="L20" s="162">
        <v>3</v>
      </c>
      <c r="M20" s="162">
        <v>3</v>
      </c>
      <c r="N20" s="162">
        <v>3</v>
      </c>
      <c r="O20" s="162">
        <v>3</v>
      </c>
      <c r="P20" s="162">
        <v>3</v>
      </c>
      <c r="Q20" s="162">
        <v>4</v>
      </c>
      <c r="R20" s="162">
        <v>0</v>
      </c>
      <c r="S20" s="162">
        <v>3</v>
      </c>
      <c r="T20" s="162">
        <v>2</v>
      </c>
      <c r="U20" s="162">
        <v>3</v>
      </c>
      <c r="V20" s="162">
        <v>2</v>
      </c>
      <c r="W20" s="162">
        <v>4</v>
      </c>
      <c r="X20" s="162">
        <v>3</v>
      </c>
      <c r="Y20" s="162">
        <v>3</v>
      </c>
      <c r="Z20" s="162">
        <v>3</v>
      </c>
      <c r="AA20" s="162">
        <v>3</v>
      </c>
      <c r="AB20" s="162">
        <v>3</v>
      </c>
      <c r="AC20" s="162">
        <v>3</v>
      </c>
      <c r="AD20" s="162">
        <v>3</v>
      </c>
      <c r="AE20" s="162">
        <v>3</v>
      </c>
      <c r="AF20" s="162">
        <v>2</v>
      </c>
      <c r="AG20" s="162">
        <v>3</v>
      </c>
      <c r="AH20" s="162">
        <v>3</v>
      </c>
      <c r="AI20" s="162">
        <v>0</v>
      </c>
      <c r="AJ20" s="162">
        <v>0</v>
      </c>
      <c r="AK20" s="162">
        <v>0</v>
      </c>
      <c r="AL20" s="162">
        <v>0</v>
      </c>
      <c r="AM20" s="162">
        <v>0</v>
      </c>
      <c r="AN20" s="162">
        <v>0</v>
      </c>
      <c r="AO20" s="162"/>
      <c r="AP20" s="162"/>
      <c r="AQ20" s="162"/>
      <c r="AR20" s="162"/>
    </row>
    <row r="21" spans="1:44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>
        <v>0</v>
      </c>
      <c r="H21" s="129" t="s">
        <v>399</v>
      </c>
      <c r="I21" s="129" t="s">
        <v>399</v>
      </c>
      <c r="J21" s="129" t="s">
        <v>399</v>
      </c>
      <c r="K21" s="129" t="s">
        <v>399</v>
      </c>
      <c r="L21" s="129" t="s">
        <v>399</v>
      </c>
      <c r="M21" s="129" t="s">
        <v>399</v>
      </c>
      <c r="N21" s="129" t="s">
        <v>399</v>
      </c>
      <c r="O21" s="129" t="s">
        <v>399</v>
      </c>
      <c r="P21" s="129" t="s">
        <v>399</v>
      </c>
      <c r="Q21" s="129" t="s">
        <v>399</v>
      </c>
      <c r="R21" s="129" t="s">
        <v>399</v>
      </c>
      <c r="S21" s="129" t="s">
        <v>399</v>
      </c>
      <c r="T21" s="129" t="s">
        <v>399</v>
      </c>
      <c r="U21" s="129" t="s">
        <v>399</v>
      </c>
      <c r="V21" s="129" t="s">
        <v>399</v>
      </c>
      <c r="W21" s="129" t="s">
        <v>399</v>
      </c>
      <c r="X21" s="129" t="s">
        <v>399</v>
      </c>
      <c r="Y21" s="129" t="s">
        <v>399</v>
      </c>
      <c r="Z21" s="129" t="s">
        <v>399</v>
      </c>
      <c r="AA21" s="129" t="s">
        <v>399</v>
      </c>
      <c r="AB21" s="129" t="s">
        <v>399</v>
      </c>
      <c r="AC21" s="129" t="s">
        <v>399</v>
      </c>
      <c r="AD21" s="129" t="s">
        <v>399</v>
      </c>
      <c r="AE21" s="129" t="s">
        <v>399</v>
      </c>
      <c r="AF21" s="129" t="s">
        <v>399</v>
      </c>
      <c r="AG21" s="129" t="s">
        <v>399</v>
      </c>
      <c r="AH21" s="129" t="s">
        <v>399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</row>
    <row r="22" spans="1:4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4" spans="1:44">
      <c r="B24" s="167" t="s">
        <v>43</v>
      </c>
      <c r="C24" s="168">
        <f>D26/D19</f>
        <v>13667.464285714286</v>
      </c>
    </row>
    <row r="25" spans="1:44">
      <c r="D25" s="10"/>
    </row>
    <row r="26" spans="1:44">
      <c r="A26" s="312" t="s">
        <v>44</v>
      </c>
      <c r="B26" s="35" t="s">
        <v>45</v>
      </c>
      <c r="C26" s="35"/>
      <c r="D26" s="175">
        <f>SUM(E26:AQ26)</f>
        <v>765378</v>
      </c>
      <c r="E26" s="75">
        <f t="shared" ref="E26:AR26" si="2">SUM(E27:E38)</f>
        <v>0</v>
      </c>
      <c r="F26" s="175">
        <f t="shared" si="2"/>
        <v>0</v>
      </c>
      <c r="G26" s="75">
        <f t="shared" si="2"/>
        <v>0</v>
      </c>
      <c r="H26" s="175">
        <f t="shared" si="2"/>
        <v>3515</v>
      </c>
      <c r="I26" s="75">
        <f t="shared" si="2"/>
        <v>47409</v>
      </c>
      <c r="J26" s="175">
        <f t="shared" si="2"/>
        <v>35261</v>
      </c>
      <c r="K26" s="75">
        <f t="shared" si="2"/>
        <v>32657</v>
      </c>
      <c r="L26" s="175">
        <f t="shared" si="2"/>
        <v>27731</v>
      </c>
      <c r="M26" s="75">
        <f t="shared" si="2"/>
        <v>36837</v>
      </c>
      <c r="N26" s="175">
        <f t="shared" si="2"/>
        <v>32216</v>
      </c>
      <c r="O26" s="75">
        <f t="shared" si="2"/>
        <v>30392</v>
      </c>
      <c r="P26" s="175">
        <f t="shared" si="2"/>
        <v>20060</v>
      </c>
      <c r="Q26" s="75">
        <f t="shared" si="2"/>
        <v>36260</v>
      </c>
      <c r="R26" s="175">
        <f t="shared" si="2"/>
        <v>14071</v>
      </c>
      <c r="S26" s="75">
        <f t="shared" si="2"/>
        <v>12490</v>
      </c>
      <c r="T26" s="175">
        <f t="shared" si="2"/>
        <v>14515</v>
      </c>
      <c r="U26" s="75">
        <f t="shared" si="2"/>
        <v>16502</v>
      </c>
      <c r="V26" s="175">
        <f t="shared" si="2"/>
        <v>6835</v>
      </c>
      <c r="W26" s="75">
        <f t="shared" si="2"/>
        <v>14373</v>
      </c>
      <c r="X26" s="175">
        <f t="shared" si="2"/>
        <v>35604</v>
      </c>
      <c r="Y26" s="75">
        <f t="shared" si="2"/>
        <v>36600</v>
      </c>
      <c r="Z26" s="175">
        <f t="shared" si="2"/>
        <v>18952</v>
      </c>
      <c r="AA26" s="75">
        <f t="shared" si="2"/>
        <v>58224</v>
      </c>
      <c r="AB26" s="175">
        <f t="shared" si="2"/>
        <v>79421</v>
      </c>
      <c r="AC26" s="75">
        <f t="shared" si="2"/>
        <v>41649</v>
      </c>
      <c r="AD26" s="175">
        <f t="shared" si="2"/>
        <v>46919</v>
      </c>
      <c r="AE26" s="75">
        <f t="shared" si="2"/>
        <v>28487</v>
      </c>
      <c r="AF26" s="175">
        <f t="shared" si="2"/>
        <v>12465</v>
      </c>
      <c r="AG26" s="75">
        <f t="shared" si="2"/>
        <v>13312</v>
      </c>
      <c r="AH26" s="175">
        <f t="shared" si="2"/>
        <v>12621</v>
      </c>
      <c r="AI26" s="75">
        <f t="shared" si="2"/>
        <v>0</v>
      </c>
      <c r="AJ26" s="175">
        <f t="shared" si="2"/>
        <v>0</v>
      </c>
      <c r="AK26" s="75">
        <f t="shared" si="2"/>
        <v>0</v>
      </c>
      <c r="AL26" s="175">
        <f t="shared" si="2"/>
        <v>0</v>
      </c>
      <c r="AM26" s="75">
        <f t="shared" si="2"/>
        <v>0</v>
      </c>
      <c r="AN26" s="175">
        <f t="shared" si="2"/>
        <v>0</v>
      </c>
      <c r="AO26" s="75">
        <f t="shared" si="2"/>
        <v>0</v>
      </c>
      <c r="AP26" s="175">
        <f t="shared" si="2"/>
        <v>0</v>
      </c>
      <c r="AQ26" s="75">
        <f t="shared" si="2"/>
        <v>0</v>
      </c>
      <c r="AR26" s="175">
        <f t="shared" si="2"/>
        <v>0</v>
      </c>
    </row>
    <row r="27" spans="1:44">
      <c r="A27" s="313"/>
      <c r="B27" s="37" t="s">
        <v>47</v>
      </c>
      <c r="C27" s="38" t="s">
        <v>48</v>
      </c>
      <c r="D27" s="73">
        <f t="shared" ref="D27:D36" si="3">SUM(E27:AR27)</f>
        <v>526088</v>
      </c>
      <c r="E27" s="55">
        <v>0</v>
      </c>
      <c r="F27" s="55">
        <v>0</v>
      </c>
      <c r="G27" s="55">
        <v>0</v>
      </c>
      <c r="H27" s="55">
        <v>2907</v>
      </c>
      <c r="I27" s="55">
        <v>23748</v>
      </c>
      <c r="J27" s="55">
        <v>29202</v>
      </c>
      <c r="K27" s="55">
        <v>25139</v>
      </c>
      <c r="L27" s="55">
        <v>22126</v>
      </c>
      <c r="M27" s="55">
        <v>32209</v>
      </c>
      <c r="N27" s="55">
        <v>29287</v>
      </c>
      <c r="O27" s="55">
        <v>23057</v>
      </c>
      <c r="P27" s="55">
        <v>16468</v>
      </c>
      <c r="Q27" s="55">
        <v>15160</v>
      </c>
      <c r="R27" s="55">
        <v>11899</v>
      </c>
      <c r="S27" s="55">
        <v>10384</v>
      </c>
      <c r="T27" s="55">
        <v>5677</v>
      </c>
      <c r="U27" s="55">
        <v>4856</v>
      </c>
      <c r="V27" s="55">
        <v>5187</v>
      </c>
      <c r="W27" s="55">
        <v>7493</v>
      </c>
      <c r="X27" s="55">
        <v>13018</v>
      </c>
      <c r="Y27" s="55">
        <v>9150</v>
      </c>
      <c r="Z27" s="55">
        <v>6300</v>
      </c>
      <c r="AA27" s="55">
        <v>57528</v>
      </c>
      <c r="AB27" s="55">
        <v>78282</v>
      </c>
      <c r="AC27" s="55">
        <v>41139</v>
      </c>
      <c r="AD27" s="55">
        <v>45028</v>
      </c>
      <c r="AE27" s="55">
        <v>3927</v>
      </c>
      <c r="AF27" s="55">
        <v>1161</v>
      </c>
      <c r="AG27" s="55">
        <v>2152</v>
      </c>
      <c r="AH27" s="55">
        <v>3604</v>
      </c>
      <c r="AI27" s="55">
        <v>0</v>
      </c>
      <c r="AJ27" s="55">
        <v>0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</row>
    <row r="28" spans="1:44">
      <c r="A28" s="313"/>
      <c r="B28" s="37" t="s">
        <v>49</v>
      </c>
      <c r="C28" s="38" t="s">
        <v>48</v>
      </c>
      <c r="D28" s="73">
        <f t="shared" si="3"/>
        <v>21158</v>
      </c>
      <c r="E28" s="55">
        <v>0</v>
      </c>
      <c r="F28" s="55">
        <v>0</v>
      </c>
      <c r="G28" s="55">
        <v>0</v>
      </c>
      <c r="H28" s="55">
        <v>192</v>
      </c>
      <c r="I28" s="55">
        <v>480</v>
      </c>
      <c r="J28" s="55">
        <v>1632</v>
      </c>
      <c r="K28" s="55">
        <v>1680</v>
      </c>
      <c r="L28" s="55">
        <v>1200</v>
      </c>
      <c r="M28" s="55">
        <v>1536</v>
      </c>
      <c r="N28" s="55">
        <v>1824</v>
      </c>
      <c r="O28" s="55">
        <v>2016</v>
      </c>
      <c r="P28" s="55">
        <v>864</v>
      </c>
      <c r="Q28" s="55">
        <v>336</v>
      </c>
      <c r="R28" s="55">
        <v>624</v>
      </c>
      <c r="S28" s="55">
        <v>624</v>
      </c>
      <c r="T28" s="55">
        <v>624</v>
      </c>
      <c r="U28" s="55">
        <v>1152</v>
      </c>
      <c r="V28" s="55">
        <v>384</v>
      </c>
      <c r="W28" s="55">
        <v>672</v>
      </c>
      <c r="X28" s="55">
        <v>144</v>
      </c>
      <c r="Y28" s="55">
        <v>384</v>
      </c>
      <c r="Z28" s="55">
        <v>336</v>
      </c>
      <c r="AA28" s="55">
        <v>228</v>
      </c>
      <c r="AB28" s="55">
        <v>576</v>
      </c>
      <c r="AC28" s="55">
        <v>0</v>
      </c>
      <c r="AD28" s="55">
        <v>1296</v>
      </c>
      <c r="AE28" s="55">
        <v>194</v>
      </c>
      <c r="AF28" s="55">
        <v>96</v>
      </c>
      <c r="AG28" s="55">
        <v>528</v>
      </c>
      <c r="AH28" s="55">
        <v>1536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</row>
    <row r="29" spans="1:44">
      <c r="A29" s="313"/>
      <c r="B29" s="37" t="s">
        <v>50</v>
      </c>
      <c r="C29" s="38" t="s">
        <v>48</v>
      </c>
      <c r="D29" s="73">
        <f t="shared" si="3"/>
        <v>71523</v>
      </c>
      <c r="E29" s="55">
        <v>0</v>
      </c>
      <c r="F29" s="55">
        <v>0</v>
      </c>
      <c r="G29" s="55"/>
      <c r="H29" s="55">
        <v>0</v>
      </c>
      <c r="I29" s="55">
        <v>3909</v>
      </c>
      <c r="J29" s="55">
        <v>1965</v>
      </c>
      <c r="K29" s="55">
        <v>822</v>
      </c>
      <c r="L29" s="55">
        <v>92</v>
      </c>
      <c r="M29" s="55">
        <v>734</v>
      </c>
      <c r="N29" s="55">
        <v>138</v>
      </c>
      <c r="O29" s="55">
        <v>276</v>
      </c>
      <c r="P29" s="55">
        <v>547</v>
      </c>
      <c r="Q29" s="55">
        <v>46</v>
      </c>
      <c r="R29" s="55">
        <v>46</v>
      </c>
      <c r="S29" s="55">
        <v>0</v>
      </c>
      <c r="T29" s="55">
        <v>732</v>
      </c>
      <c r="U29" s="55">
        <v>3015</v>
      </c>
      <c r="V29" s="55">
        <v>160</v>
      </c>
      <c r="W29" s="55">
        <v>3414</v>
      </c>
      <c r="X29" s="55">
        <v>5135</v>
      </c>
      <c r="Y29" s="55">
        <v>18992</v>
      </c>
      <c r="Z29" s="55">
        <v>3048</v>
      </c>
      <c r="AA29" s="55">
        <v>46</v>
      </c>
      <c r="AB29" s="55">
        <v>0</v>
      </c>
      <c r="AC29" s="55">
        <v>0</v>
      </c>
      <c r="AD29" s="55">
        <v>0</v>
      </c>
      <c r="AE29" s="55">
        <v>5944</v>
      </c>
      <c r="AF29" s="55">
        <v>8662</v>
      </c>
      <c r="AG29" s="55">
        <v>9171</v>
      </c>
      <c r="AH29" s="55">
        <v>4629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</row>
    <row r="31" spans="1:44">
      <c r="A31" s="313"/>
      <c r="B31" s="37" t="s">
        <v>52</v>
      </c>
      <c r="C31" s="38" t="s">
        <v>48</v>
      </c>
      <c r="D31" s="73">
        <f t="shared" si="3"/>
        <v>117396</v>
      </c>
      <c r="E31" s="55">
        <v>0</v>
      </c>
      <c r="F31" s="55">
        <v>0</v>
      </c>
      <c r="G31" s="55"/>
      <c r="H31" s="55">
        <v>416</v>
      </c>
      <c r="I31" s="55">
        <v>19072</v>
      </c>
      <c r="J31" s="55">
        <v>2312</v>
      </c>
      <c r="K31" s="55">
        <v>4626</v>
      </c>
      <c r="L31" s="55">
        <v>3636</v>
      </c>
      <c r="M31" s="55">
        <v>1908</v>
      </c>
      <c r="N31" s="55">
        <v>468</v>
      </c>
      <c r="O31" s="55">
        <v>4428</v>
      </c>
      <c r="P31" s="55">
        <v>1602</v>
      </c>
      <c r="Q31" s="55">
        <v>19442</v>
      </c>
      <c r="R31" s="55">
        <v>1242</v>
      </c>
      <c r="S31" s="55">
        <v>978</v>
      </c>
      <c r="T31" s="55">
        <v>7128</v>
      </c>
      <c r="U31" s="55">
        <v>7110</v>
      </c>
      <c r="V31" s="55">
        <v>694</v>
      </c>
      <c r="W31" s="55">
        <v>1360</v>
      </c>
      <c r="X31" s="55">
        <v>17092</v>
      </c>
      <c r="Y31" s="55">
        <v>7824</v>
      </c>
      <c r="Z31" s="55">
        <v>8540</v>
      </c>
      <c r="AA31" s="55">
        <v>0</v>
      </c>
      <c r="AB31" s="55">
        <v>0</v>
      </c>
      <c r="AC31" s="55">
        <v>0</v>
      </c>
      <c r="AD31" s="55">
        <v>0</v>
      </c>
      <c r="AE31" s="55">
        <v>1944</v>
      </c>
      <c r="AF31" s="55">
        <v>2216</v>
      </c>
      <c r="AG31" s="55">
        <v>1066</v>
      </c>
      <c r="AH31" s="55">
        <v>2292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53</v>
      </c>
      <c r="C32" s="38" t="s">
        <v>48</v>
      </c>
      <c r="D32" s="73">
        <f t="shared" si="3"/>
        <v>16830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502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16328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/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</row>
    <row r="34" spans="1:44">
      <c r="A34" s="313"/>
      <c r="B34" s="37" t="s">
        <v>55</v>
      </c>
      <c r="C34" s="38" t="s">
        <v>48</v>
      </c>
      <c r="D34" s="73">
        <f t="shared" si="3"/>
        <v>4652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165</v>
      </c>
      <c r="L34" s="55">
        <v>287</v>
      </c>
      <c r="M34" s="55">
        <v>125</v>
      </c>
      <c r="N34" s="55">
        <v>149</v>
      </c>
      <c r="O34" s="55">
        <v>290</v>
      </c>
      <c r="P34" s="55">
        <v>269</v>
      </c>
      <c r="Q34" s="55">
        <v>741</v>
      </c>
      <c r="R34" s="55">
        <v>210</v>
      </c>
      <c r="S34" s="55">
        <v>274</v>
      </c>
      <c r="T34" s="55">
        <v>164</v>
      </c>
      <c r="U34" s="55">
        <v>0</v>
      </c>
      <c r="V34" s="55">
        <v>165</v>
      </c>
      <c r="W34" s="55">
        <v>475</v>
      </c>
      <c r="X34" s="55">
        <v>40</v>
      </c>
      <c r="Y34" s="55">
        <v>0</v>
      </c>
      <c r="Z34" s="55">
        <v>223</v>
      </c>
      <c r="AA34" s="55">
        <v>342</v>
      </c>
      <c r="AB34" s="55">
        <v>273</v>
      </c>
      <c r="AC34" s="55">
        <v>225</v>
      </c>
      <c r="AD34" s="55">
        <v>235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</row>
    <row r="35" spans="1:44">
      <c r="A35" s="313"/>
      <c r="B35" s="37" t="s">
        <v>56</v>
      </c>
      <c r="C35" s="38" t="s">
        <v>48</v>
      </c>
      <c r="D35" s="73">
        <f t="shared" si="3"/>
        <v>940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40</v>
      </c>
      <c r="M35" s="55">
        <v>0</v>
      </c>
      <c r="N35" s="55">
        <v>0</v>
      </c>
      <c r="O35" s="55">
        <v>0</v>
      </c>
      <c r="P35" s="55">
        <v>60</v>
      </c>
      <c r="Q35" s="55">
        <v>260</v>
      </c>
      <c r="R35" s="55">
        <v>0</v>
      </c>
      <c r="S35" s="55">
        <v>80</v>
      </c>
      <c r="T35" s="55">
        <v>40</v>
      </c>
      <c r="U35" s="55">
        <v>0</v>
      </c>
      <c r="V35" s="55">
        <v>20</v>
      </c>
      <c r="W35" s="55">
        <v>120</v>
      </c>
      <c r="X35" s="55">
        <v>0</v>
      </c>
      <c r="Y35" s="55">
        <v>0</v>
      </c>
      <c r="Z35" s="55">
        <v>80</v>
      </c>
      <c r="AA35" s="55">
        <v>80</v>
      </c>
      <c r="AB35" s="55">
        <v>40</v>
      </c>
      <c r="AC35" s="55">
        <v>60</v>
      </c>
      <c r="AD35" s="55">
        <v>60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</row>
    <row r="38" spans="1:44">
      <c r="A38" s="314"/>
      <c r="B38" s="39" t="s">
        <v>59</v>
      </c>
      <c r="C38" s="40" t="s">
        <v>48</v>
      </c>
      <c r="D38" s="74">
        <f>SUM(E38:AR38)</f>
        <v>6791</v>
      </c>
      <c r="E38" s="55">
        <v>0</v>
      </c>
      <c r="F38" s="55">
        <v>0</v>
      </c>
      <c r="G38" s="55">
        <v>0</v>
      </c>
      <c r="H38" s="55">
        <v>0</v>
      </c>
      <c r="I38" s="55">
        <v>200</v>
      </c>
      <c r="J38" s="55">
        <v>150</v>
      </c>
      <c r="K38" s="55">
        <v>225</v>
      </c>
      <c r="L38" s="55">
        <v>350</v>
      </c>
      <c r="M38" s="55">
        <v>325</v>
      </c>
      <c r="N38" s="55">
        <v>350</v>
      </c>
      <c r="O38" s="55">
        <v>325</v>
      </c>
      <c r="P38" s="55">
        <v>250</v>
      </c>
      <c r="Q38" s="55">
        <v>275</v>
      </c>
      <c r="R38" s="55">
        <v>50</v>
      </c>
      <c r="S38" s="55">
        <v>150</v>
      </c>
      <c r="T38" s="55">
        <v>150</v>
      </c>
      <c r="U38" s="55">
        <v>369</v>
      </c>
      <c r="V38" s="55">
        <v>225</v>
      </c>
      <c r="W38" s="55">
        <v>337</v>
      </c>
      <c r="X38" s="55">
        <v>175</v>
      </c>
      <c r="Y38" s="55">
        <v>250</v>
      </c>
      <c r="Z38" s="55">
        <v>425</v>
      </c>
      <c r="AA38" s="55">
        <v>0</v>
      </c>
      <c r="AB38" s="55">
        <v>250</v>
      </c>
      <c r="AC38" s="55">
        <v>225</v>
      </c>
      <c r="AD38" s="55">
        <v>300</v>
      </c>
      <c r="AE38" s="55">
        <v>150</v>
      </c>
      <c r="AF38" s="55">
        <v>330</v>
      </c>
      <c r="AG38" s="55">
        <v>395</v>
      </c>
      <c r="AH38" s="55">
        <v>560</v>
      </c>
      <c r="AI38" s="55">
        <v>0</v>
      </c>
      <c r="AJ38" s="55">
        <v>0</v>
      </c>
      <c r="AK38" s="55">
        <v>0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</row>
    <row r="39" spans="1:44">
      <c r="A39" s="164"/>
      <c r="B39" s="94" t="s">
        <v>149</v>
      </c>
      <c r="C39" s="166"/>
      <c r="D39" s="180">
        <f t="shared" ref="D39:AR39" si="4">D37/D26</f>
        <v>0</v>
      </c>
      <c r="E39" s="170" t="e">
        <f t="shared" si="4"/>
        <v>#DIV/0!</v>
      </c>
      <c r="F39" s="170" t="e">
        <f t="shared" si="4"/>
        <v>#DIV/0!</v>
      </c>
      <c r="G39" s="170" t="e">
        <f t="shared" si="4"/>
        <v>#DIV/0!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>
        <f t="shared" si="4"/>
        <v>0</v>
      </c>
      <c r="AG39" s="170">
        <f t="shared" si="4"/>
        <v>0</v>
      </c>
      <c r="AH39" s="170">
        <f t="shared" si="4"/>
        <v>0</v>
      </c>
      <c r="AI39" s="170" t="e">
        <f t="shared" si="4"/>
        <v>#DIV/0!</v>
      </c>
      <c r="AJ39" s="170" t="e">
        <f t="shared" si="4"/>
        <v>#DIV/0!</v>
      </c>
      <c r="AK39" s="170" t="e">
        <f t="shared" si="4"/>
        <v>#DIV/0!</v>
      </c>
      <c r="AL39" s="170" t="e">
        <f t="shared" si="4"/>
        <v>#DIV/0!</v>
      </c>
      <c r="AM39" s="170" t="e">
        <f t="shared" si="4"/>
        <v>#DIV/0!</v>
      </c>
      <c r="AN39" s="170" t="e">
        <f t="shared" si="4"/>
        <v>#DIV/0!</v>
      </c>
      <c r="AO39" s="170" t="e">
        <f t="shared" si="4"/>
        <v>#DIV/0!</v>
      </c>
      <c r="AP39" s="170" t="e">
        <f t="shared" si="4"/>
        <v>#DIV/0!</v>
      </c>
      <c r="AQ39" s="170" t="e">
        <f t="shared" si="4"/>
        <v>#DIV/0!</v>
      </c>
      <c r="AR39" s="170" t="e">
        <f t="shared" si="4"/>
        <v>#DIV/0!</v>
      </c>
    </row>
    <row r="40" spans="1:4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</row>
    <row r="41" spans="1:44">
      <c r="A41" s="324" t="s">
        <v>60</v>
      </c>
      <c r="B41" s="50" t="s">
        <v>61</v>
      </c>
      <c r="C41" s="91" t="s">
        <v>62</v>
      </c>
      <c r="D41" s="81">
        <f>SUM(E41:AR41)</f>
        <v>454000</v>
      </c>
      <c r="E41" s="86">
        <v>5000</v>
      </c>
      <c r="F41" s="86">
        <v>12000</v>
      </c>
      <c r="G41" s="86">
        <v>14000</v>
      </c>
      <c r="H41" s="86">
        <v>14000</v>
      </c>
      <c r="I41" s="86">
        <v>16000</v>
      </c>
      <c r="J41" s="86">
        <v>14000</v>
      </c>
      <c r="K41" s="86">
        <v>15000</v>
      </c>
      <c r="L41" s="86">
        <v>15000</v>
      </c>
      <c r="M41" s="86">
        <v>14000</v>
      </c>
      <c r="N41" s="86">
        <v>16000</v>
      </c>
      <c r="O41" s="86">
        <v>15000</v>
      </c>
      <c r="P41" s="86">
        <v>14000</v>
      </c>
      <c r="Q41" s="86">
        <v>15000</v>
      </c>
      <c r="R41" s="86">
        <v>15000</v>
      </c>
      <c r="S41" s="86">
        <v>14000</v>
      </c>
      <c r="T41" s="86">
        <v>16000</v>
      </c>
      <c r="U41" s="86">
        <v>15000</v>
      </c>
      <c r="V41" s="86">
        <v>14000</v>
      </c>
      <c r="W41" s="86">
        <v>15000</v>
      </c>
      <c r="X41" s="86">
        <v>13000</v>
      </c>
      <c r="Y41" s="86">
        <v>16000</v>
      </c>
      <c r="Z41" s="86">
        <v>16000</v>
      </c>
      <c r="AA41" s="86">
        <v>15000</v>
      </c>
      <c r="AB41" s="86">
        <v>16000</v>
      </c>
      <c r="AC41" s="86">
        <v>15000</v>
      </c>
      <c r="AD41" s="86">
        <v>16000</v>
      </c>
      <c r="AE41" s="86">
        <v>15000</v>
      </c>
      <c r="AF41" s="86">
        <v>15000</v>
      </c>
      <c r="AG41" s="86">
        <v>14000</v>
      </c>
      <c r="AH41" s="86">
        <v>14000</v>
      </c>
      <c r="AI41" s="86">
        <v>11000</v>
      </c>
      <c r="AJ41" s="86">
        <v>6000</v>
      </c>
      <c r="AK41" s="86">
        <v>4000</v>
      </c>
      <c r="AL41" s="86">
        <v>0</v>
      </c>
      <c r="AM41" s="86">
        <v>0</v>
      </c>
      <c r="AN41" s="86">
        <v>0</v>
      </c>
      <c r="AO41" s="86">
        <v>0</v>
      </c>
      <c r="AP41" s="86">
        <v>0</v>
      </c>
      <c r="AQ41" s="86">
        <v>0</v>
      </c>
      <c r="AR41" s="86">
        <v>0</v>
      </c>
    </row>
    <row r="42" spans="1:44">
      <c r="A42" s="325"/>
      <c r="B42" s="39" t="s">
        <v>63</v>
      </c>
      <c r="C42" s="92" t="s">
        <v>62</v>
      </c>
      <c r="D42" s="82">
        <f>SUM(E42:AR42)</f>
        <v>700</v>
      </c>
      <c r="E42" s="87">
        <v>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200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200</v>
      </c>
      <c r="T42" s="87">
        <v>0</v>
      </c>
      <c r="U42" s="87">
        <v>0</v>
      </c>
      <c r="V42" s="87"/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300</v>
      </c>
      <c r="AE42" s="87">
        <v>0</v>
      </c>
      <c r="AF42" s="87">
        <v>0</v>
      </c>
      <c r="AG42" s="87">
        <v>0</v>
      </c>
      <c r="AH42" s="87">
        <v>0</v>
      </c>
      <c r="AI42" s="87">
        <v>0</v>
      </c>
      <c r="AJ42" s="87">
        <v>0</v>
      </c>
      <c r="AK42" s="87">
        <v>0</v>
      </c>
      <c r="AL42" s="87"/>
      <c r="AM42" s="87">
        <v>0</v>
      </c>
      <c r="AN42" s="87">
        <v>0</v>
      </c>
      <c r="AO42" s="87">
        <v>0</v>
      </c>
      <c r="AP42" s="87">
        <v>0</v>
      </c>
      <c r="AQ42" s="87">
        <v>0</v>
      </c>
      <c r="AR42" s="87">
        <v>0</v>
      </c>
    </row>
    <row r="44" spans="1:44">
      <c r="B44" s="167" t="s">
        <v>240</v>
      </c>
      <c r="C44" s="184" t="s">
        <v>241</v>
      </c>
      <c r="D44" s="187">
        <f>D41/D26</f>
        <v>0.59317095605047443</v>
      </c>
      <c r="E44" s="185" t="e">
        <f t="shared" ref="E44:AR44" si="5">E41/E26</f>
        <v>#DIV/0!</v>
      </c>
      <c r="F44" s="188" t="e">
        <f t="shared" si="5"/>
        <v>#DIV/0!</v>
      </c>
      <c r="G44" s="186" t="e">
        <f t="shared" si="5"/>
        <v>#DIV/0!</v>
      </c>
      <c r="H44" s="188">
        <f t="shared" si="5"/>
        <v>3.9829302987197726</v>
      </c>
      <c r="I44" s="186">
        <f t="shared" si="5"/>
        <v>0.33748866249024445</v>
      </c>
      <c r="J44" s="188">
        <f t="shared" si="5"/>
        <v>0.39703922180312529</v>
      </c>
      <c r="K44" s="186">
        <f t="shared" si="5"/>
        <v>0.45931959457390453</v>
      </c>
      <c r="L44" s="188">
        <f t="shared" si="5"/>
        <v>0.54091089394540404</v>
      </c>
      <c r="M44" s="186">
        <f t="shared" si="5"/>
        <v>0.38005266444064389</v>
      </c>
      <c r="N44" s="188">
        <f t="shared" si="5"/>
        <v>0.49664762850757388</v>
      </c>
      <c r="O44" s="186">
        <f t="shared" si="5"/>
        <v>0.49355093445643589</v>
      </c>
      <c r="P44" s="188">
        <f t="shared" si="5"/>
        <v>0.69790628115653042</v>
      </c>
      <c r="Q44" s="186">
        <f t="shared" si="5"/>
        <v>0.41367898510755652</v>
      </c>
      <c r="R44" s="188">
        <f t="shared" si="5"/>
        <v>1.0660223154004691</v>
      </c>
      <c r="S44" s="186">
        <f t="shared" si="5"/>
        <v>1.1208967173738991</v>
      </c>
      <c r="T44" s="188">
        <f t="shared" si="5"/>
        <v>1.1023079572855667</v>
      </c>
      <c r="U44" s="186">
        <f t="shared" si="5"/>
        <v>0.90898072960853227</v>
      </c>
      <c r="V44" s="188">
        <f t="shared" si="5"/>
        <v>2.0482809070958301</v>
      </c>
      <c r="W44" s="186">
        <f t="shared" si="5"/>
        <v>1.0436234606553956</v>
      </c>
      <c r="X44" s="188">
        <f t="shared" si="5"/>
        <v>0.36512751376249858</v>
      </c>
      <c r="Y44" s="186">
        <f t="shared" si="5"/>
        <v>0.43715846994535518</v>
      </c>
      <c r="Z44" s="188">
        <f t="shared" si="5"/>
        <v>0.84423807513718874</v>
      </c>
      <c r="AA44" s="186">
        <f t="shared" si="5"/>
        <v>0.25762572135201978</v>
      </c>
      <c r="AB44" s="188">
        <f t="shared" si="5"/>
        <v>0.20145805265609851</v>
      </c>
      <c r="AC44" s="186">
        <f t="shared" si="5"/>
        <v>0.36015270474681266</v>
      </c>
      <c r="AD44" s="188">
        <f t="shared" si="5"/>
        <v>0.34101323557620578</v>
      </c>
      <c r="AE44" s="186">
        <f t="shared" si="5"/>
        <v>0.52655597289991929</v>
      </c>
      <c r="AF44" s="188">
        <f t="shared" si="5"/>
        <v>1.2033694344163659</v>
      </c>
      <c r="AG44" s="186">
        <f t="shared" si="5"/>
        <v>1.0516826923076923</v>
      </c>
      <c r="AH44" s="188">
        <f t="shared" si="5"/>
        <v>1.1092623405435384</v>
      </c>
      <c r="AI44" s="186" t="e">
        <f t="shared" si="5"/>
        <v>#DIV/0!</v>
      </c>
      <c r="AJ44" s="188" t="e">
        <f t="shared" si="5"/>
        <v>#DIV/0!</v>
      </c>
      <c r="AK44" s="186" t="e">
        <f t="shared" si="5"/>
        <v>#DIV/0!</v>
      </c>
      <c r="AL44" s="188" t="e">
        <f t="shared" si="5"/>
        <v>#DIV/0!</v>
      </c>
      <c r="AM44" s="186" t="e">
        <f t="shared" si="5"/>
        <v>#DIV/0!</v>
      </c>
      <c r="AN44" s="188" t="e">
        <f t="shared" si="5"/>
        <v>#DIV/0!</v>
      </c>
      <c r="AO44" s="186" t="e">
        <f t="shared" si="5"/>
        <v>#DIV/0!</v>
      </c>
      <c r="AP44" s="188" t="e">
        <f t="shared" si="5"/>
        <v>#DIV/0!</v>
      </c>
      <c r="AQ44" s="186" t="e">
        <f t="shared" si="5"/>
        <v>#DIV/0!</v>
      </c>
      <c r="AR44" s="188" t="e">
        <f t="shared" si="5"/>
        <v>#DIV/0!</v>
      </c>
    </row>
    <row r="46" spans="1:44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</row>
    <row r="47" spans="1:44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</row>
    <row r="48" spans="1:44">
      <c r="A48" s="313"/>
      <c r="B48" s="94" t="s">
        <v>67</v>
      </c>
      <c r="C48" s="38" t="s">
        <v>8</v>
      </c>
      <c r="D48" s="182">
        <f t="shared" ref="D48:D51" si="6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</row>
    <row r="49" spans="1:44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</row>
    <row r="50" spans="1:44">
      <c r="A50" s="313"/>
      <c r="B50" s="93" t="s">
        <v>69</v>
      </c>
      <c r="C50" s="91" t="s">
        <v>48</v>
      </c>
      <c r="D50" s="181">
        <f t="shared" si="6"/>
        <v>200000</v>
      </c>
      <c r="E50" s="86">
        <v>0</v>
      </c>
      <c r="F50" s="86"/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130000</v>
      </c>
      <c r="Z50" s="86">
        <v>0</v>
      </c>
      <c r="AA50" s="86">
        <v>66000</v>
      </c>
      <c r="AB50" s="86">
        <v>4000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/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</row>
    <row r="51" spans="1:44">
      <c r="A51" s="314"/>
      <c r="B51" s="95" t="s">
        <v>70</v>
      </c>
      <c r="C51" s="92" t="s">
        <v>48</v>
      </c>
      <c r="D51" s="183">
        <f t="shared" si="6"/>
        <v>11300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8200</v>
      </c>
      <c r="X51" s="87">
        <v>0</v>
      </c>
      <c r="Y51" s="87">
        <v>2100</v>
      </c>
      <c r="Z51" s="87">
        <v>0</v>
      </c>
      <c r="AA51" s="87">
        <v>500</v>
      </c>
      <c r="AB51" s="87">
        <v>500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/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</row>
    <row r="52" spans="1:4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</row>
    <row r="54" spans="1:4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</row>
    <row r="55" spans="1:4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</row>
    <row r="56" spans="1:4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</row>
    <row r="57" spans="1:4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515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</row>
    <row r="59" spans="1:44" ht="15.75">
      <c r="B59" s="53" t="s">
        <v>83</v>
      </c>
      <c r="C59" s="99" t="s">
        <v>84</v>
      </c>
      <c r="D59" s="100">
        <f>SUM(D60:D72)</f>
        <v>39286501</v>
      </c>
      <c r="E59" s="101">
        <f>SUM(E60:E72)</f>
        <v>0</v>
      </c>
      <c r="F59" s="101">
        <f t="shared" ref="F59:AR59" si="7">SUM(F60:F72)</f>
        <v>0</v>
      </c>
      <c r="G59" s="101">
        <f t="shared" si="7"/>
        <v>0</v>
      </c>
      <c r="H59" s="101">
        <f t="shared" si="7"/>
        <v>200507</v>
      </c>
      <c r="I59" s="101">
        <f t="shared" si="7"/>
        <v>1883187</v>
      </c>
      <c r="J59" s="101">
        <f t="shared" si="7"/>
        <v>2019245</v>
      </c>
      <c r="K59" s="101">
        <f t="shared" si="7"/>
        <v>1776526</v>
      </c>
      <c r="L59" s="101">
        <f t="shared" si="7"/>
        <v>1549361</v>
      </c>
      <c r="M59" s="101">
        <f t="shared" si="7"/>
        <v>2192862</v>
      </c>
      <c r="N59" s="101">
        <f t="shared" si="7"/>
        <v>1983914</v>
      </c>
      <c r="O59" s="101">
        <f t="shared" si="7"/>
        <v>1648125</v>
      </c>
      <c r="P59" s="101">
        <f t="shared" si="7"/>
        <v>1151672</v>
      </c>
      <c r="Q59" s="101">
        <f t="shared" si="7"/>
        <v>1311087</v>
      </c>
      <c r="R59" s="101">
        <f t="shared" si="7"/>
        <v>824573</v>
      </c>
      <c r="S59" s="101">
        <f t="shared" si="7"/>
        <v>730152</v>
      </c>
      <c r="T59" s="101">
        <f t="shared" si="7"/>
        <v>509305</v>
      </c>
      <c r="U59" s="101">
        <f t="shared" si="7"/>
        <v>505909</v>
      </c>
      <c r="V59" s="101">
        <f t="shared" si="7"/>
        <v>375280</v>
      </c>
      <c r="W59" s="101">
        <f t="shared" si="7"/>
        <v>642690</v>
      </c>
      <c r="X59" s="101">
        <f t="shared" si="7"/>
        <v>1174889</v>
      </c>
      <c r="Y59" s="101">
        <f t="shared" si="7"/>
        <v>1072098</v>
      </c>
      <c r="Z59" s="101">
        <f t="shared" si="7"/>
        <v>611129</v>
      </c>
      <c r="AA59" s="101">
        <f t="shared" si="7"/>
        <v>3772920</v>
      </c>
      <c r="AB59" s="101">
        <f t="shared" si="7"/>
        <v>5128607</v>
      </c>
      <c r="AC59" s="101">
        <f t="shared" si="7"/>
        <v>2693310</v>
      </c>
      <c r="AD59" s="101">
        <f t="shared" si="7"/>
        <v>2988967</v>
      </c>
      <c r="AE59" s="101">
        <f t="shared" si="7"/>
        <v>809371</v>
      </c>
      <c r="AF59" s="101">
        <f t="shared" si="7"/>
        <v>275223</v>
      </c>
      <c r="AG59" s="101">
        <f t="shared" si="7"/>
        <v>348833</v>
      </c>
      <c r="AH59" s="101">
        <f t="shared" si="7"/>
        <v>406759</v>
      </c>
      <c r="AI59" s="101">
        <f t="shared" si="7"/>
        <v>0</v>
      </c>
      <c r="AJ59" s="101">
        <f t="shared" si="7"/>
        <v>0</v>
      </c>
      <c r="AK59" s="101">
        <f t="shared" si="7"/>
        <v>0</v>
      </c>
      <c r="AL59" s="101">
        <f t="shared" si="7"/>
        <v>0</v>
      </c>
      <c r="AM59" s="101">
        <f t="shared" si="7"/>
        <v>0</v>
      </c>
      <c r="AN59" s="101">
        <f t="shared" si="7"/>
        <v>0</v>
      </c>
      <c r="AO59" s="101">
        <f t="shared" si="7"/>
        <v>0</v>
      </c>
      <c r="AP59" s="101">
        <f t="shared" si="7"/>
        <v>0</v>
      </c>
      <c r="AQ59" s="101">
        <f t="shared" si="7"/>
        <v>0</v>
      </c>
      <c r="AR59" s="101">
        <f t="shared" si="7"/>
        <v>0</v>
      </c>
    </row>
    <row r="60" spans="1:44">
      <c r="B60" s="96" t="s">
        <v>47</v>
      </c>
      <c r="C60" s="111">
        <v>65</v>
      </c>
      <c r="D60" s="97">
        <f>D27*$C60</f>
        <v>34195720</v>
      </c>
      <c r="E60" s="104">
        <f t="shared" ref="E60:AR71" si="8">E27*$C60</f>
        <v>0</v>
      </c>
      <c r="F60" s="104">
        <f t="shared" si="8"/>
        <v>0</v>
      </c>
      <c r="G60" s="104">
        <f t="shared" si="8"/>
        <v>0</v>
      </c>
      <c r="H60" s="104">
        <f t="shared" si="8"/>
        <v>188955</v>
      </c>
      <c r="I60" s="104">
        <f t="shared" si="8"/>
        <v>1543620</v>
      </c>
      <c r="J60" s="104">
        <f t="shared" si="8"/>
        <v>1898130</v>
      </c>
      <c r="K60" s="104">
        <f t="shared" si="8"/>
        <v>1634035</v>
      </c>
      <c r="L60" s="104">
        <f t="shared" si="8"/>
        <v>1438190</v>
      </c>
      <c r="M60" s="104">
        <f t="shared" si="8"/>
        <v>2093585</v>
      </c>
      <c r="N60" s="104">
        <f t="shared" si="8"/>
        <v>1903655</v>
      </c>
      <c r="O60" s="104">
        <f t="shared" si="8"/>
        <v>1498705</v>
      </c>
      <c r="P60" s="104">
        <f t="shared" si="8"/>
        <v>1070420</v>
      </c>
      <c r="Q60" s="104">
        <f t="shared" si="8"/>
        <v>985400</v>
      </c>
      <c r="R60" s="104">
        <f t="shared" si="8"/>
        <v>773435</v>
      </c>
      <c r="S60" s="104">
        <f t="shared" si="8"/>
        <v>674960</v>
      </c>
      <c r="T60" s="104">
        <f t="shared" si="8"/>
        <v>369005</v>
      </c>
      <c r="U60" s="104">
        <f t="shared" si="8"/>
        <v>315640</v>
      </c>
      <c r="V60" s="104">
        <f t="shared" si="8"/>
        <v>337155</v>
      </c>
      <c r="W60" s="104">
        <f t="shared" si="8"/>
        <v>487045</v>
      </c>
      <c r="X60" s="104">
        <f t="shared" si="8"/>
        <v>846170</v>
      </c>
      <c r="Y60" s="104">
        <f t="shared" si="8"/>
        <v>594750</v>
      </c>
      <c r="Z60" s="104">
        <f t="shared" si="8"/>
        <v>409500</v>
      </c>
      <c r="AA60" s="104">
        <f t="shared" si="8"/>
        <v>3739320</v>
      </c>
      <c r="AB60" s="104">
        <f t="shared" si="8"/>
        <v>5088330</v>
      </c>
      <c r="AC60" s="104">
        <f t="shared" si="8"/>
        <v>2674035</v>
      </c>
      <c r="AD60" s="104">
        <f t="shared" si="8"/>
        <v>2926820</v>
      </c>
      <c r="AE60" s="104">
        <f t="shared" si="8"/>
        <v>255255</v>
      </c>
      <c r="AF60" s="104">
        <f t="shared" si="8"/>
        <v>75465</v>
      </c>
      <c r="AG60" s="104">
        <f t="shared" si="8"/>
        <v>139880</v>
      </c>
      <c r="AH60" s="104">
        <f t="shared" si="8"/>
        <v>234260</v>
      </c>
      <c r="AI60" s="104">
        <f t="shared" si="8"/>
        <v>0</v>
      </c>
      <c r="AJ60" s="104">
        <f t="shared" si="8"/>
        <v>0</v>
      </c>
      <c r="AK60" s="104">
        <f t="shared" si="8"/>
        <v>0</v>
      </c>
      <c r="AL60" s="104">
        <f t="shared" si="8"/>
        <v>0</v>
      </c>
      <c r="AM60" s="104">
        <f t="shared" si="8"/>
        <v>0</v>
      </c>
      <c r="AN60" s="104">
        <f t="shared" si="8"/>
        <v>0</v>
      </c>
      <c r="AO60" s="104">
        <f t="shared" si="8"/>
        <v>0</v>
      </c>
      <c r="AP60" s="104">
        <f t="shared" si="8"/>
        <v>0</v>
      </c>
      <c r="AQ60" s="104">
        <f t="shared" si="8"/>
        <v>0</v>
      </c>
      <c r="AR60" s="104">
        <f t="shared" si="8"/>
        <v>0</v>
      </c>
    </row>
    <row r="61" spans="1:44">
      <c r="B61" s="96" t="s">
        <v>49</v>
      </c>
      <c r="C61" s="111">
        <v>32</v>
      </c>
      <c r="D61" s="97">
        <f t="shared" ref="D61:AJ68" si="9">D28*$C61</f>
        <v>677056</v>
      </c>
      <c r="E61" s="104">
        <f t="shared" si="9"/>
        <v>0</v>
      </c>
      <c r="F61" s="104">
        <f t="shared" si="9"/>
        <v>0</v>
      </c>
      <c r="G61" s="104">
        <f t="shared" si="9"/>
        <v>0</v>
      </c>
      <c r="H61" s="104">
        <f t="shared" si="9"/>
        <v>6144</v>
      </c>
      <c r="I61" s="104">
        <f t="shared" si="9"/>
        <v>15360</v>
      </c>
      <c r="J61" s="104">
        <f t="shared" si="9"/>
        <v>52224</v>
      </c>
      <c r="K61" s="104">
        <f t="shared" si="9"/>
        <v>53760</v>
      </c>
      <c r="L61" s="104">
        <f t="shared" si="9"/>
        <v>38400</v>
      </c>
      <c r="M61" s="104">
        <f t="shared" si="9"/>
        <v>49152</v>
      </c>
      <c r="N61" s="104">
        <f t="shared" si="9"/>
        <v>58368</v>
      </c>
      <c r="O61" s="104">
        <f t="shared" si="9"/>
        <v>64512</v>
      </c>
      <c r="P61" s="104">
        <f t="shared" si="9"/>
        <v>27648</v>
      </c>
      <c r="Q61" s="104">
        <f t="shared" si="9"/>
        <v>10752</v>
      </c>
      <c r="R61" s="104">
        <f t="shared" si="9"/>
        <v>19968</v>
      </c>
      <c r="S61" s="104">
        <f t="shared" si="9"/>
        <v>19968</v>
      </c>
      <c r="T61" s="104">
        <f t="shared" si="9"/>
        <v>19968</v>
      </c>
      <c r="U61" s="104">
        <f t="shared" si="9"/>
        <v>36864</v>
      </c>
      <c r="V61" s="104">
        <f t="shared" si="9"/>
        <v>12288</v>
      </c>
      <c r="W61" s="104">
        <f t="shared" si="9"/>
        <v>21504</v>
      </c>
      <c r="X61" s="104">
        <f t="shared" si="9"/>
        <v>4608</v>
      </c>
      <c r="Y61" s="104">
        <f t="shared" si="9"/>
        <v>12288</v>
      </c>
      <c r="Z61" s="104">
        <f t="shared" si="9"/>
        <v>10752</v>
      </c>
      <c r="AA61" s="104">
        <f t="shared" si="9"/>
        <v>7296</v>
      </c>
      <c r="AB61" s="104">
        <f t="shared" si="9"/>
        <v>18432</v>
      </c>
      <c r="AC61" s="104">
        <f t="shared" si="9"/>
        <v>0</v>
      </c>
      <c r="AD61" s="104">
        <f t="shared" si="9"/>
        <v>41472</v>
      </c>
      <c r="AE61" s="104">
        <f t="shared" si="9"/>
        <v>6208</v>
      </c>
      <c r="AF61" s="104">
        <f t="shared" si="9"/>
        <v>3072</v>
      </c>
      <c r="AG61" s="104">
        <f t="shared" si="9"/>
        <v>16896</v>
      </c>
      <c r="AH61" s="104">
        <f t="shared" si="9"/>
        <v>49152</v>
      </c>
      <c r="AI61" s="104">
        <f t="shared" si="9"/>
        <v>0</v>
      </c>
      <c r="AJ61" s="104">
        <f t="shared" si="9"/>
        <v>0</v>
      </c>
      <c r="AK61" s="104">
        <f t="shared" si="8"/>
        <v>0</v>
      </c>
      <c r="AL61" s="104">
        <f t="shared" si="8"/>
        <v>0</v>
      </c>
      <c r="AM61" s="104">
        <f t="shared" si="8"/>
        <v>0</v>
      </c>
      <c r="AN61" s="104">
        <f t="shared" si="8"/>
        <v>0</v>
      </c>
      <c r="AO61" s="104">
        <f t="shared" si="8"/>
        <v>0</v>
      </c>
      <c r="AP61" s="104">
        <f t="shared" si="8"/>
        <v>0</v>
      </c>
      <c r="AQ61" s="104">
        <f t="shared" si="8"/>
        <v>0</v>
      </c>
      <c r="AR61" s="104">
        <f t="shared" si="8"/>
        <v>0</v>
      </c>
    </row>
    <row r="62" spans="1:44">
      <c r="B62" s="96" t="s">
        <v>50</v>
      </c>
      <c r="C62" s="111">
        <v>19</v>
      </c>
      <c r="D62" s="97">
        <f t="shared" si="9"/>
        <v>1358937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74271</v>
      </c>
      <c r="J62" s="104">
        <f t="shared" si="9"/>
        <v>37335</v>
      </c>
      <c r="K62" s="104">
        <f t="shared" si="9"/>
        <v>15618</v>
      </c>
      <c r="L62" s="104">
        <f t="shared" si="9"/>
        <v>1748</v>
      </c>
      <c r="M62" s="104">
        <f t="shared" si="9"/>
        <v>13946</v>
      </c>
      <c r="N62" s="104">
        <f t="shared" si="9"/>
        <v>2622</v>
      </c>
      <c r="O62" s="104">
        <f t="shared" si="9"/>
        <v>5244</v>
      </c>
      <c r="P62" s="104">
        <f t="shared" si="9"/>
        <v>10393</v>
      </c>
      <c r="Q62" s="104">
        <f t="shared" si="9"/>
        <v>874</v>
      </c>
      <c r="R62" s="104">
        <f t="shared" si="9"/>
        <v>874</v>
      </c>
      <c r="S62" s="104">
        <f t="shared" si="9"/>
        <v>0</v>
      </c>
      <c r="T62" s="104">
        <f t="shared" si="9"/>
        <v>13908</v>
      </c>
      <c r="U62" s="104">
        <f t="shared" si="9"/>
        <v>57285</v>
      </c>
      <c r="V62" s="104">
        <f t="shared" si="9"/>
        <v>3040</v>
      </c>
      <c r="W62" s="104">
        <f t="shared" si="9"/>
        <v>64866</v>
      </c>
      <c r="X62" s="104">
        <f t="shared" si="9"/>
        <v>97565</v>
      </c>
      <c r="Y62" s="104">
        <f t="shared" si="9"/>
        <v>360848</v>
      </c>
      <c r="Z62" s="104">
        <f t="shared" si="9"/>
        <v>57912</v>
      </c>
      <c r="AA62" s="104">
        <f t="shared" si="9"/>
        <v>874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112936</v>
      </c>
      <c r="AF62" s="104">
        <f t="shared" si="9"/>
        <v>164578</v>
      </c>
      <c r="AG62" s="104">
        <f t="shared" si="9"/>
        <v>174249</v>
      </c>
      <c r="AH62" s="104">
        <f t="shared" si="9"/>
        <v>87951</v>
      </c>
      <c r="AI62" s="104">
        <f t="shared" si="9"/>
        <v>0</v>
      </c>
      <c r="AJ62" s="104">
        <f t="shared" si="9"/>
        <v>0</v>
      </c>
      <c r="AK62" s="104">
        <f t="shared" si="8"/>
        <v>0</v>
      </c>
      <c r="AL62" s="104">
        <f t="shared" si="8"/>
        <v>0</v>
      </c>
      <c r="AM62" s="104">
        <f t="shared" si="8"/>
        <v>0</v>
      </c>
      <c r="AN62" s="104">
        <f t="shared" si="8"/>
        <v>0</v>
      </c>
      <c r="AO62" s="104">
        <f t="shared" si="8"/>
        <v>0</v>
      </c>
      <c r="AP62" s="104">
        <f t="shared" si="8"/>
        <v>0</v>
      </c>
      <c r="AQ62" s="104">
        <f t="shared" si="8"/>
        <v>0</v>
      </c>
      <c r="AR62" s="104">
        <f t="shared" si="8"/>
        <v>0</v>
      </c>
    </row>
    <row r="63" spans="1:44">
      <c r="B63" s="96" t="s">
        <v>51</v>
      </c>
      <c r="C63" s="111">
        <v>15</v>
      </c>
      <c r="D63" s="97">
        <f t="shared" si="9"/>
        <v>0</v>
      </c>
      <c r="E63" s="104">
        <f t="shared" si="9"/>
        <v>0</v>
      </c>
      <c r="F63" s="104">
        <f t="shared" si="9"/>
        <v>0</v>
      </c>
      <c r="G63" s="104">
        <f t="shared" si="9"/>
        <v>0</v>
      </c>
      <c r="H63" s="104">
        <f t="shared" si="9"/>
        <v>0</v>
      </c>
      <c r="I63" s="104">
        <f t="shared" si="9"/>
        <v>0</v>
      </c>
      <c r="J63" s="104">
        <f t="shared" si="9"/>
        <v>0</v>
      </c>
      <c r="K63" s="104">
        <f t="shared" si="9"/>
        <v>0</v>
      </c>
      <c r="L63" s="104">
        <f t="shared" si="9"/>
        <v>0</v>
      </c>
      <c r="M63" s="104">
        <f t="shared" si="9"/>
        <v>0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  <c r="AG63" s="104">
        <f t="shared" si="9"/>
        <v>0</v>
      </c>
      <c r="AH63" s="104">
        <f t="shared" si="9"/>
        <v>0</v>
      </c>
      <c r="AI63" s="104">
        <f t="shared" si="9"/>
        <v>0</v>
      </c>
      <c r="AJ63" s="104">
        <f t="shared" si="9"/>
        <v>0</v>
      </c>
      <c r="AK63" s="104">
        <f t="shared" si="8"/>
        <v>0</v>
      </c>
      <c r="AL63" s="104">
        <f t="shared" si="8"/>
        <v>0</v>
      </c>
      <c r="AM63" s="104">
        <f t="shared" si="8"/>
        <v>0</v>
      </c>
      <c r="AN63" s="104">
        <f t="shared" si="8"/>
        <v>0</v>
      </c>
      <c r="AO63" s="104">
        <f t="shared" si="8"/>
        <v>0</v>
      </c>
      <c r="AP63" s="104">
        <f t="shared" si="8"/>
        <v>0</v>
      </c>
      <c r="AQ63" s="104">
        <f t="shared" si="8"/>
        <v>0</v>
      </c>
      <c r="AR63" s="104">
        <f t="shared" si="8"/>
        <v>0</v>
      </c>
    </row>
    <row r="64" spans="1:44">
      <c r="B64" s="96" t="s">
        <v>52</v>
      </c>
      <c r="C64" s="111">
        <v>13</v>
      </c>
      <c r="D64" s="97">
        <f t="shared" si="9"/>
        <v>1526148</v>
      </c>
      <c r="E64" s="104">
        <f t="shared" si="9"/>
        <v>0</v>
      </c>
      <c r="F64" s="104">
        <f t="shared" si="9"/>
        <v>0</v>
      </c>
      <c r="G64" s="104">
        <f t="shared" si="9"/>
        <v>0</v>
      </c>
      <c r="H64" s="104">
        <f t="shared" si="9"/>
        <v>5408</v>
      </c>
      <c r="I64" s="104">
        <f t="shared" si="9"/>
        <v>247936</v>
      </c>
      <c r="J64" s="104">
        <f t="shared" si="9"/>
        <v>30056</v>
      </c>
      <c r="K64" s="104">
        <f t="shared" si="9"/>
        <v>60138</v>
      </c>
      <c r="L64" s="104">
        <f t="shared" si="9"/>
        <v>47268</v>
      </c>
      <c r="M64" s="104">
        <f t="shared" si="9"/>
        <v>24804</v>
      </c>
      <c r="N64" s="104">
        <f t="shared" si="9"/>
        <v>6084</v>
      </c>
      <c r="O64" s="104">
        <f t="shared" si="9"/>
        <v>57564</v>
      </c>
      <c r="P64" s="104">
        <f t="shared" si="9"/>
        <v>20826</v>
      </c>
      <c r="Q64" s="104">
        <f t="shared" si="9"/>
        <v>252746</v>
      </c>
      <c r="R64" s="104">
        <f t="shared" si="9"/>
        <v>16146</v>
      </c>
      <c r="S64" s="104">
        <f t="shared" si="9"/>
        <v>12714</v>
      </c>
      <c r="T64" s="104">
        <f t="shared" si="9"/>
        <v>92664</v>
      </c>
      <c r="U64" s="104">
        <f t="shared" si="9"/>
        <v>92430</v>
      </c>
      <c r="V64" s="104">
        <f t="shared" si="9"/>
        <v>9022</v>
      </c>
      <c r="W64" s="104">
        <f t="shared" si="9"/>
        <v>17680</v>
      </c>
      <c r="X64" s="104">
        <f t="shared" si="9"/>
        <v>222196</v>
      </c>
      <c r="Y64" s="104">
        <f t="shared" si="9"/>
        <v>101712</v>
      </c>
      <c r="Z64" s="104">
        <f t="shared" si="9"/>
        <v>111020</v>
      </c>
      <c r="AA64" s="104">
        <f t="shared" si="9"/>
        <v>0</v>
      </c>
      <c r="AB64" s="104">
        <f t="shared" si="9"/>
        <v>0</v>
      </c>
      <c r="AC64" s="104">
        <f t="shared" si="9"/>
        <v>0</v>
      </c>
      <c r="AD64" s="104">
        <f t="shared" si="9"/>
        <v>0</v>
      </c>
      <c r="AE64" s="104">
        <f t="shared" si="9"/>
        <v>25272</v>
      </c>
      <c r="AF64" s="104">
        <f t="shared" si="9"/>
        <v>28808</v>
      </c>
      <c r="AG64" s="104">
        <f t="shared" si="9"/>
        <v>13858</v>
      </c>
      <c r="AH64" s="104">
        <f t="shared" si="9"/>
        <v>29796</v>
      </c>
      <c r="AI64" s="104">
        <f t="shared" si="9"/>
        <v>0</v>
      </c>
      <c r="AJ64" s="104">
        <f t="shared" si="9"/>
        <v>0</v>
      </c>
      <c r="AK64" s="104">
        <f t="shared" si="8"/>
        <v>0</v>
      </c>
      <c r="AL64" s="104">
        <f t="shared" si="8"/>
        <v>0</v>
      </c>
      <c r="AM64" s="104">
        <f t="shared" si="8"/>
        <v>0</v>
      </c>
      <c r="AN64" s="104">
        <f t="shared" si="8"/>
        <v>0</v>
      </c>
      <c r="AO64" s="104">
        <f t="shared" si="8"/>
        <v>0</v>
      </c>
      <c r="AP64" s="104">
        <f t="shared" si="8"/>
        <v>0</v>
      </c>
      <c r="AQ64" s="104">
        <f t="shared" si="8"/>
        <v>0</v>
      </c>
      <c r="AR64" s="104">
        <f t="shared" si="8"/>
        <v>0</v>
      </c>
    </row>
    <row r="65" spans="2:44">
      <c r="B65" s="96" t="s">
        <v>53</v>
      </c>
      <c r="C65" s="111">
        <v>25</v>
      </c>
      <c r="D65" s="97">
        <f t="shared" si="9"/>
        <v>420750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12550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408200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8"/>
        <v>0</v>
      </c>
      <c r="AL65" s="104">
        <f t="shared" si="8"/>
        <v>0</v>
      </c>
      <c r="AM65" s="104">
        <f t="shared" si="8"/>
        <v>0</v>
      </c>
      <c r="AN65" s="104">
        <f t="shared" si="8"/>
        <v>0</v>
      </c>
      <c r="AO65" s="104">
        <f t="shared" si="8"/>
        <v>0</v>
      </c>
      <c r="AP65" s="104">
        <f t="shared" si="8"/>
        <v>0</v>
      </c>
      <c r="AQ65" s="104">
        <f t="shared" si="8"/>
        <v>0</v>
      </c>
      <c r="AR65" s="104">
        <f t="shared" si="8"/>
        <v>0</v>
      </c>
    </row>
    <row r="66" spans="2:44">
      <c r="B66" s="96" t="s">
        <v>54</v>
      </c>
      <c r="C66" s="111">
        <v>10</v>
      </c>
      <c r="D66" s="97">
        <f t="shared" si="9"/>
        <v>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0</v>
      </c>
      <c r="AF66" s="104">
        <f t="shared" si="9"/>
        <v>0</v>
      </c>
      <c r="AG66" s="104">
        <f t="shared" si="9"/>
        <v>0</v>
      </c>
      <c r="AH66" s="104">
        <f t="shared" si="9"/>
        <v>0</v>
      </c>
      <c r="AI66" s="104">
        <f t="shared" si="9"/>
        <v>0</v>
      </c>
      <c r="AJ66" s="104">
        <f t="shared" si="9"/>
        <v>0</v>
      </c>
      <c r="AK66" s="104">
        <f t="shared" si="8"/>
        <v>0</v>
      </c>
      <c r="AL66" s="104">
        <f t="shared" si="8"/>
        <v>0</v>
      </c>
      <c r="AM66" s="104">
        <f t="shared" si="8"/>
        <v>0</v>
      </c>
      <c r="AN66" s="104">
        <f t="shared" si="8"/>
        <v>0</v>
      </c>
      <c r="AO66" s="104">
        <f t="shared" si="8"/>
        <v>0</v>
      </c>
      <c r="AP66" s="104">
        <f t="shared" si="8"/>
        <v>0</v>
      </c>
      <c r="AQ66" s="104">
        <f t="shared" si="8"/>
        <v>0</v>
      </c>
      <c r="AR66" s="104">
        <f t="shared" si="8"/>
        <v>0</v>
      </c>
    </row>
    <row r="67" spans="2:44">
      <c r="B67" s="96" t="s">
        <v>55</v>
      </c>
      <c r="C67" s="111">
        <v>65</v>
      </c>
      <c r="D67" s="97">
        <f t="shared" si="9"/>
        <v>302380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10725</v>
      </c>
      <c r="L67" s="104">
        <f t="shared" si="9"/>
        <v>18655</v>
      </c>
      <c r="M67" s="104">
        <f t="shared" si="9"/>
        <v>8125</v>
      </c>
      <c r="N67" s="104">
        <f t="shared" si="9"/>
        <v>9685</v>
      </c>
      <c r="O67" s="104">
        <f t="shared" si="9"/>
        <v>18850</v>
      </c>
      <c r="P67" s="104">
        <f t="shared" si="9"/>
        <v>17485</v>
      </c>
      <c r="Q67" s="104">
        <f t="shared" si="9"/>
        <v>48165</v>
      </c>
      <c r="R67" s="104">
        <f t="shared" si="9"/>
        <v>13650</v>
      </c>
      <c r="S67" s="104">
        <f t="shared" si="9"/>
        <v>17810</v>
      </c>
      <c r="T67" s="104">
        <f t="shared" si="9"/>
        <v>10660</v>
      </c>
      <c r="U67" s="104">
        <f t="shared" si="9"/>
        <v>0</v>
      </c>
      <c r="V67" s="104">
        <f t="shared" si="9"/>
        <v>10725</v>
      </c>
      <c r="W67" s="104">
        <f t="shared" si="9"/>
        <v>30875</v>
      </c>
      <c r="X67" s="104">
        <f t="shared" si="9"/>
        <v>2600</v>
      </c>
      <c r="Y67" s="104">
        <f t="shared" si="9"/>
        <v>0</v>
      </c>
      <c r="Z67" s="104">
        <f t="shared" si="9"/>
        <v>14495</v>
      </c>
      <c r="AA67" s="104">
        <f t="shared" si="9"/>
        <v>22230</v>
      </c>
      <c r="AB67" s="104">
        <f t="shared" si="9"/>
        <v>17745</v>
      </c>
      <c r="AC67" s="104">
        <f t="shared" si="9"/>
        <v>14625</v>
      </c>
      <c r="AD67" s="104">
        <f t="shared" si="9"/>
        <v>15275</v>
      </c>
      <c r="AE67" s="104">
        <f t="shared" si="9"/>
        <v>0</v>
      </c>
      <c r="AF67" s="104">
        <f t="shared" si="9"/>
        <v>0</v>
      </c>
      <c r="AG67" s="104">
        <f t="shared" si="9"/>
        <v>0</v>
      </c>
      <c r="AH67" s="104">
        <f t="shared" si="9"/>
        <v>0</v>
      </c>
      <c r="AI67" s="104">
        <f t="shared" si="9"/>
        <v>0</v>
      </c>
      <c r="AJ67" s="104">
        <f t="shared" si="9"/>
        <v>0</v>
      </c>
      <c r="AK67" s="104">
        <f t="shared" si="8"/>
        <v>0</v>
      </c>
      <c r="AL67" s="104">
        <f t="shared" si="8"/>
        <v>0</v>
      </c>
      <c r="AM67" s="104">
        <f t="shared" si="8"/>
        <v>0</v>
      </c>
      <c r="AN67" s="104">
        <f t="shared" si="8"/>
        <v>0</v>
      </c>
      <c r="AO67" s="104">
        <f t="shared" si="8"/>
        <v>0</v>
      </c>
      <c r="AP67" s="104">
        <f t="shared" si="8"/>
        <v>0</v>
      </c>
      <c r="AQ67" s="104">
        <f t="shared" si="8"/>
        <v>0</v>
      </c>
      <c r="AR67" s="104">
        <f t="shared" si="8"/>
        <v>0</v>
      </c>
    </row>
    <row r="68" spans="2:44">
      <c r="B68" s="96" t="s">
        <v>56</v>
      </c>
      <c r="C68" s="111">
        <v>40</v>
      </c>
      <c r="D68" s="97">
        <f t="shared" si="9"/>
        <v>37600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1600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2400</v>
      </c>
      <c r="Q68" s="104">
        <f t="shared" si="9"/>
        <v>10400</v>
      </c>
      <c r="R68" s="104">
        <f t="shared" si="9"/>
        <v>0</v>
      </c>
      <c r="S68" s="104">
        <f t="shared" si="9"/>
        <v>3200</v>
      </c>
      <c r="T68" s="104">
        <f t="shared" si="9"/>
        <v>1600</v>
      </c>
      <c r="U68" s="104">
        <f t="shared" si="9"/>
        <v>0</v>
      </c>
      <c r="V68" s="104">
        <f t="shared" si="9"/>
        <v>800</v>
      </c>
      <c r="W68" s="104">
        <f t="shared" si="9"/>
        <v>4800</v>
      </c>
      <c r="X68" s="104">
        <f t="shared" si="9"/>
        <v>0</v>
      </c>
      <c r="Y68" s="104">
        <f t="shared" si="9"/>
        <v>0</v>
      </c>
      <c r="Z68" s="104">
        <f t="shared" si="9"/>
        <v>3200</v>
      </c>
      <c r="AA68" s="104">
        <f t="shared" si="9"/>
        <v>3200</v>
      </c>
      <c r="AB68" s="104">
        <f t="shared" ref="AB68:AJ68" si="10">AB35*$C68</f>
        <v>1600</v>
      </c>
      <c r="AC68" s="104">
        <f t="shared" si="10"/>
        <v>2400</v>
      </c>
      <c r="AD68" s="104">
        <f t="shared" si="10"/>
        <v>2400</v>
      </c>
      <c r="AE68" s="104">
        <f t="shared" si="10"/>
        <v>0</v>
      </c>
      <c r="AF68" s="104">
        <f t="shared" si="10"/>
        <v>0</v>
      </c>
      <c r="AG68" s="104">
        <f t="shared" si="10"/>
        <v>0</v>
      </c>
      <c r="AH68" s="104">
        <f t="shared" si="10"/>
        <v>0</v>
      </c>
      <c r="AI68" s="104">
        <f t="shared" si="10"/>
        <v>0</v>
      </c>
      <c r="AJ68" s="104">
        <f t="shared" si="10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  <c r="AN68" s="104">
        <f t="shared" si="8"/>
        <v>0</v>
      </c>
      <c r="AO68" s="104">
        <f t="shared" si="8"/>
        <v>0</v>
      </c>
      <c r="AP68" s="104">
        <f t="shared" si="8"/>
        <v>0</v>
      </c>
      <c r="AQ68" s="104">
        <f t="shared" si="8"/>
        <v>0</v>
      </c>
      <c r="AR68" s="104">
        <f t="shared" si="8"/>
        <v>0</v>
      </c>
    </row>
    <row r="69" spans="2:44">
      <c r="B69" s="96" t="s">
        <v>57</v>
      </c>
      <c r="C69" s="111">
        <v>26</v>
      </c>
      <c r="D69" s="97">
        <f t="shared" ref="D69:AJ71" si="11">D36*$C69</f>
        <v>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0</v>
      </c>
      <c r="P69" s="104">
        <f t="shared" si="11"/>
        <v>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0</v>
      </c>
      <c r="W69" s="104">
        <f t="shared" si="11"/>
        <v>0</v>
      </c>
      <c r="X69" s="104">
        <f t="shared" si="11"/>
        <v>0</v>
      </c>
      <c r="Y69" s="104">
        <f t="shared" si="11"/>
        <v>0</v>
      </c>
      <c r="Z69" s="104">
        <f t="shared" si="11"/>
        <v>0</v>
      </c>
      <c r="AA69" s="104">
        <f t="shared" si="11"/>
        <v>0</v>
      </c>
      <c r="AB69" s="104">
        <f t="shared" si="11"/>
        <v>0</v>
      </c>
      <c r="AC69" s="104">
        <f t="shared" si="11"/>
        <v>0</v>
      </c>
      <c r="AD69" s="104">
        <f t="shared" si="11"/>
        <v>0</v>
      </c>
      <c r="AE69" s="104">
        <f t="shared" si="11"/>
        <v>0</v>
      </c>
      <c r="AF69" s="104">
        <f t="shared" si="11"/>
        <v>0</v>
      </c>
      <c r="AG69" s="104">
        <f t="shared" si="11"/>
        <v>0</v>
      </c>
      <c r="AH69" s="104">
        <f t="shared" si="11"/>
        <v>0</v>
      </c>
      <c r="AI69" s="104">
        <f t="shared" si="11"/>
        <v>0</v>
      </c>
      <c r="AJ69" s="104">
        <f t="shared" si="11"/>
        <v>0</v>
      </c>
      <c r="AK69" s="104">
        <f t="shared" si="8"/>
        <v>0</v>
      </c>
      <c r="AL69" s="104">
        <f t="shared" si="8"/>
        <v>0</v>
      </c>
      <c r="AM69" s="104">
        <f t="shared" si="8"/>
        <v>0</v>
      </c>
      <c r="AN69" s="104">
        <f t="shared" si="8"/>
        <v>0</v>
      </c>
      <c r="AO69" s="104">
        <f t="shared" si="8"/>
        <v>0</v>
      </c>
      <c r="AP69" s="104">
        <f t="shared" si="8"/>
        <v>0</v>
      </c>
      <c r="AQ69" s="104">
        <f t="shared" si="8"/>
        <v>0</v>
      </c>
      <c r="AR69" s="104">
        <f t="shared" si="8"/>
        <v>0</v>
      </c>
    </row>
    <row r="70" spans="2:44">
      <c r="B70" s="96" t="s">
        <v>58</v>
      </c>
      <c r="C70" s="111">
        <v>48</v>
      </c>
      <c r="D70" s="97">
        <f t="shared" si="11"/>
        <v>0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0</v>
      </c>
      <c r="Y70" s="104">
        <f t="shared" si="11"/>
        <v>0</v>
      </c>
      <c r="Z70" s="104">
        <f t="shared" si="11"/>
        <v>0</v>
      </c>
      <c r="AA70" s="104">
        <f t="shared" si="11"/>
        <v>0</v>
      </c>
      <c r="AB70" s="104">
        <f t="shared" si="11"/>
        <v>0</v>
      </c>
      <c r="AC70" s="104">
        <f t="shared" si="11"/>
        <v>0</v>
      </c>
      <c r="AD70" s="104">
        <f t="shared" si="11"/>
        <v>0</v>
      </c>
      <c r="AE70" s="104">
        <f t="shared" si="11"/>
        <v>0</v>
      </c>
      <c r="AF70" s="104">
        <f t="shared" si="11"/>
        <v>0</v>
      </c>
      <c r="AG70" s="104">
        <f t="shared" si="11"/>
        <v>0</v>
      </c>
      <c r="AH70" s="104">
        <f t="shared" si="11"/>
        <v>0</v>
      </c>
      <c r="AI70" s="104">
        <f t="shared" si="11"/>
        <v>0</v>
      </c>
      <c r="AJ70" s="104">
        <f t="shared" si="11"/>
        <v>0</v>
      </c>
      <c r="AK70" s="104">
        <f t="shared" si="8"/>
        <v>0</v>
      </c>
      <c r="AL70" s="104">
        <f t="shared" si="8"/>
        <v>0</v>
      </c>
      <c r="AM70" s="104">
        <f t="shared" si="8"/>
        <v>0</v>
      </c>
      <c r="AN70" s="104">
        <f t="shared" si="8"/>
        <v>0</v>
      </c>
      <c r="AO70" s="104">
        <f t="shared" si="8"/>
        <v>0</v>
      </c>
      <c r="AP70" s="104">
        <f t="shared" si="8"/>
        <v>0</v>
      </c>
      <c r="AQ70" s="104">
        <f t="shared" si="8"/>
        <v>0</v>
      </c>
      <c r="AR70" s="104">
        <f t="shared" si="8"/>
        <v>0</v>
      </c>
    </row>
    <row r="71" spans="2:44">
      <c r="B71" s="96" t="s">
        <v>59</v>
      </c>
      <c r="C71" s="112">
        <v>10</v>
      </c>
      <c r="D71" s="97">
        <f t="shared" si="11"/>
        <v>67910</v>
      </c>
      <c r="E71" s="104">
        <f t="shared" si="11"/>
        <v>0</v>
      </c>
      <c r="F71" s="104">
        <f t="shared" si="11"/>
        <v>0</v>
      </c>
      <c r="G71" s="104">
        <f t="shared" si="11"/>
        <v>0</v>
      </c>
      <c r="H71" s="104">
        <f t="shared" si="11"/>
        <v>0</v>
      </c>
      <c r="I71" s="104">
        <f t="shared" si="11"/>
        <v>2000</v>
      </c>
      <c r="J71" s="104">
        <f t="shared" si="11"/>
        <v>1500</v>
      </c>
      <c r="K71" s="104">
        <f t="shared" si="11"/>
        <v>2250</v>
      </c>
      <c r="L71" s="104">
        <f t="shared" si="11"/>
        <v>3500</v>
      </c>
      <c r="M71" s="104">
        <f t="shared" si="11"/>
        <v>3250</v>
      </c>
      <c r="N71" s="104">
        <f t="shared" si="11"/>
        <v>3500</v>
      </c>
      <c r="O71" s="104">
        <f t="shared" si="11"/>
        <v>3250</v>
      </c>
      <c r="P71" s="104">
        <f t="shared" si="11"/>
        <v>2500</v>
      </c>
      <c r="Q71" s="104">
        <f t="shared" si="11"/>
        <v>2750</v>
      </c>
      <c r="R71" s="104">
        <f t="shared" si="11"/>
        <v>500</v>
      </c>
      <c r="S71" s="104">
        <f t="shared" si="11"/>
        <v>1500</v>
      </c>
      <c r="T71" s="104">
        <f t="shared" si="11"/>
        <v>1500</v>
      </c>
      <c r="U71" s="104">
        <f t="shared" si="11"/>
        <v>3690</v>
      </c>
      <c r="V71" s="104">
        <f t="shared" si="11"/>
        <v>2250</v>
      </c>
      <c r="W71" s="104">
        <f t="shared" si="11"/>
        <v>3370</v>
      </c>
      <c r="X71" s="104">
        <f t="shared" si="11"/>
        <v>1750</v>
      </c>
      <c r="Y71" s="104">
        <f t="shared" si="11"/>
        <v>2500</v>
      </c>
      <c r="Z71" s="104">
        <f t="shared" si="11"/>
        <v>4250</v>
      </c>
      <c r="AA71" s="104">
        <f t="shared" si="11"/>
        <v>0</v>
      </c>
      <c r="AB71" s="104">
        <f t="shared" si="11"/>
        <v>2500</v>
      </c>
      <c r="AC71" s="104">
        <f t="shared" si="11"/>
        <v>2250</v>
      </c>
      <c r="AD71" s="104">
        <f t="shared" si="11"/>
        <v>3000</v>
      </c>
      <c r="AE71" s="104">
        <f t="shared" si="11"/>
        <v>1500</v>
      </c>
      <c r="AF71" s="104">
        <f t="shared" si="11"/>
        <v>3300</v>
      </c>
      <c r="AG71" s="104">
        <f t="shared" si="11"/>
        <v>3950</v>
      </c>
      <c r="AH71" s="104">
        <f t="shared" si="11"/>
        <v>5600</v>
      </c>
      <c r="AI71" s="104">
        <f t="shared" si="11"/>
        <v>0</v>
      </c>
      <c r="AJ71" s="104">
        <f t="shared" si="11"/>
        <v>0</v>
      </c>
      <c r="AK71" s="104">
        <f t="shared" si="8"/>
        <v>0</v>
      </c>
      <c r="AL71" s="104">
        <f t="shared" si="8"/>
        <v>0</v>
      </c>
      <c r="AM71" s="104">
        <f t="shared" si="8"/>
        <v>0</v>
      </c>
      <c r="AN71" s="104">
        <f t="shared" si="8"/>
        <v>0</v>
      </c>
      <c r="AO71" s="104">
        <f t="shared" si="8"/>
        <v>0</v>
      </c>
      <c r="AP71" s="104">
        <f t="shared" si="8"/>
        <v>0</v>
      </c>
      <c r="AQ71" s="104">
        <f t="shared" si="8"/>
        <v>0</v>
      </c>
      <c r="AR71" s="104">
        <f t="shared" si="8"/>
        <v>0</v>
      </c>
    </row>
    <row r="72" spans="2:44">
      <c r="B72" s="35" t="s">
        <v>85</v>
      </c>
      <c r="C72" s="113">
        <v>3.5</v>
      </c>
      <c r="D72" s="98">
        <f t="shared" ref="D72:AR72" si="12">D50*C72</f>
        <v>700000</v>
      </c>
      <c r="E72" s="107">
        <f>E50*$C$72</f>
        <v>0</v>
      </c>
      <c r="F72" s="107">
        <f t="shared" si="12"/>
        <v>0</v>
      </c>
      <c r="G72" s="107">
        <f t="shared" si="12"/>
        <v>0</v>
      </c>
      <c r="H72" s="107">
        <f t="shared" si="12"/>
        <v>0</v>
      </c>
      <c r="I72" s="107">
        <f t="shared" si="12"/>
        <v>0</v>
      </c>
      <c r="J72" s="107">
        <f t="shared" si="12"/>
        <v>0</v>
      </c>
      <c r="K72" s="107">
        <f t="shared" si="12"/>
        <v>0</v>
      </c>
      <c r="L72" s="107">
        <f t="shared" si="12"/>
        <v>0</v>
      </c>
      <c r="M72" s="107">
        <f t="shared" si="12"/>
        <v>0</v>
      </c>
      <c r="N72" s="107">
        <f t="shared" si="12"/>
        <v>0</v>
      </c>
      <c r="O72" s="107">
        <f t="shared" si="12"/>
        <v>0</v>
      </c>
      <c r="P72" s="107">
        <f t="shared" si="12"/>
        <v>0</v>
      </c>
      <c r="Q72" s="107">
        <f t="shared" si="12"/>
        <v>0</v>
      </c>
      <c r="R72" s="107">
        <f t="shared" si="12"/>
        <v>0</v>
      </c>
      <c r="S72" s="107">
        <f t="shared" si="12"/>
        <v>0</v>
      </c>
      <c r="T72" s="107">
        <f t="shared" si="12"/>
        <v>0</v>
      </c>
      <c r="U72" s="107">
        <f t="shared" si="12"/>
        <v>0</v>
      </c>
      <c r="V72" s="107">
        <f t="shared" si="12"/>
        <v>0</v>
      </c>
      <c r="W72" s="107">
        <f t="shared" si="12"/>
        <v>0</v>
      </c>
      <c r="X72" s="107">
        <f t="shared" si="12"/>
        <v>0</v>
      </c>
      <c r="Y72" s="107">
        <f t="shared" si="12"/>
        <v>0</v>
      </c>
      <c r="Z72" s="107">
        <f t="shared" si="12"/>
        <v>0</v>
      </c>
      <c r="AA72" s="107">
        <f t="shared" si="12"/>
        <v>0</v>
      </c>
      <c r="AB72" s="107">
        <f t="shared" si="12"/>
        <v>0</v>
      </c>
      <c r="AC72" s="107">
        <f t="shared" si="12"/>
        <v>0</v>
      </c>
      <c r="AD72" s="107">
        <f t="shared" si="12"/>
        <v>0</v>
      </c>
      <c r="AE72" s="107">
        <f t="shared" si="12"/>
        <v>0</v>
      </c>
      <c r="AF72" s="107">
        <f t="shared" si="12"/>
        <v>0</v>
      </c>
      <c r="AG72" s="107">
        <f t="shared" si="12"/>
        <v>0</v>
      </c>
      <c r="AH72" s="107">
        <f t="shared" si="12"/>
        <v>0</v>
      </c>
      <c r="AI72" s="107">
        <f t="shared" si="12"/>
        <v>0</v>
      </c>
      <c r="AJ72" s="107">
        <f t="shared" si="12"/>
        <v>0</v>
      </c>
      <c r="AK72" s="107">
        <f t="shared" si="12"/>
        <v>0</v>
      </c>
      <c r="AL72" s="107">
        <f t="shared" si="12"/>
        <v>0</v>
      </c>
      <c r="AM72" s="107">
        <f t="shared" si="12"/>
        <v>0</v>
      </c>
      <c r="AN72" s="107">
        <f t="shared" si="12"/>
        <v>0</v>
      </c>
      <c r="AO72" s="107">
        <f t="shared" si="12"/>
        <v>0</v>
      </c>
      <c r="AP72" s="107">
        <f t="shared" si="12"/>
        <v>0</v>
      </c>
      <c r="AQ72" s="107">
        <f t="shared" si="12"/>
        <v>0</v>
      </c>
      <c r="AR72" s="107">
        <f t="shared" si="12"/>
        <v>0</v>
      </c>
    </row>
    <row r="74" spans="2:44">
      <c r="B74" s="318" t="s">
        <v>86</v>
      </c>
      <c r="C74" s="319"/>
      <c r="D74" s="108">
        <f>AVERAGEIF(E59:N59, "&gt;0")</f>
        <v>1657943.142857143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6" spans="2:44">
      <c r="B76" s="12" t="s">
        <v>87</v>
      </c>
      <c r="C76" s="13">
        <v>0.28999999999999998</v>
      </c>
      <c r="D76" s="14">
        <f>SUM(E76:N76)</f>
        <v>3365624.58</v>
      </c>
      <c r="E76" s="14">
        <f t="shared" ref="E76:AR76" si="13">E59*$C$76</f>
        <v>0</v>
      </c>
      <c r="F76" s="14">
        <f t="shared" si="13"/>
        <v>0</v>
      </c>
      <c r="G76" s="14">
        <f t="shared" si="13"/>
        <v>0</v>
      </c>
      <c r="H76" s="14">
        <f t="shared" si="13"/>
        <v>58147.03</v>
      </c>
      <c r="I76" s="14">
        <f t="shared" si="13"/>
        <v>546124.23</v>
      </c>
      <c r="J76" s="14">
        <f t="shared" si="13"/>
        <v>585581.04999999993</v>
      </c>
      <c r="K76" s="15">
        <f t="shared" si="13"/>
        <v>515192.54</v>
      </c>
      <c r="L76" s="14">
        <f t="shared" si="13"/>
        <v>449314.68999999994</v>
      </c>
      <c r="M76" s="15">
        <f t="shared" si="13"/>
        <v>635929.98</v>
      </c>
      <c r="N76" s="14">
        <f t="shared" si="13"/>
        <v>575335.05999999994</v>
      </c>
      <c r="O76" s="14">
        <f t="shared" si="13"/>
        <v>477956.24999999994</v>
      </c>
      <c r="P76" s="14">
        <f t="shared" si="13"/>
        <v>333984.88</v>
      </c>
      <c r="Q76" s="14">
        <f t="shared" si="13"/>
        <v>380215.23</v>
      </c>
      <c r="R76" s="14">
        <f t="shared" si="13"/>
        <v>239126.16999999998</v>
      </c>
      <c r="S76" s="14">
        <f t="shared" si="13"/>
        <v>211744.08</v>
      </c>
      <c r="T76" s="14">
        <f t="shared" si="13"/>
        <v>147698.44999999998</v>
      </c>
      <c r="U76" s="14">
        <f t="shared" si="13"/>
        <v>146713.60999999999</v>
      </c>
      <c r="V76" s="14">
        <f t="shared" si="13"/>
        <v>108831.2</v>
      </c>
      <c r="W76" s="14">
        <f t="shared" si="13"/>
        <v>186380.09999999998</v>
      </c>
      <c r="X76" s="14">
        <f t="shared" si="13"/>
        <v>340717.81</v>
      </c>
      <c r="Y76" s="14">
        <f t="shared" si="13"/>
        <v>310908.42</v>
      </c>
      <c r="Z76" s="14">
        <f t="shared" si="13"/>
        <v>177227.40999999997</v>
      </c>
      <c r="AA76" s="14">
        <f t="shared" si="13"/>
        <v>1094146.7999999998</v>
      </c>
      <c r="AB76" s="14">
        <f t="shared" si="13"/>
        <v>1487296.0299999998</v>
      </c>
      <c r="AC76" s="14">
        <f t="shared" si="13"/>
        <v>781059.89999999991</v>
      </c>
      <c r="AD76" s="14">
        <f t="shared" si="13"/>
        <v>866800.42999999993</v>
      </c>
      <c r="AE76" s="14">
        <f t="shared" si="13"/>
        <v>234717.59</v>
      </c>
      <c r="AF76" s="14">
        <f t="shared" si="13"/>
        <v>79814.67</v>
      </c>
      <c r="AG76" s="14">
        <f t="shared" si="13"/>
        <v>101161.56999999999</v>
      </c>
      <c r="AH76" s="14">
        <f t="shared" si="13"/>
        <v>117960.10999999999</v>
      </c>
      <c r="AI76" s="14">
        <f t="shared" si="13"/>
        <v>0</v>
      </c>
      <c r="AJ76" s="14">
        <f t="shared" si="13"/>
        <v>0</v>
      </c>
      <c r="AK76" s="14">
        <f t="shared" si="13"/>
        <v>0</v>
      </c>
      <c r="AL76" s="14">
        <f t="shared" si="13"/>
        <v>0</v>
      </c>
      <c r="AM76" s="14">
        <f t="shared" si="13"/>
        <v>0</v>
      </c>
      <c r="AN76" s="14">
        <f t="shared" si="13"/>
        <v>0</v>
      </c>
      <c r="AO76" s="14">
        <f t="shared" si="13"/>
        <v>0</v>
      </c>
      <c r="AP76" s="14">
        <f t="shared" si="13"/>
        <v>0</v>
      </c>
      <c r="AQ76" s="14">
        <f t="shared" si="13"/>
        <v>0</v>
      </c>
      <c r="AR76" s="14">
        <f t="shared" si="13"/>
        <v>0</v>
      </c>
    </row>
    <row r="77" spans="2:44">
      <c r="B77" s="16" t="s">
        <v>88</v>
      </c>
      <c r="C77" s="17">
        <f>11800000/322</f>
        <v>36645.962732919252</v>
      </c>
      <c r="D77" s="18">
        <f>SUM(E77:N77)</f>
        <v>366459.62732919253</v>
      </c>
      <c r="E77" s="18">
        <f t="shared" ref="E77:AR77" si="14">$C$77</f>
        <v>36645.962732919252</v>
      </c>
      <c r="F77" s="18">
        <f t="shared" si="14"/>
        <v>36645.962732919252</v>
      </c>
      <c r="G77" s="18">
        <f t="shared" si="14"/>
        <v>36645.962732919252</v>
      </c>
      <c r="H77" s="18">
        <f t="shared" si="14"/>
        <v>36645.962732919252</v>
      </c>
      <c r="I77" s="18">
        <f t="shared" si="14"/>
        <v>36645.962732919252</v>
      </c>
      <c r="J77" s="18">
        <f t="shared" si="14"/>
        <v>36645.962732919252</v>
      </c>
      <c r="K77" s="19">
        <f t="shared" si="14"/>
        <v>36645.962732919252</v>
      </c>
      <c r="L77" s="18">
        <f t="shared" si="14"/>
        <v>36645.962732919252</v>
      </c>
      <c r="M77" s="19">
        <f t="shared" si="14"/>
        <v>36645.962732919252</v>
      </c>
      <c r="N77" s="18">
        <f t="shared" si="14"/>
        <v>36645.962732919252</v>
      </c>
      <c r="O77" s="18">
        <f t="shared" si="14"/>
        <v>36645.962732919252</v>
      </c>
      <c r="P77" s="18">
        <f t="shared" si="14"/>
        <v>36645.962732919252</v>
      </c>
      <c r="Q77" s="18">
        <f t="shared" si="14"/>
        <v>36645.962732919252</v>
      </c>
      <c r="R77" s="18">
        <f t="shared" si="14"/>
        <v>36645.962732919252</v>
      </c>
      <c r="S77" s="18">
        <f t="shared" si="14"/>
        <v>36645.962732919252</v>
      </c>
      <c r="T77" s="18">
        <f t="shared" si="14"/>
        <v>36645.962732919252</v>
      </c>
      <c r="U77" s="18">
        <f t="shared" si="14"/>
        <v>36645.962732919252</v>
      </c>
      <c r="V77" s="18">
        <f t="shared" si="14"/>
        <v>36645.962732919252</v>
      </c>
      <c r="W77" s="18">
        <f t="shared" si="14"/>
        <v>36645.962732919252</v>
      </c>
      <c r="X77" s="18">
        <f t="shared" si="14"/>
        <v>36645.962732919252</v>
      </c>
      <c r="Y77" s="18">
        <f t="shared" si="14"/>
        <v>36645.962732919252</v>
      </c>
      <c r="Z77" s="18">
        <f t="shared" si="14"/>
        <v>36645.962732919252</v>
      </c>
      <c r="AA77" s="18">
        <f t="shared" si="14"/>
        <v>36645.962732919252</v>
      </c>
      <c r="AB77" s="18">
        <f t="shared" si="14"/>
        <v>36645.962732919252</v>
      </c>
      <c r="AC77" s="18">
        <f t="shared" si="14"/>
        <v>36645.962732919252</v>
      </c>
      <c r="AD77" s="18">
        <f t="shared" si="14"/>
        <v>36645.962732919252</v>
      </c>
      <c r="AE77" s="18">
        <f t="shared" si="14"/>
        <v>36645.962732919252</v>
      </c>
      <c r="AF77" s="18">
        <f t="shared" si="14"/>
        <v>36645.962732919252</v>
      </c>
      <c r="AG77" s="18">
        <f t="shared" si="14"/>
        <v>36645.962732919252</v>
      </c>
      <c r="AH77" s="18">
        <f t="shared" si="14"/>
        <v>36645.962732919252</v>
      </c>
      <c r="AI77" s="18">
        <f t="shared" si="14"/>
        <v>36645.962732919252</v>
      </c>
      <c r="AJ77" s="18">
        <f t="shared" si="14"/>
        <v>36645.962732919252</v>
      </c>
      <c r="AK77" s="18">
        <f t="shared" si="14"/>
        <v>36645.962732919252</v>
      </c>
      <c r="AL77" s="18">
        <f t="shared" si="14"/>
        <v>36645.962732919252</v>
      </c>
      <c r="AM77" s="18">
        <f t="shared" si="14"/>
        <v>36645.962732919252</v>
      </c>
      <c r="AN77" s="18">
        <f t="shared" si="14"/>
        <v>36645.962732919252</v>
      </c>
      <c r="AO77" s="18">
        <f t="shared" si="14"/>
        <v>36645.962732919252</v>
      </c>
      <c r="AP77" s="18">
        <f t="shared" si="14"/>
        <v>36645.962732919252</v>
      </c>
      <c r="AQ77" s="18">
        <f t="shared" si="14"/>
        <v>36645.962732919252</v>
      </c>
      <c r="AR77" s="18">
        <f t="shared" si="14"/>
        <v>36645.962732919252</v>
      </c>
    </row>
    <row r="78" spans="2:44">
      <c r="B78" s="16" t="s">
        <v>89</v>
      </c>
      <c r="C78" s="17">
        <f>11400000/322</f>
        <v>35403.726708074537</v>
      </c>
      <c r="D78" s="18">
        <f>SUM(E78:N78)</f>
        <v>354037.26708074543</v>
      </c>
      <c r="E78" s="18">
        <f t="shared" ref="E78:AR78" si="15">$C$78</f>
        <v>35403.726708074537</v>
      </c>
      <c r="F78" s="18">
        <f t="shared" si="15"/>
        <v>35403.726708074537</v>
      </c>
      <c r="G78" s="18">
        <f t="shared" si="15"/>
        <v>35403.726708074537</v>
      </c>
      <c r="H78" s="18">
        <f t="shared" si="15"/>
        <v>35403.726708074537</v>
      </c>
      <c r="I78" s="18">
        <f t="shared" si="15"/>
        <v>35403.726708074537</v>
      </c>
      <c r="J78" s="18">
        <f t="shared" si="15"/>
        <v>35403.726708074537</v>
      </c>
      <c r="K78" s="19">
        <f t="shared" si="15"/>
        <v>35403.726708074537</v>
      </c>
      <c r="L78" s="18">
        <f t="shared" si="15"/>
        <v>35403.726708074537</v>
      </c>
      <c r="M78" s="19">
        <f t="shared" si="15"/>
        <v>35403.726708074537</v>
      </c>
      <c r="N78" s="18">
        <f t="shared" si="15"/>
        <v>35403.726708074537</v>
      </c>
      <c r="O78" s="18">
        <f t="shared" si="15"/>
        <v>35403.726708074537</v>
      </c>
      <c r="P78" s="18">
        <f t="shared" si="15"/>
        <v>35403.726708074537</v>
      </c>
      <c r="Q78" s="18">
        <f t="shared" si="15"/>
        <v>35403.726708074537</v>
      </c>
      <c r="R78" s="18">
        <f t="shared" si="15"/>
        <v>35403.726708074537</v>
      </c>
      <c r="S78" s="18">
        <f t="shared" si="15"/>
        <v>35403.726708074537</v>
      </c>
      <c r="T78" s="18">
        <f t="shared" si="15"/>
        <v>35403.726708074537</v>
      </c>
      <c r="U78" s="18">
        <f t="shared" si="15"/>
        <v>35403.726708074537</v>
      </c>
      <c r="V78" s="18">
        <f t="shared" si="15"/>
        <v>35403.726708074537</v>
      </c>
      <c r="W78" s="18">
        <f t="shared" si="15"/>
        <v>35403.726708074537</v>
      </c>
      <c r="X78" s="18">
        <f t="shared" si="15"/>
        <v>35403.726708074537</v>
      </c>
      <c r="Y78" s="18">
        <f t="shared" si="15"/>
        <v>35403.726708074537</v>
      </c>
      <c r="Z78" s="18">
        <f t="shared" si="15"/>
        <v>35403.726708074537</v>
      </c>
      <c r="AA78" s="18">
        <f t="shared" si="15"/>
        <v>35403.726708074537</v>
      </c>
      <c r="AB78" s="18">
        <f t="shared" si="15"/>
        <v>35403.726708074537</v>
      </c>
      <c r="AC78" s="18">
        <f t="shared" si="15"/>
        <v>35403.726708074537</v>
      </c>
      <c r="AD78" s="18">
        <f t="shared" si="15"/>
        <v>35403.726708074537</v>
      </c>
      <c r="AE78" s="18">
        <f t="shared" si="15"/>
        <v>35403.726708074537</v>
      </c>
      <c r="AF78" s="18">
        <f t="shared" si="15"/>
        <v>35403.726708074537</v>
      </c>
      <c r="AG78" s="18">
        <f t="shared" si="15"/>
        <v>35403.726708074537</v>
      </c>
      <c r="AH78" s="18">
        <f t="shared" si="15"/>
        <v>35403.726708074537</v>
      </c>
      <c r="AI78" s="18">
        <f t="shared" si="15"/>
        <v>35403.726708074537</v>
      </c>
      <c r="AJ78" s="18">
        <f t="shared" si="15"/>
        <v>35403.726708074537</v>
      </c>
      <c r="AK78" s="18">
        <f t="shared" si="15"/>
        <v>35403.726708074537</v>
      </c>
      <c r="AL78" s="18">
        <f t="shared" si="15"/>
        <v>35403.726708074537</v>
      </c>
      <c r="AM78" s="18">
        <f t="shared" si="15"/>
        <v>35403.726708074537</v>
      </c>
      <c r="AN78" s="18">
        <f t="shared" si="15"/>
        <v>35403.726708074537</v>
      </c>
      <c r="AO78" s="18">
        <f t="shared" si="15"/>
        <v>35403.726708074537</v>
      </c>
      <c r="AP78" s="18">
        <f t="shared" si="15"/>
        <v>35403.726708074537</v>
      </c>
      <c r="AQ78" s="18">
        <f t="shared" si="15"/>
        <v>35403.726708074537</v>
      </c>
      <c r="AR78" s="18">
        <f t="shared" si="15"/>
        <v>35403.726708074537</v>
      </c>
    </row>
    <row r="79" spans="2:44">
      <c r="B79" s="20" t="s">
        <v>90</v>
      </c>
      <c r="C79" s="21">
        <v>9.67</v>
      </c>
      <c r="D79" s="23">
        <f>SUM(E79:N79)</f>
        <v>1305450</v>
      </c>
      <c r="E79" s="23">
        <f t="shared" ref="E79:AR79" si="16">$C$79*E41</f>
        <v>48350</v>
      </c>
      <c r="F79" s="23">
        <f t="shared" si="16"/>
        <v>116040</v>
      </c>
      <c r="G79" s="23">
        <f t="shared" si="16"/>
        <v>135380</v>
      </c>
      <c r="H79" s="23">
        <f t="shared" si="16"/>
        <v>135380</v>
      </c>
      <c r="I79" s="23">
        <f t="shared" si="16"/>
        <v>154720</v>
      </c>
      <c r="J79" s="23">
        <f t="shared" si="16"/>
        <v>135380</v>
      </c>
      <c r="K79" s="22">
        <f t="shared" si="16"/>
        <v>145050</v>
      </c>
      <c r="L79" s="23">
        <f t="shared" si="16"/>
        <v>145050</v>
      </c>
      <c r="M79" s="22">
        <f t="shared" si="16"/>
        <v>135380</v>
      </c>
      <c r="N79" s="23">
        <f t="shared" si="16"/>
        <v>154720</v>
      </c>
      <c r="O79" s="23">
        <f t="shared" si="16"/>
        <v>145050</v>
      </c>
      <c r="P79" s="23">
        <f t="shared" si="16"/>
        <v>135380</v>
      </c>
      <c r="Q79" s="23">
        <f t="shared" si="16"/>
        <v>145050</v>
      </c>
      <c r="R79" s="23">
        <f t="shared" si="16"/>
        <v>145050</v>
      </c>
      <c r="S79" s="23">
        <f t="shared" si="16"/>
        <v>135380</v>
      </c>
      <c r="T79" s="23">
        <f t="shared" si="16"/>
        <v>154720</v>
      </c>
      <c r="U79" s="23">
        <f t="shared" si="16"/>
        <v>145050</v>
      </c>
      <c r="V79" s="23">
        <f t="shared" si="16"/>
        <v>135380</v>
      </c>
      <c r="W79" s="23">
        <f t="shared" si="16"/>
        <v>145050</v>
      </c>
      <c r="X79" s="23">
        <f t="shared" si="16"/>
        <v>125710</v>
      </c>
      <c r="Y79" s="23">
        <f t="shared" si="16"/>
        <v>154720</v>
      </c>
      <c r="Z79" s="23">
        <f t="shared" si="16"/>
        <v>154720</v>
      </c>
      <c r="AA79" s="23">
        <f t="shared" si="16"/>
        <v>145050</v>
      </c>
      <c r="AB79" s="23">
        <f t="shared" si="16"/>
        <v>154720</v>
      </c>
      <c r="AC79" s="23">
        <f t="shared" si="16"/>
        <v>145050</v>
      </c>
      <c r="AD79" s="23">
        <f t="shared" si="16"/>
        <v>154720</v>
      </c>
      <c r="AE79" s="23">
        <f t="shared" si="16"/>
        <v>145050</v>
      </c>
      <c r="AF79" s="23">
        <f t="shared" si="16"/>
        <v>145050</v>
      </c>
      <c r="AG79" s="23">
        <f t="shared" si="16"/>
        <v>135380</v>
      </c>
      <c r="AH79" s="23">
        <f t="shared" si="16"/>
        <v>135380</v>
      </c>
      <c r="AI79" s="23">
        <f t="shared" si="16"/>
        <v>106370</v>
      </c>
      <c r="AJ79" s="23">
        <f t="shared" si="16"/>
        <v>58020</v>
      </c>
      <c r="AK79" s="23">
        <f t="shared" si="16"/>
        <v>38680</v>
      </c>
      <c r="AL79" s="23">
        <f t="shared" si="16"/>
        <v>0</v>
      </c>
      <c r="AM79" s="23">
        <f t="shared" si="16"/>
        <v>0</v>
      </c>
      <c r="AN79" s="23">
        <f t="shared" si="16"/>
        <v>0</v>
      </c>
      <c r="AO79" s="23">
        <f t="shared" si="16"/>
        <v>0</v>
      </c>
      <c r="AP79" s="23">
        <f t="shared" si="16"/>
        <v>0</v>
      </c>
      <c r="AQ79" s="23">
        <f t="shared" si="16"/>
        <v>0</v>
      </c>
      <c r="AR79" s="23">
        <f t="shared" si="16"/>
        <v>0</v>
      </c>
    </row>
    <row r="80" spans="2:44">
      <c r="B80" s="24" t="s">
        <v>91</v>
      </c>
      <c r="C80" s="25">
        <f>SUM(E80:N80)</f>
        <v>6214030.5255900612</v>
      </c>
      <c r="D80" s="174">
        <f>D59-D76-D77-D78-D79</f>
        <v>33894929.525590062</v>
      </c>
      <c r="E80" s="26">
        <f t="shared" ref="E80:AR80" si="17">E59-E76-E77-E78-E79</f>
        <v>-120399.6894409938</v>
      </c>
      <c r="F80" s="26">
        <f t="shared" si="17"/>
        <v>-188089.6894409938</v>
      </c>
      <c r="G80" s="26">
        <f t="shared" si="17"/>
        <v>-207429.6894409938</v>
      </c>
      <c r="H80" s="26">
        <f t="shared" si="17"/>
        <v>-65069.719440993795</v>
      </c>
      <c r="I80" s="26">
        <f t="shared" si="17"/>
        <v>1110293.0805590062</v>
      </c>
      <c r="J80" s="26">
        <f t="shared" si="17"/>
        <v>1226234.2605590064</v>
      </c>
      <c r="K80" s="27">
        <f t="shared" si="17"/>
        <v>1044233.7705590061</v>
      </c>
      <c r="L80" s="26">
        <f t="shared" si="17"/>
        <v>882946.62055900623</v>
      </c>
      <c r="M80" s="27">
        <f t="shared" si="17"/>
        <v>1349502.3305590062</v>
      </c>
      <c r="N80" s="26">
        <f t="shared" si="17"/>
        <v>1181809.2505590061</v>
      </c>
      <c r="O80" s="26">
        <f t="shared" si="17"/>
        <v>953069.06055900618</v>
      </c>
      <c r="P80" s="26">
        <f t="shared" si="17"/>
        <v>610257.43055900617</v>
      </c>
      <c r="Q80" s="26">
        <f t="shared" si="17"/>
        <v>713772.08055900619</v>
      </c>
      <c r="R80" s="26">
        <f t="shared" si="17"/>
        <v>368347.14055900625</v>
      </c>
      <c r="S80" s="26">
        <f t="shared" si="17"/>
        <v>310978.23055900622</v>
      </c>
      <c r="T80" s="26">
        <f t="shared" si="17"/>
        <v>134836.86055900622</v>
      </c>
      <c r="U80" s="26">
        <f t="shared" si="17"/>
        <v>142095.70055900619</v>
      </c>
      <c r="V80" s="26">
        <f t="shared" si="17"/>
        <v>59019.110559006192</v>
      </c>
      <c r="W80" s="26">
        <f t="shared" si="17"/>
        <v>239210.2105590062</v>
      </c>
      <c r="X80" s="26">
        <f t="shared" si="17"/>
        <v>636411.50055900612</v>
      </c>
      <c r="Y80" s="26">
        <f t="shared" si="17"/>
        <v>534419.89055900625</v>
      </c>
      <c r="Z80" s="26">
        <f t="shared" si="17"/>
        <v>207131.90055900626</v>
      </c>
      <c r="AA80" s="26">
        <f t="shared" si="17"/>
        <v>2461673.5105590066</v>
      </c>
      <c r="AB80" s="26">
        <f t="shared" si="17"/>
        <v>3414541.2805590066</v>
      </c>
      <c r="AC80" s="26">
        <f t="shared" si="17"/>
        <v>1695150.4105590063</v>
      </c>
      <c r="AD80" s="26">
        <f t="shared" si="17"/>
        <v>1895396.8805590065</v>
      </c>
      <c r="AE80" s="26">
        <f t="shared" si="17"/>
        <v>357553.72055900621</v>
      </c>
      <c r="AF80" s="26">
        <f t="shared" si="17"/>
        <v>-21691.35944099378</v>
      </c>
      <c r="AG80" s="26">
        <f t="shared" si="17"/>
        <v>40241.740559006197</v>
      </c>
      <c r="AH80" s="26">
        <f t="shared" si="17"/>
        <v>81369.200559006218</v>
      </c>
      <c r="AI80" s="26">
        <f t="shared" si="17"/>
        <v>-178419.6894409938</v>
      </c>
      <c r="AJ80" s="26">
        <f t="shared" si="17"/>
        <v>-130069.6894409938</v>
      </c>
      <c r="AK80" s="26">
        <f t="shared" si="17"/>
        <v>-110729.6894409938</v>
      </c>
      <c r="AL80" s="26">
        <f t="shared" si="17"/>
        <v>-72049.689440993796</v>
      </c>
      <c r="AM80" s="26">
        <f t="shared" si="17"/>
        <v>-72049.689440993796</v>
      </c>
      <c r="AN80" s="26">
        <f t="shared" si="17"/>
        <v>-72049.689440993796</v>
      </c>
      <c r="AO80" s="26">
        <f t="shared" si="17"/>
        <v>-72049.689440993796</v>
      </c>
      <c r="AP80" s="26">
        <f t="shared" si="17"/>
        <v>-72049.689440993796</v>
      </c>
      <c r="AQ80" s="26">
        <f t="shared" si="17"/>
        <v>-72049.689440993796</v>
      </c>
      <c r="AR80" s="26">
        <f t="shared" si="17"/>
        <v>-72049.689440993796</v>
      </c>
    </row>
    <row r="81" spans="2:44">
      <c r="B81" s="320" t="s">
        <v>92</v>
      </c>
      <c r="C81" s="321"/>
      <c r="D81" s="326"/>
      <c r="E81" s="29" t="e">
        <f>E80+#REF!</f>
        <v>#REF!</v>
      </c>
      <c r="F81" s="29" t="e">
        <f t="shared" ref="F81:AR81" si="18">F80+E81</f>
        <v>#REF!</v>
      </c>
      <c r="G81" s="29" t="e">
        <f t="shared" si="18"/>
        <v>#REF!</v>
      </c>
      <c r="H81" s="29" t="e">
        <f t="shared" si="18"/>
        <v>#REF!</v>
      </c>
      <c r="I81" s="29" t="e">
        <f t="shared" si="18"/>
        <v>#REF!</v>
      </c>
      <c r="J81" s="29" t="e">
        <f t="shared" si="18"/>
        <v>#REF!</v>
      </c>
      <c r="K81" s="28" t="e">
        <f t="shared" si="18"/>
        <v>#REF!</v>
      </c>
      <c r="L81" s="29" t="e">
        <f t="shared" si="18"/>
        <v>#REF!</v>
      </c>
      <c r="M81" s="28" t="e">
        <f t="shared" si="18"/>
        <v>#REF!</v>
      </c>
      <c r="N81" s="29" t="e">
        <f t="shared" si="18"/>
        <v>#REF!</v>
      </c>
      <c r="O81" s="29" t="e">
        <f t="shared" si="18"/>
        <v>#REF!</v>
      </c>
      <c r="P81" s="29" t="e">
        <f t="shared" si="18"/>
        <v>#REF!</v>
      </c>
      <c r="Q81" s="29" t="e">
        <f t="shared" si="18"/>
        <v>#REF!</v>
      </c>
      <c r="R81" s="29" t="e">
        <f t="shared" si="18"/>
        <v>#REF!</v>
      </c>
      <c r="S81" s="29" t="e">
        <f t="shared" si="18"/>
        <v>#REF!</v>
      </c>
      <c r="T81" s="29" t="e">
        <f t="shared" si="18"/>
        <v>#REF!</v>
      </c>
      <c r="U81" s="29" t="e">
        <f t="shared" si="18"/>
        <v>#REF!</v>
      </c>
      <c r="V81" s="29" t="e">
        <f t="shared" si="18"/>
        <v>#REF!</v>
      </c>
      <c r="W81" s="29" t="e">
        <f t="shared" si="18"/>
        <v>#REF!</v>
      </c>
      <c r="X81" s="29" t="e">
        <f t="shared" si="18"/>
        <v>#REF!</v>
      </c>
      <c r="Y81" s="29" t="e">
        <f t="shared" si="18"/>
        <v>#REF!</v>
      </c>
      <c r="Z81" s="29" t="e">
        <f t="shared" si="18"/>
        <v>#REF!</v>
      </c>
      <c r="AA81" s="29" t="e">
        <f t="shared" si="18"/>
        <v>#REF!</v>
      </c>
      <c r="AB81" s="29" t="e">
        <f t="shared" si="18"/>
        <v>#REF!</v>
      </c>
      <c r="AC81" s="29" t="e">
        <f t="shared" si="18"/>
        <v>#REF!</v>
      </c>
      <c r="AD81" s="29" t="e">
        <f t="shared" si="18"/>
        <v>#REF!</v>
      </c>
      <c r="AE81" s="29" t="e">
        <f t="shared" si="18"/>
        <v>#REF!</v>
      </c>
      <c r="AF81" s="29" t="e">
        <f t="shared" si="18"/>
        <v>#REF!</v>
      </c>
      <c r="AG81" s="29" t="e">
        <f t="shared" si="18"/>
        <v>#REF!</v>
      </c>
      <c r="AH81" s="29" t="e">
        <f t="shared" si="18"/>
        <v>#REF!</v>
      </c>
      <c r="AI81" s="29" t="e">
        <f t="shared" si="18"/>
        <v>#REF!</v>
      </c>
      <c r="AJ81" s="29" t="e">
        <f t="shared" si="18"/>
        <v>#REF!</v>
      </c>
      <c r="AK81" s="29" t="e">
        <f t="shared" si="18"/>
        <v>#REF!</v>
      </c>
      <c r="AL81" s="29" t="e">
        <f t="shared" si="18"/>
        <v>#REF!</v>
      </c>
      <c r="AM81" s="29" t="e">
        <f t="shared" si="18"/>
        <v>#REF!</v>
      </c>
      <c r="AN81" s="29" t="e">
        <f t="shared" si="18"/>
        <v>#REF!</v>
      </c>
      <c r="AO81" s="29" t="e">
        <f t="shared" si="18"/>
        <v>#REF!</v>
      </c>
      <c r="AP81" s="29" t="e">
        <f t="shared" si="18"/>
        <v>#REF!</v>
      </c>
      <c r="AQ81" s="29" t="e">
        <f t="shared" si="18"/>
        <v>#REF!</v>
      </c>
      <c r="AR81" s="29" t="e">
        <f t="shared" si="18"/>
        <v>#REF!</v>
      </c>
    </row>
    <row r="82" spans="2:44">
      <c r="D82">
        <f>D80/D59</f>
        <v>0.86276274707157208</v>
      </c>
    </row>
    <row r="84" spans="2:44">
      <c r="B84" s="30" t="s">
        <v>93</v>
      </c>
      <c r="C84" s="31">
        <f>D41/D26</f>
        <v>0.59317095605047443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R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E7DC-4E30-47DF-9345-5D26ECF881BC}">
  <dimension ref="A2:AL84"/>
  <sheetViews>
    <sheetView topLeftCell="A5" workbookViewId="0">
      <selection activeCell="E41" sqref="E41"/>
    </sheetView>
  </sheetViews>
  <sheetFormatPr defaultColWidth="11.42578125" defaultRowHeight="15"/>
  <cols>
    <col min="2" max="2" width="27.42578125" customWidth="1"/>
    <col min="3" max="3" width="16.42578125" bestFit="1" customWidth="1"/>
    <col min="4" max="4" width="14.85546875" customWidth="1"/>
    <col min="5" max="5" width="9.85546875" bestFit="1" customWidth="1"/>
    <col min="8" max="8" width="11.28515625" bestFit="1" customWidth="1"/>
    <col min="28" max="28" width="11.7109375" customWidth="1"/>
  </cols>
  <sheetData>
    <row r="2" spans="2:38" ht="15.75">
      <c r="B2" s="54" t="s">
        <v>0</v>
      </c>
      <c r="C2" s="109" t="s">
        <v>1</v>
      </c>
    </row>
    <row r="3" spans="2:38" ht="15.75">
      <c r="B3" s="54" t="s">
        <v>2</v>
      </c>
      <c r="C3" s="109">
        <v>7</v>
      </c>
    </row>
    <row r="4" spans="2:38" ht="15.75">
      <c r="B4" s="54" t="s">
        <v>3</v>
      </c>
      <c r="C4" s="110">
        <v>45490</v>
      </c>
    </row>
    <row r="5" spans="2:38" ht="15.75">
      <c r="B5" s="54" t="s">
        <v>4</v>
      </c>
      <c r="C5" s="110">
        <v>45525</v>
      </c>
    </row>
    <row r="6" spans="2:38" ht="15.75">
      <c r="B6" s="179" t="s">
        <v>230</v>
      </c>
      <c r="C6" s="110" t="s">
        <v>284</v>
      </c>
    </row>
    <row r="7" spans="2:38" ht="15.75">
      <c r="B7" s="2"/>
      <c r="C7" s="2"/>
    </row>
    <row r="8" spans="2:38" ht="15.75">
      <c r="B8" s="54" t="s">
        <v>5</v>
      </c>
      <c r="D8" s="41" t="s">
        <v>6</v>
      </c>
      <c r="E8" s="42">
        <v>45492</v>
      </c>
      <c r="F8" s="42">
        <v>45493</v>
      </c>
      <c r="G8" s="42">
        <v>45494</v>
      </c>
      <c r="H8" s="42">
        <v>45495</v>
      </c>
      <c r="I8" s="42">
        <v>45496</v>
      </c>
      <c r="J8" s="42">
        <v>45497</v>
      </c>
      <c r="K8" s="42">
        <v>45498</v>
      </c>
      <c r="L8" s="42">
        <v>45499</v>
      </c>
      <c r="M8" s="42">
        <v>45500</v>
      </c>
      <c r="N8" s="42">
        <v>45501</v>
      </c>
      <c r="O8" s="42">
        <v>45502</v>
      </c>
      <c r="P8" s="42">
        <v>45503</v>
      </c>
      <c r="Q8" s="42">
        <v>45504</v>
      </c>
      <c r="R8" s="42">
        <v>45505</v>
      </c>
      <c r="S8" s="42">
        <v>45506</v>
      </c>
      <c r="T8" s="42">
        <v>45507</v>
      </c>
      <c r="U8" s="42">
        <v>45508</v>
      </c>
      <c r="V8" s="42">
        <v>45509</v>
      </c>
      <c r="W8" s="42">
        <v>45510</v>
      </c>
      <c r="X8" s="42">
        <v>45511</v>
      </c>
      <c r="Y8" s="42">
        <v>45512</v>
      </c>
      <c r="Z8" s="42">
        <v>45513</v>
      </c>
      <c r="AA8" s="42">
        <v>45514</v>
      </c>
      <c r="AB8" s="42">
        <v>45515</v>
      </c>
      <c r="AC8" s="42">
        <v>45516</v>
      </c>
      <c r="AD8" s="42">
        <v>45517</v>
      </c>
      <c r="AE8" s="42">
        <v>45518</v>
      </c>
      <c r="AF8" s="42">
        <v>45519</v>
      </c>
      <c r="AG8" s="42">
        <v>45520</v>
      </c>
      <c r="AH8" s="42">
        <v>45521</v>
      </c>
      <c r="AI8" s="42">
        <v>45522</v>
      </c>
      <c r="AJ8" s="42">
        <v>45523</v>
      </c>
      <c r="AK8" s="42">
        <v>45524</v>
      </c>
      <c r="AL8" s="42">
        <v>45525</v>
      </c>
    </row>
    <row r="9" spans="2:38">
      <c r="B9" s="46" t="s">
        <v>7</v>
      </c>
      <c r="C9" s="47" t="s">
        <v>8</v>
      </c>
      <c r="D9" s="71">
        <f>SUM(E9:N9)</f>
        <v>222</v>
      </c>
      <c r="E9" s="114">
        <v>9</v>
      </c>
      <c r="F9" s="114">
        <v>24</v>
      </c>
      <c r="G9" s="114">
        <v>24</v>
      </c>
      <c r="H9" s="114">
        <v>21</v>
      </c>
      <c r="I9" s="114">
        <v>24</v>
      </c>
      <c r="J9" s="114">
        <v>24</v>
      </c>
      <c r="K9" s="114">
        <v>24</v>
      </c>
      <c r="L9" s="114">
        <v>24</v>
      </c>
      <c r="M9" s="114">
        <v>24</v>
      </c>
      <c r="N9" s="114">
        <v>24</v>
      </c>
      <c r="O9" s="114">
        <v>23</v>
      </c>
      <c r="P9" s="114">
        <v>24</v>
      </c>
      <c r="Q9" s="114">
        <v>24</v>
      </c>
      <c r="R9" s="114">
        <v>24</v>
      </c>
      <c r="S9" s="114">
        <v>24</v>
      </c>
      <c r="T9" s="114">
        <v>24</v>
      </c>
      <c r="U9" s="114">
        <v>24</v>
      </c>
      <c r="V9" s="114">
        <v>23.5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24</v>
      </c>
      <c r="AD9" s="114">
        <v>24</v>
      </c>
      <c r="AE9" s="114">
        <v>24</v>
      </c>
      <c r="AF9" s="114">
        <v>24</v>
      </c>
      <c r="AG9" s="114">
        <v>24</v>
      </c>
      <c r="AH9" s="114">
        <v>24</v>
      </c>
      <c r="AI9" s="114">
        <v>24</v>
      </c>
      <c r="AJ9" s="114">
        <v>10</v>
      </c>
      <c r="AK9" s="114">
        <v>0</v>
      </c>
      <c r="AL9" s="114">
        <v>0</v>
      </c>
    </row>
    <row r="10" spans="2:38">
      <c r="B10" s="48" t="s">
        <v>9</v>
      </c>
      <c r="C10" s="38" t="s">
        <v>8</v>
      </c>
      <c r="D10" s="71">
        <f t="shared" ref="D10:D16" si="0">SUM(E10:K10)</f>
        <v>18</v>
      </c>
      <c r="E10" s="115">
        <v>15</v>
      </c>
      <c r="F10" s="115">
        <v>0</v>
      </c>
      <c r="G10" s="115">
        <v>0</v>
      </c>
      <c r="H10" s="115">
        <v>3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14</v>
      </c>
      <c r="AK10" s="115">
        <v>24</v>
      </c>
      <c r="AL10" s="115">
        <v>0</v>
      </c>
    </row>
    <row r="11" spans="2:38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</row>
    <row r="12" spans="2:38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</row>
    <row r="13" spans="2:38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</row>
    <row r="14" spans="2:38">
      <c r="B14" s="48" t="s">
        <v>13</v>
      </c>
      <c r="C14" s="38" t="s">
        <v>8</v>
      </c>
      <c r="D14" s="71">
        <f t="shared" si="0"/>
        <v>0</v>
      </c>
      <c r="E14" s="115">
        <v>0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</row>
    <row r="15" spans="2:38">
      <c r="B15" s="49" t="s">
        <v>14</v>
      </c>
      <c r="C15" s="40" t="s">
        <v>8</v>
      </c>
      <c r="D15" s="71">
        <f t="shared" si="0"/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1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0.5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</row>
    <row r="16" spans="2:38">
      <c r="B16" s="68" t="s">
        <v>15</v>
      </c>
      <c r="C16" s="69" t="s">
        <v>8</v>
      </c>
      <c r="D16" s="70">
        <f t="shared" si="0"/>
        <v>168</v>
      </c>
      <c r="E16" s="117">
        <f t="shared" ref="E16:G16" si="1">SUM(E9:E15)</f>
        <v>24</v>
      </c>
      <c r="F16" s="117">
        <f t="shared" si="1"/>
        <v>24</v>
      </c>
      <c r="G16" s="117">
        <f t="shared" si="1"/>
        <v>24</v>
      </c>
      <c r="H16" s="117">
        <f t="shared" ref="H16:AL16" si="2">SUM(H9:H15)</f>
        <v>24</v>
      </c>
      <c r="I16" s="117">
        <f t="shared" si="2"/>
        <v>24</v>
      </c>
      <c r="J16" s="117">
        <f t="shared" si="2"/>
        <v>24</v>
      </c>
      <c r="K16" s="117">
        <f t="shared" si="2"/>
        <v>24</v>
      </c>
      <c r="L16" s="117">
        <f t="shared" si="2"/>
        <v>24</v>
      </c>
      <c r="M16" s="117">
        <f t="shared" si="2"/>
        <v>24</v>
      </c>
      <c r="N16" s="117">
        <f t="shared" si="2"/>
        <v>24</v>
      </c>
      <c r="O16" s="117">
        <f t="shared" si="2"/>
        <v>24</v>
      </c>
      <c r="P16" s="117">
        <f t="shared" si="2"/>
        <v>24</v>
      </c>
      <c r="Q16" s="117">
        <f t="shared" si="2"/>
        <v>24</v>
      </c>
      <c r="R16" s="117">
        <f t="shared" si="2"/>
        <v>24</v>
      </c>
      <c r="S16" s="117">
        <f t="shared" si="2"/>
        <v>24</v>
      </c>
      <c r="T16" s="117">
        <f t="shared" si="2"/>
        <v>24</v>
      </c>
      <c r="U16" s="117">
        <f t="shared" si="2"/>
        <v>24</v>
      </c>
      <c r="V16" s="117">
        <f t="shared" si="2"/>
        <v>24</v>
      </c>
      <c r="W16" s="117">
        <f t="shared" si="2"/>
        <v>24</v>
      </c>
      <c r="X16" s="117">
        <f t="shared" si="2"/>
        <v>24</v>
      </c>
      <c r="Y16" s="117">
        <f t="shared" si="2"/>
        <v>24</v>
      </c>
      <c r="Z16" s="117">
        <f t="shared" si="2"/>
        <v>24</v>
      </c>
      <c r="AA16" s="117">
        <f t="shared" si="2"/>
        <v>24</v>
      </c>
      <c r="AB16" s="117">
        <f t="shared" si="2"/>
        <v>24</v>
      </c>
      <c r="AC16" s="117">
        <f t="shared" si="2"/>
        <v>24</v>
      </c>
      <c r="AD16" s="117">
        <f t="shared" si="2"/>
        <v>24</v>
      </c>
      <c r="AE16" s="117">
        <f t="shared" si="2"/>
        <v>24</v>
      </c>
      <c r="AF16" s="117">
        <f t="shared" si="2"/>
        <v>24</v>
      </c>
      <c r="AG16" s="117">
        <f t="shared" si="2"/>
        <v>24</v>
      </c>
      <c r="AH16" s="117">
        <f t="shared" si="2"/>
        <v>24</v>
      </c>
      <c r="AI16" s="117">
        <f t="shared" si="2"/>
        <v>24</v>
      </c>
      <c r="AJ16" s="117">
        <f t="shared" si="2"/>
        <v>24</v>
      </c>
      <c r="AK16" s="117">
        <f t="shared" si="2"/>
        <v>24</v>
      </c>
      <c r="AL16" s="117">
        <f t="shared" si="2"/>
        <v>0</v>
      </c>
    </row>
    <row r="18" spans="1:38">
      <c r="B18" s="50" t="s">
        <v>16</v>
      </c>
      <c r="C18" s="50" t="s">
        <v>0</v>
      </c>
      <c r="D18" s="58">
        <f>SUM(E18:K18)</f>
        <v>0</v>
      </c>
      <c r="E18" s="127" t="s">
        <v>162</v>
      </c>
      <c r="F18" s="127" t="s">
        <v>162</v>
      </c>
      <c r="G18" s="127" t="s">
        <v>162</v>
      </c>
      <c r="H18" s="127" t="s">
        <v>200</v>
      </c>
      <c r="I18" s="127" t="s">
        <v>476</v>
      </c>
      <c r="J18" s="127" t="s">
        <v>476</v>
      </c>
      <c r="K18" s="127" t="s">
        <v>476</v>
      </c>
      <c r="L18" s="127" t="s">
        <v>476</v>
      </c>
      <c r="M18" s="127" t="s">
        <v>476</v>
      </c>
      <c r="N18" s="127" t="s">
        <v>476</v>
      </c>
      <c r="O18" s="127" t="s">
        <v>476</v>
      </c>
      <c r="P18" s="127" t="s">
        <v>476</v>
      </c>
      <c r="Q18" s="127" t="s">
        <v>476</v>
      </c>
      <c r="R18" s="127" t="s">
        <v>476</v>
      </c>
      <c r="S18" s="127" t="s">
        <v>476</v>
      </c>
      <c r="T18" s="127" t="s">
        <v>476</v>
      </c>
      <c r="U18" s="127" t="s">
        <v>476</v>
      </c>
      <c r="V18" s="127" t="s">
        <v>476</v>
      </c>
      <c r="W18" s="127" t="s">
        <v>476</v>
      </c>
      <c r="X18" s="127" t="s">
        <v>476</v>
      </c>
      <c r="Y18" s="127" t="s">
        <v>476</v>
      </c>
      <c r="Z18" s="127" t="s">
        <v>476</v>
      </c>
      <c r="AA18" s="127" t="s">
        <v>476</v>
      </c>
      <c r="AB18" s="127" t="s">
        <v>476</v>
      </c>
      <c r="AC18" s="127" t="s">
        <v>476</v>
      </c>
      <c r="AD18" s="127" t="s">
        <v>476</v>
      </c>
      <c r="AE18" s="127" t="s">
        <v>476</v>
      </c>
      <c r="AF18" s="127" t="s">
        <v>476</v>
      </c>
      <c r="AG18" s="127" t="s">
        <v>476</v>
      </c>
      <c r="AH18" s="127" t="s">
        <v>476</v>
      </c>
      <c r="AI18" s="127" t="s">
        <v>476</v>
      </c>
      <c r="AJ18" s="127" t="s">
        <v>476</v>
      </c>
      <c r="AK18" s="127">
        <v>0</v>
      </c>
      <c r="AL18" s="127">
        <v>0</v>
      </c>
    </row>
    <row r="19" spans="1:38">
      <c r="B19" s="37" t="s">
        <v>31</v>
      </c>
      <c r="C19" s="37" t="s">
        <v>32</v>
      </c>
      <c r="D19" s="131">
        <f>SUM(E19:X19)</f>
        <v>390.6</v>
      </c>
      <c r="E19" s="162">
        <v>6</v>
      </c>
      <c r="F19" s="162">
        <v>24.3</v>
      </c>
      <c r="G19" s="162">
        <v>20</v>
      </c>
      <c r="H19" s="162">
        <v>18</v>
      </c>
      <c r="I19" s="162">
        <v>20</v>
      </c>
      <c r="J19" s="162">
        <v>17.5</v>
      </c>
      <c r="K19" s="162">
        <v>21</v>
      </c>
      <c r="L19" s="162">
        <v>16</v>
      </c>
      <c r="M19" s="162">
        <v>26.5</v>
      </c>
      <c r="N19" s="162">
        <v>19.8</v>
      </c>
      <c r="O19" s="162">
        <v>17.5</v>
      </c>
      <c r="P19" s="162">
        <v>19</v>
      </c>
      <c r="Q19" s="162">
        <v>19</v>
      </c>
      <c r="R19" s="162">
        <v>19</v>
      </c>
      <c r="S19" s="162">
        <v>21</v>
      </c>
      <c r="T19" s="162">
        <v>22</v>
      </c>
      <c r="U19" s="162">
        <v>23.5</v>
      </c>
      <c r="V19" s="162">
        <v>16.5</v>
      </c>
      <c r="W19" s="162">
        <v>24</v>
      </c>
      <c r="X19" s="162">
        <v>20</v>
      </c>
      <c r="Y19" s="162">
        <v>21.5</v>
      </c>
      <c r="Z19" s="162">
        <v>21.5</v>
      </c>
      <c r="AA19" s="162">
        <v>21.5</v>
      </c>
      <c r="AB19" s="162">
        <v>19</v>
      </c>
      <c r="AC19" s="162">
        <v>18</v>
      </c>
      <c r="AD19" s="162">
        <v>23.5</v>
      </c>
      <c r="AE19" s="162">
        <v>19</v>
      </c>
      <c r="AF19" s="162">
        <v>19</v>
      </c>
      <c r="AG19" s="162">
        <v>20</v>
      </c>
      <c r="AH19" s="162">
        <v>24.5</v>
      </c>
      <c r="AI19" s="162">
        <v>19</v>
      </c>
      <c r="AJ19" s="162">
        <v>9</v>
      </c>
      <c r="AK19" s="162">
        <v>0</v>
      </c>
      <c r="AL19" s="162">
        <v>0</v>
      </c>
    </row>
    <row r="20" spans="1:38">
      <c r="B20" s="37" t="s">
        <v>35</v>
      </c>
      <c r="C20" s="37" t="s">
        <v>36</v>
      </c>
      <c r="D20" s="131">
        <f>SUM(E20:X20)</f>
        <v>62</v>
      </c>
      <c r="E20" s="162">
        <v>1</v>
      </c>
      <c r="F20" s="162">
        <v>4</v>
      </c>
      <c r="G20" s="162">
        <v>3</v>
      </c>
      <c r="H20" s="162">
        <v>3</v>
      </c>
      <c r="I20" s="162">
        <v>3</v>
      </c>
      <c r="J20" s="162">
        <v>3</v>
      </c>
      <c r="K20" s="162">
        <v>3</v>
      </c>
      <c r="L20" s="162">
        <v>3</v>
      </c>
      <c r="M20" s="162">
        <v>4</v>
      </c>
      <c r="N20" s="162">
        <v>3</v>
      </c>
      <c r="O20" s="162">
        <v>3</v>
      </c>
      <c r="P20" s="162">
        <v>3</v>
      </c>
      <c r="Q20" s="162">
        <v>3</v>
      </c>
      <c r="R20" s="162">
        <v>3</v>
      </c>
      <c r="S20" s="162">
        <v>3</v>
      </c>
      <c r="T20" s="162">
        <v>3</v>
      </c>
      <c r="U20" s="162">
        <v>4</v>
      </c>
      <c r="V20" s="162">
        <v>3</v>
      </c>
      <c r="W20" s="162">
        <v>4</v>
      </c>
      <c r="X20" s="162">
        <v>3</v>
      </c>
      <c r="Y20" s="162">
        <v>3</v>
      </c>
      <c r="Z20" s="162">
        <v>3</v>
      </c>
      <c r="AA20" s="162">
        <v>3</v>
      </c>
      <c r="AB20" s="162">
        <v>3</v>
      </c>
      <c r="AC20" s="162">
        <v>3</v>
      </c>
      <c r="AD20" s="162">
        <v>4</v>
      </c>
      <c r="AE20" s="162">
        <v>3</v>
      </c>
      <c r="AF20" s="162">
        <v>3</v>
      </c>
      <c r="AG20" s="162">
        <v>3</v>
      </c>
      <c r="AH20" s="162">
        <v>4</v>
      </c>
      <c r="AI20" s="162">
        <v>3</v>
      </c>
      <c r="AJ20" s="162">
        <v>2</v>
      </c>
      <c r="AK20" s="162">
        <v>0</v>
      </c>
      <c r="AL20" s="162">
        <v>0</v>
      </c>
    </row>
    <row r="21" spans="1:38">
      <c r="B21" s="39" t="s">
        <v>37</v>
      </c>
      <c r="C21" s="39" t="s">
        <v>38</v>
      </c>
      <c r="D21" s="67">
        <f>SUM(E21:K21)</f>
        <v>0</v>
      </c>
      <c r="E21" s="129" t="s">
        <v>516</v>
      </c>
      <c r="F21" s="129" t="s">
        <v>517</v>
      </c>
      <c r="G21" s="129">
        <v>0</v>
      </c>
      <c r="H21" s="129">
        <v>0</v>
      </c>
      <c r="I21" s="129">
        <v>0</v>
      </c>
      <c r="J21" s="129" t="s">
        <v>518</v>
      </c>
      <c r="K21" s="129" t="s">
        <v>519</v>
      </c>
      <c r="L21" s="129" t="s">
        <v>519</v>
      </c>
      <c r="M21" s="129" t="s">
        <v>519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29" t="s">
        <v>520</v>
      </c>
      <c r="Z21" s="129">
        <v>0</v>
      </c>
      <c r="AA21" s="129" t="s">
        <v>521</v>
      </c>
      <c r="AB21" s="129" t="s">
        <v>519</v>
      </c>
      <c r="AC21" s="129">
        <v>0</v>
      </c>
      <c r="AD21" s="129">
        <v>0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  <c r="AK21" s="129">
        <v>0</v>
      </c>
      <c r="AL21" s="129">
        <v>0</v>
      </c>
    </row>
    <row r="22" spans="1:38">
      <c r="B22" s="39" t="s">
        <v>41</v>
      </c>
      <c r="C22" s="39" t="s">
        <v>42</v>
      </c>
      <c r="D22" s="130"/>
      <c r="E22" s="57"/>
      <c r="F22" s="304" t="s">
        <v>128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 t="s">
        <v>128</v>
      </c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4" spans="1:38">
      <c r="B24" s="167" t="s">
        <v>43</v>
      </c>
      <c r="C24" s="168">
        <f>D26/D19</f>
        <v>1613.2258064516127</v>
      </c>
    </row>
    <row r="25" spans="1:38">
      <c r="D25" s="10"/>
    </row>
    <row r="26" spans="1:38">
      <c r="A26" s="312" t="s">
        <v>44</v>
      </c>
      <c r="B26" s="35" t="s">
        <v>45</v>
      </c>
      <c r="C26" s="35"/>
      <c r="D26" s="175">
        <f t="shared" ref="D26:D38" si="3">SUM(E26:AL26)</f>
        <v>630126</v>
      </c>
      <c r="E26" s="75">
        <f t="shared" ref="E26:G26" si="4">SUM(E27:E38)</f>
        <v>4855</v>
      </c>
      <c r="F26" s="175">
        <f t="shared" si="4"/>
        <v>21634</v>
      </c>
      <c r="G26" s="75">
        <f t="shared" si="4"/>
        <v>14611</v>
      </c>
      <c r="H26" s="175">
        <f t="shared" ref="H26:AL26" si="5">SUM(H27:H38)</f>
        <v>14480</v>
      </c>
      <c r="I26" s="75">
        <f t="shared" si="5"/>
        <v>21328</v>
      </c>
      <c r="J26" s="175">
        <f t="shared" si="5"/>
        <v>20211</v>
      </c>
      <c r="K26" s="75">
        <f t="shared" si="5"/>
        <v>18817</v>
      </c>
      <c r="L26" s="175">
        <f t="shared" si="5"/>
        <v>19006</v>
      </c>
      <c r="M26" s="75">
        <f t="shared" si="5"/>
        <v>25372</v>
      </c>
      <c r="N26" s="175">
        <f t="shared" si="5"/>
        <v>18282</v>
      </c>
      <c r="O26" s="75">
        <f t="shared" si="5"/>
        <v>19107</v>
      </c>
      <c r="P26" s="175">
        <f t="shared" si="5"/>
        <v>23391</v>
      </c>
      <c r="Q26" s="75">
        <f t="shared" si="5"/>
        <v>27366</v>
      </c>
      <c r="R26" s="175">
        <f t="shared" si="5"/>
        <v>23309</v>
      </c>
      <c r="S26" s="75">
        <f t="shared" si="5"/>
        <v>25029</v>
      </c>
      <c r="T26" s="175">
        <f t="shared" si="5"/>
        <v>21121</v>
      </c>
      <c r="U26" s="75">
        <f t="shared" si="5"/>
        <v>26270</v>
      </c>
      <c r="V26" s="175">
        <f t="shared" si="5"/>
        <v>27831</v>
      </c>
      <c r="W26" s="75">
        <f t="shared" si="5"/>
        <v>31057</v>
      </c>
      <c r="X26" s="175">
        <f t="shared" si="5"/>
        <v>27058</v>
      </c>
      <c r="Y26" s="75">
        <f t="shared" si="5"/>
        <v>17388</v>
      </c>
      <c r="Z26" s="175">
        <f t="shared" si="5"/>
        <v>17367</v>
      </c>
      <c r="AA26" s="75">
        <f t="shared" si="5"/>
        <v>17949</v>
      </c>
      <c r="AB26" s="175">
        <f t="shared" si="5"/>
        <v>14761</v>
      </c>
      <c r="AC26" s="75">
        <f t="shared" si="5"/>
        <v>19329</v>
      </c>
      <c r="AD26" s="175">
        <f t="shared" si="5"/>
        <v>20489</v>
      </c>
      <c r="AE26" s="75">
        <f t="shared" si="5"/>
        <v>18084</v>
      </c>
      <c r="AF26" s="175">
        <f t="shared" si="5"/>
        <v>16038</v>
      </c>
      <c r="AG26" s="75">
        <f t="shared" si="5"/>
        <v>11080</v>
      </c>
      <c r="AH26" s="175">
        <f t="shared" si="5"/>
        <v>23681</v>
      </c>
      <c r="AI26" s="75">
        <f t="shared" si="5"/>
        <v>16765</v>
      </c>
      <c r="AJ26" s="175">
        <f t="shared" si="5"/>
        <v>7060</v>
      </c>
      <c r="AK26" s="75">
        <f t="shared" si="5"/>
        <v>0</v>
      </c>
      <c r="AL26" s="175">
        <f t="shared" si="5"/>
        <v>0</v>
      </c>
    </row>
    <row r="27" spans="1:38">
      <c r="A27" s="313"/>
      <c r="B27" s="37" t="s">
        <v>47</v>
      </c>
      <c r="C27" s="38" t="s">
        <v>48</v>
      </c>
      <c r="D27" s="73">
        <f t="shared" si="3"/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</row>
    <row r="28" spans="1:38">
      <c r="A28" s="313"/>
      <c r="B28" s="37" t="s">
        <v>49</v>
      </c>
      <c r="C28" s="38" t="s">
        <v>48</v>
      </c>
      <c r="D28" s="73">
        <f t="shared" si="3"/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</row>
    <row r="29" spans="1:38">
      <c r="A29" s="313"/>
      <c r="B29" s="37" t="s">
        <v>50</v>
      </c>
      <c r="C29" s="38" t="s">
        <v>48</v>
      </c>
      <c r="D29" s="73">
        <f t="shared" si="3"/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</row>
    <row r="30" spans="1:38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</row>
    <row r="31" spans="1:38">
      <c r="A31" s="313"/>
      <c r="B31" s="37" t="s">
        <v>52</v>
      </c>
      <c r="C31" s="38" t="s">
        <v>48</v>
      </c>
      <c r="D31" s="73">
        <f t="shared" si="3"/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</row>
    <row r="32" spans="1:38">
      <c r="A32" s="313"/>
      <c r="B32" s="37" t="s">
        <v>53</v>
      </c>
      <c r="C32" s="38" t="s">
        <v>48</v>
      </c>
      <c r="D32" s="73">
        <f t="shared" si="3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</row>
    <row r="33" spans="1:38">
      <c r="A33" s="313"/>
      <c r="B33" s="37" t="s">
        <v>54</v>
      </c>
      <c r="C33" s="38" t="s">
        <v>48</v>
      </c>
      <c r="D33" s="73">
        <f t="shared" si="3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</row>
    <row r="34" spans="1:38">
      <c r="A34" s="313"/>
      <c r="B34" s="37" t="s">
        <v>55</v>
      </c>
      <c r="C34" s="38" t="s">
        <v>48</v>
      </c>
      <c r="D34" s="73">
        <f t="shared" si="3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</row>
    <row r="35" spans="1:38">
      <c r="A35" s="313"/>
      <c r="B35" s="37" t="s">
        <v>56</v>
      </c>
      <c r="C35" s="38" t="s">
        <v>48</v>
      </c>
      <c r="D35" s="73">
        <f t="shared" si="3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</row>
    <row r="36" spans="1:38">
      <c r="A36" s="313"/>
      <c r="B36" s="37" t="s">
        <v>57</v>
      </c>
      <c r="C36" s="38" t="s">
        <v>48</v>
      </c>
      <c r="D36" s="73">
        <f t="shared" si="3"/>
        <v>376885</v>
      </c>
      <c r="E36" s="55">
        <v>1806</v>
      </c>
      <c r="F36" s="55">
        <v>8463</v>
      </c>
      <c r="G36" s="55">
        <v>4662</v>
      </c>
      <c r="H36" s="55">
        <v>5313</v>
      </c>
      <c r="I36" s="55">
        <v>7224</v>
      </c>
      <c r="J36" s="55">
        <v>9597</v>
      </c>
      <c r="K36" s="55">
        <v>7854</v>
      </c>
      <c r="L36" s="55">
        <v>11781</v>
      </c>
      <c r="M36" s="55">
        <v>10794</v>
      </c>
      <c r="N36" s="55">
        <v>8148</v>
      </c>
      <c r="O36" s="55">
        <v>9639</v>
      </c>
      <c r="P36" s="55">
        <v>14406</v>
      </c>
      <c r="Q36" s="55">
        <v>17598</v>
      </c>
      <c r="R36" s="55">
        <v>14364</v>
      </c>
      <c r="S36" s="55">
        <v>16044</v>
      </c>
      <c r="T36" s="55">
        <v>14406</v>
      </c>
      <c r="U36" s="55">
        <v>15120</v>
      </c>
      <c r="V36" s="55">
        <v>19866</v>
      </c>
      <c r="W36" s="55">
        <v>20202</v>
      </c>
      <c r="X36" s="55">
        <v>25158</v>
      </c>
      <c r="Y36" s="55">
        <v>17388</v>
      </c>
      <c r="Z36" s="55">
        <v>17367</v>
      </c>
      <c r="AA36" s="55">
        <v>15729</v>
      </c>
      <c r="AB36" s="55">
        <v>7810</v>
      </c>
      <c r="AC36" s="55">
        <v>12054</v>
      </c>
      <c r="AD36" s="55">
        <v>10059</v>
      </c>
      <c r="AE36" s="55">
        <v>10269</v>
      </c>
      <c r="AF36" s="55">
        <v>9492</v>
      </c>
      <c r="AG36" s="55">
        <v>5208</v>
      </c>
      <c r="AH36" s="55">
        <v>16086</v>
      </c>
      <c r="AI36" s="55">
        <v>9492</v>
      </c>
      <c r="AJ36" s="55">
        <v>3486</v>
      </c>
      <c r="AK36" s="55">
        <v>0</v>
      </c>
      <c r="AL36" s="55">
        <v>0</v>
      </c>
    </row>
    <row r="37" spans="1:38">
      <c r="A37" s="313"/>
      <c r="B37" s="37" t="s">
        <v>58</v>
      </c>
      <c r="C37" s="38" t="s">
        <v>48</v>
      </c>
      <c r="D37" s="73">
        <f t="shared" si="3"/>
        <v>253241</v>
      </c>
      <c r="E37" s="55">
        <v>3049</v>
      </c>
      <c r="F37" s="55">
        <v>13171</v>
      </c>
      <c r="G37" s="55">
        <v>9949</v>
      </c>
      <c r="H37" s="55">
        <v>9167</v>
      </c>
      <c r="I37" s="55">
        <v>14104</v>
      </c>
      <c r="J37" s="55">
        <v>10614</v>
      </c>
      <c r="K37" s="55">
        <v>10963</v>
      </c>
      <c r="L37" s="55">
        <v>7225</v>
      </c>
      <c r="M37" s="55">
        <v>14578</v>
      </c>
      <c r="N37" s="55">
        <v>10134</v>
      </c>
      <c r="O37" s="55">
        <v>9468</v>
      </c>
      <c r="P37" s="55">
        <v>8985</v>
      </c>
      <c r="Q37" s="55">
        <v>9768</v>
      </c>
      <c r="R37" s="55">
        <v>8945</v>
      </c>
      <c r="S37" s="55">
        <v>8985</v>
      </c>
      <c r="T37" s="55">
        <v>6715</v>
      </c>
      <c r="U37" s="55">
        <v>11150</v>
      </c>
      <c r="V37" s="55">
        <v>7965</v>
      </c>
      <c r="W37" s="55">
        <v>10855</v>
      </c>
      <c r="X37" s="55">
        <v>1900</v>
      </c>
      <c r="Y37" s="55">
        <v>0</v>
      </c>
      <c r="Z37" s="55">
        <v>0</v>
      </c>
      <c r="AA37" s="55">
        <v>2220</v>
      </c>
      <c r="AB37" s="55">
        <v>6951</v>
      </c>
      <c r="AC37" s="55">
        <v>7275</v>
      </c>
      <c r="AD37" s="55">
        <v>10430</v>
      </c>
      <c r="AE37" s="55">
        <v>7815</v>
      </c>
      <c r="AF37" s="55">
        <v>6546</v>
      </c>
      <c r="AG37" s="55">
        <v>5872</v>
      </c>
      <c r="AH37" s="55">
        <v>7595</v>
      </c>
      <c r="AI37" s="55">
        <v>7273</v>
      </c>
      <c r="AJ37" s="55">
        <v>3574</v>
      </c>
      <c r="AK37" s="55">
        <v>0</v>
      </c>
      <c r="AL37" s="55">
        <v>0</v>
      </c>
    </row>
    <row r="38" spans="1:38">
      <c r="A38" s="314"/>
      <c r="B38" s="39" t="s">
        <v>59</v>
      </c>
      <c r="C38" s="40" t="s">
        <v>48</v>
      </c>
      <c r="D38" s="74">
        <f t="shared" si="3"/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0</v>
      </c>
    </row>
    <row r="39" spans="1:38">
      <c r="A39" s="164"/>
      <c r="B39" s="94" t="s">
        <v>149</v>
      </c>
      <c r="C39" s="166"/>
      <c r="D39" s="180">
        <f t="shared" ref="D39:AL39" si="6">D37/D26</f>
        <v>0.40188946337716586</v>
      </c>
      <c r="E39" s="170">
        <f t="shared" si="6"/>
        <v>0.62801235839340885</v>
      </c>
      <c r="F39" s="170">
        <f t="shared" si="6"/>
        <v>0.60881020615697512</v>
      </c>
      <c r="G39" s="170">
        <f t="shared" si="6"/>
        <v>0.68092533023064816</v>
      </c>
      <c r="H39" s="170">
        <f t="shared" si="6"/>
        <v>0.63308011049723756</v>
      </c>
      <c r="I39" s="170">
        <f t="shared" si="6"/>
        <v>0.66129032258064513</v>
      </c>
      <c r="J39" s="170">
        <f t="shared" si="6"/>
        <v>0.5251595665726585</v>
      </c>
      <c r="K39" s="170">
        <f t="shared" si="6"/>
        <v>0.58261146835308497</v>
      </c>
      <c r="L39" s="170">
        <f t="shared" si="6"/>
        <v>0.38014311270125223</v>
      </c>
      <c r="M39" s="170">
        <f t="shared" si="6"/>
        <v>0.57457039255872611</v>
      </c>
      <c r="N39" s="170">
        <f t="shared" si="6"/>
        <v>0.55431572038070231</v>
      </c>
      <c r="O39" s="170">
        <f t="shared" si="6"/>
        <v>0.49552520018841262</v>
      </c>
      <c r="P39" s="170">
        <f t="shared" si="6"/>
        <v>0.38412209824291393</v>
      </c>
      <c r="Q39" s="170">
        <f t="shared" si="6"/>
        <v>0.35693926770445078</v>
      </c>
      <c r="R39" s="170">
        <f t="shared" si="6"/>
        <v>0.383757346947531</v>
      </c>
      <c r="S39" s="170">
        <f t="shared" si="6"/>
        <v>0.35898357904830397</v>
      </c>
      <c r="T39" s="170">
        <f t="shared" si="6"/>
        <v>0.31793002225273426</v>
      </c>
      <c r="U39" s="170">
        <f t="shared" si="6"/>
        <v>0.42443852303007235</v>
      </c>
      <c r="V39" s="170">
        <f t="shared" si="6"/>
        <v>0.28619165678559877</v>
      </c>
      <c r="W39" s="170">
        <f t="shared" si="6"/>
        <v>0.34951862704060277</v>
      </c>
      <c r="X39" s="170">
        <f t="shared" si="6"/>
        <v>7.0219528420430194E-2</v>
      </c>
      <c r="Y39" s="170">
        <f t="shared" si="6"/>
        <v>0</v>
      </c>
      <c r="Z39" s="170">
        <f t="shared" si="6"/>
        <v>0</v>
      </c>
      <c r="AA39" s="170">
        <f t="shared" si="6"/>
        <v>0.12368377068360355</v>
      </c>
      <c r="AB39" s="170">
        <f t="shared" si="6"/>
        <v>0.47090305534855365</v>
      </c>
      <c r="AC39" s="170">
        <f t="shared" si="6"/>
        <v>0.37637746391432564</v>
      </c>
      <c r="AD39" s="170">
        <f t="shared" si="6"/>
        <v>0.50905363853775198</v>
      </c>
      <c r="AE39" s="170">
        <f t="shared" si="6"/>
        <v>0.43214996682149964</v>
      </c>
      <c r="AF39" s="170">
        <f t="shared" si="6"/>
        <v>0.40815563037785257</v>
      </c>
      <c r="AG39" s="170">
        <f t="shared" si="6"/>
        <v>0.52996389891696749</v>
      </c>
      <c r="AH39" s="170">
        <f t="shared" si="6"/>
        <v>0.32072125332545076</v>
      </c>
      <c r="AI39" s="170">
        <f t="shared" si="6"/>
        <v>0.43382045929018787</v>
      </c>
      <c r="AJ39" s="170">
        <f t="shared" si="6"/>
        <v>0.50623229461756369</v>
      </c>
      <c r="AK39" s="170" t="e">
        <f t="shared" si="6"/>
        <v>#DIV/0!</v>
      </c>
      <c r="AL39" s="170" t="e">
        <f t="shared" si="6"/>
        <v>#DIV/0!</v>
      </c>
    </row>
    <row r="40" spans="1:38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</row>
    <row r="41" spans="1:38">
      <c r="A41" s="324" t="s">
        <v>60</v>
      </c>
      <c r="B41" s="50" t="s">
        <v>61</v>
      </c>
      <c r="C41" s="91" t="s">
        <v>62</v>
      </c>
      <c r="D41" s="81">
        <f>SUM(E41:AL41)</f>
        <v>561000</v>
      </c>
      <c r="E41" s="86">
        <v>16000</v>
      </c>
      <c r="F41" s="86">
        <v>18000</v>
      </c>
      <c r="G41" s="86">
        <v>17000</v>
      </c>
      <c r="H41" s="86">
        <v>16000</v>
      </c>
      <c r="I41" s="86">
        <v>17000</v>
      </c>
      <c r="J41" s="86">
        <v>17000</v>
      </c>
      <c r="K41" s="86">
        <v>17000</v>
      </c>
      <c r="L41" s="86">
        <v>17000</v>
      </c>
      <c r="M41" s="86">
        <v>18000</v>
      </c>
      <c r="N41" s="86">
        <v>17000</v>
      </c>
      <c r="O41" s="86">
        <v>16000</v>
      </c>
      <c r="P41" s="86">
        <v>17000</v>
      </c>
      <c r="Q41" s="86">
        <v>16000</v>
      </c>
      <c r="R41" s="86">
        <v>17000</v>
      </c>
      <c r="S41" s="86">
        <v>17000</v>
      </c>
      <c r="T41" s="86">
        <v>17000</v>
      </c>
      <c r="U41" s="86">
        <v>17000</v>
      </c>
      <c r="V41" s="86">
        <v>17000</v>
      </c>
      <c r="W41" s="86">
        <v>17000</v>
      </c>
      <c r="X41" s="86">
        <v>17000</v>
      </c>
      <c r="Y41" s="86">
        <v>16000</v>
      </c>
      <c r="Z41" s="86">
        <v>16000</v>
      </c>
      <c r="AA41" s="86">
        <v>17000</v>
      </c>
      <c r="AB41" s="86">
        <v>17000</v>
      </c>
      <c r="AC41" s="86">
        <v>16000</v>
      </c>
      <c r="AD41" s="86">
        <v>17000</v>
      </c>
      <c r="AE41" s="86">
        <v>17000</v>
      </c>
      <c r="AF41" s="86">
        <v>17000</v>
      </c>
      <c r="AG41" s="86">
        <v>18000</v>
      </c>
      <c r="AH41" s="86">
        <v>18000</v>
      </c>
      <c r="AI41" s="86">
        <v>17000</v>
      </c>
      <c r="AJ41" s="86">
        <v>18000</v>
      </c>
      <c r="AK41" s="86">
        <v>19000</v>
      </c>
      <c r="AL41" s="86">
        <v>0</v>
      </c>
    </row>
    <row r="42" spans="1:38">
      <c r="A42" s="325"/>
      <c r="B42" s="39" t="s">
        <v>63</v>
      </c>
      <c r="C42" s="92" t="s">
        <v>62</v>
      </c>
      <c r="D42" s="82">
        <f>SUM(E42:AL42)</f>
        <v>600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100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300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200</v>
      </c>
      <c r="AG42" s="87">
        <v>0</v>
      </c>
      <c r="AH42" s="87">
        <v>0</v>
      </c>
      <c r="AI42" s="87">
        <v>0</v>
      </c>
      <c r="AJ42" s="87">
        <v>0</v>
      </c>
      <c r="AK42" s="87">
        <v>0</v>
      </c>
      <c r="AL42" s="87">
        <v>0</v>
      </c>
    </row>
    <row r="44" spans="1:38">
      <c r="B44" s="167" t="s">
        <v>240</v>
      </c>
      <c r="C44" s="184" t="s">
        <v>241</v>
      </c>
      <c r="D44" s="187">
        <f>D41/D26</f>
        <v>0.89029813085002052</v>
      </c>
      <c r="E44" s="185">
        <f t="shared" ref="E44:AL44" si="7">E41/E26</f>
        <v>3.2955715756951598</v>
      </c>
      <c r="F44" s="188">
        <f t="shared" si="7"/>
        <v>0.83202366645095682</v>
      </c>
      <c r="G44" s="186">
        <f t="shared" si="7"/>
        <v>1.1635069468208883</v>
      </c>
      <c r="H44" s="188">
        <f t="shared" si="7"/>
        <v>1.1049723756906078</v>
      </c>
      <c r="I44" s="186">
        <f t="shared" si="7"/>
        <v>0.79707426856714181</v>
      </c>
      <c r="J44" s="188">
        <f t="shared" si="7"/>
        <v>0.841126119439909</v>
      </c>
      <c r="K44" s="186">
        <f t="shared" si="7"/>
        <v>0.90343838018812772</v>
      </c>
      <c r="L44" s="188">
        <f t="shared" si="7"/>
        <v>0.89445438282647582</v>
      </c>
      <c r="M44" s="186">
        <f t="shared" si="7"/>
        <v>0.70944348100268007</v>
      </c>
      <c r="N44" s="188">
        <f t="shared" si="7"/>
        <v>0.92987638113991899</v>
      </c>
      <c r="O44" s="186">
        <f t="shared" si="7"/>
        <v>0.8373894384257079</v>
      </c>
      <c r="P44" s="188">
        <f t="shared" si="7"/>
        <v>0.72677525544012656</v>
      </c>
      <c r="Q44" s="186">
        <f t="shared" si="7"/>
        <v>0.58466710516699549</v>
      </c>
      <c r="R44" s="188">
        <f t="shared" si="7"/>
        <v>0.72933201767557598</v>
      </c>
      <c r="S44" s="186">
        <f t="shared" si="7"/>
        <v>0.67921211394782055</v>
      </c>
      <c r="T44" s="188">
        <f t="shared" si="7"/>
        <v>0.80488613228540318</v>
      </c>
      <c r="U44" s="186">
        <f t="shared" si="7"/>
        <v>0.64712599923867531</v>
      </c>
      <c r="V44" s="188">
        <f t="shared" si="7"/>
        <v>0.61082965038985304</v>
      </c>
      <c r="W44" s="186">
        <f t="shared" si="7"/>
        <v>0.54738062272595545</v>
      </c>
      <c r="X44" s="188">
        <f t="shared" si="7"/>
        <v>0.62827999113016486</v>
      </c>
      <c r="Y44" s="186">
        <f t="shared" si="7"/>
        <v>0.92017483321831151</v>
      </c>
      <c r="Z44" s="188">
        <f t="shared" si="7"/>
        <v>0.92128749928024412</v>
      </c>
      <c r="AA44" s="186">
        <f t="shared" si="7"/>
        <v>0.9471279737032704</v>
      </c>
      <c r="AB44" s="188">
        <f t="shared" si="7"/>
        <v>1.1516834902784365</v>
      </c>
      <c r="AC44" s="186">
        <f t="shared" si="7"/>
        <v>0.82777174194215941</v>
      </c>
      <c r="AD44" s="188">
        <f t="shared" si="7"/>
        <v>0.82971350480745765</v>
      </c>
      <c r="AE44" s="186">
        <f t="shared" si="7"/>
        <v>0.94005750940057509</v>
      </c>
      <c r="AF44" s="188">
        <f t="shared" si="7"/>
        <v>1.0599825414640229</v>
      </c>
      <c r="AG44" s="186">
        <f t="shared" si="7"/>
        <v>1.6245487364620939</v>
      </c>
      <c r="AH44" s="188">
        <f t="shared" si="7"/>
        <v>0.76010303618935016</v>
      </c>
      <c r="AI44" s="186">
        <f t="shared" si="7"/>
        <v>1.0140172979421413</v>
      </c>
      <c r="AJ44" s="188">
        <f t="shared" si="7"/>
        <v>2.5495750708215299</v>
      </c>
      <c r="AK44" s="186" t="e">
        <f t="shared" si="7"/>
        <v>#DIV/0!</v>
      </c>
      <c r="AL44" s="188" t="e">
        <f t="shared" si="7"/>
        <v>#DIV/0!</v>
      </c>
    </row>
    <row r="46" spans="1:38">
      <c r="A46" s="312" t="s">
        <v>64</v>
      </c>
      <c r="B46" s="93" t="s">
        <v>65</v>
      </c>
      <c r="C46" s="47" t="s">
        <v>8</v>
      </c>
      <c r="D46" s="181">
        <f t="shared" ref="D46:D51" si="8">SUM(E46:AL46)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</row>
    <row r="47" spans="1:38">
      <c r="A47" s="313"/>
      <c r="B47" s="94" t="s">
        <v>66</v>
      </c>
      <c r="C47" s="38" t="s">
        <v>8</v>
      </c>
      <c r="D47" s="182">
        <f t="shared" si="8"/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</row>
    <row r="48" spans="1:38">
      <c r="A48" s="313"/>
      <c r="B48" s="94" t="s">
        <v>67</v>
      </c>
      <c r="C48" s="38" t="s">
        <v>8</v>
      </c>
      <c r="D48" s="182">
        <f t="shared" si="8"/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</row>
    <row r="49" spans="1:38">
      <c r="A49" s="313"/>
      <c r="B49" s="95" t="s">
        <v>68</v>
      </c>
      <c r="C49" s="40" t="s">
        <v>8</v>
      </c>
      <c r="D49" s="182">
        <f t="shared" si="8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</row>
    <row r="50" spans="1:38">
      <c r="A50" s="313"/>
      <c r="B50" s="93" t="s">
        <v>69</v>
      </c>
      <c r="C50" s="91" t="s">
        <v>48</v>
      </c>
      <c r="D50" s="181">
        <f t="shared" si="8"/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6">
        <v>0</v>
      </c>
      <c r="AK50" s="86">
        <v>0</v>
      </c>
      <c r="AL50" s="86">
        <v>0</v>
      </c>
    </row>
    <row r="51" spans="1:38">
      <c r="A51" s="314"/>
      <c r="B51" s="95" t="s">
        <v>70</v>
      </c>
      <c r="C51" s="92" t="s">
        <v>48</v>
      </c>
      <c r="D51" s="183">
        <f t="shared" si="8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</row>
    <row r="52" spans="1:38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</row>
    <row r="54" spans="1:38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</row>
    <row r="55" spans="1:38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522</v>
      </c>
      <c r="L55" s="8" t="s">
        <v>523</v>
      </c>
      <c r="M55" s="8" t="s">
        <v>75</v>
      </c>
      <c r="N55" s="8" t="s">
        <v>75</v>
      </c>
      <c r="O55" s="8" t="s">
        <v>75</v>
      </c>
      <c r="P55" s="8" t="s">
        <v>524</v>
      </c>
      <c r="Q55" s="8" t="s">
        <v>525</v>
      </c>
      <c r="R55" s="8" t="s">
        <v>526</v>
      </c>
      <c r="S55" s="306" t="s">
        <v>527</v>
      </c>
      <c r="T55" s="305" t="s">
        <v>75</v>
      </c>
      <c r="U55" s="307" t="s">
        <v>75</v>
      </c>
      <c r="V55" s="8" t="s">
        <v>528</v>
      </c>
      <c r="W55" s="8" t="s">
        <v>529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530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</row>
    <row r="56" spans="1:38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531</v>
      </c>
      <c r="J56" s="8" t="s">
        <v>75</v>
      </c>
      <c r="K56" s="8" t="s">
        <v>75</v>
      </c>
      <c r="L56" s="8" t="s">
        <v>128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532</v>
      </c>
      <c r="U56" s="8" t="s">
        <v>75</v>
      </c>
      <c r="V56" s="8" t="s">
        <v>75</v>
      </c>
      <c r="W56" s="8" t="s">
        <v>75</v>
      </c>
      <c r="X56" s="8" t="s">
        <v>533</v>
      </c>
      <c r="Y56" s="8" t="s">
        <v>75</v>
      </c>
      <c r="Z56" s="8" t="s">
        <v>75</v>
      </c>
      <c r="AA56" s="8" t="s">
        <v>534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75</v>
      </c>
    </row>
    <row r="57" spans="1:38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535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528</v>
      </c>
      <c r="W57" s="9" t="s">
        <v>128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75</v>
      </c>
    </row>
    <row r="59" spans="1:38" ht="15.75">
      <c r="B59" s="53" t="s">
        <v>83</v>
      </c>
      <c r="C59" s="99" t="s">
        <v>84</v>
      </c>
      <c r="D59" s="100">
        <f>SUM(D60:D72)</f>
        <v>15394124</v>
      </c>
      <c r="E59" s="101">
        <f>SUM(E60:E72)</f>
        <v>136174</v>
      </c>
      <c r="F59" s="101">
        <f t="shared" ref="F59:AL59" si="9">SUM(F60:F72)</f>
        <v>600148</v>
      </c>
      <c r="G59" s="101">
        <f t="shared" si="9"/>
        <v>422182</v>
      </c>
      <c r="H59" s="101">
        <f t="shared" si="9"/>
        <v>407312</v>
      </c>
      <c r="I59" s="101">
        <f t="shared" si="9"/>
        <v>609568</v>
      </c>
      <c r="J59" s="101">
        <f t="shared" si="9"/>
        <v>533622</v>
      </c>
      <c r="K59" s="101">
        <f t="shared" si="9"/>
        <v>514114</v>
      </c>
      <c r="L59" s="101">
        <f t="shared" si="9"/>
        <v>457708</v>
      </c>
      <c r="M59" s="101">
        <f t="shared" si="9"/>
        <v>689944</v>
      </c>
      <c r="N59" s="101">
        <f t="shared" si="9"/>
        <v>491220</v>
      </c>
      <c r="O59" s="101">
        <f t="shared" si="9"/>
        <v>495414</v>
      </c>
      <c r="P59" s="101">
        <f t="shared" si="9"/>
        <v>564798</v>
      </c>
      <c r="Q59" s="101">
        <f t="shared" si="9"/>
        <v>648876</v>
      </c>
      <c r="R59" s="101">
        <f t="shared" si="9"/>
        <v>562682</v>
      </c>
      <c r="S59" s="101">
        <f t="shared" si="9"/>
        <v>594282</v>
      </c>
      <c r="T59" s="101">
        <f t="shared" si="9"/>
        <v>487618</v>
      </c>
      <c r="U59" s="101">
        <f t="shared" si="9"/>
        <v>651260</v>
      </c>
      <c r="V59" s="101">
        <f t="shared" si="9"/>
        <v>628398</v>
      </c>
      <c r="W59" s="101">
        <f t="shared" si="9"/>
        <v>732706</v>
      </c>
      <c r="X59" s="101">
        <f t="shared" si="9"/>
        <v>517444</v>
      </c>
      <c r="Y59" s="101">
        <f t="shared" si="9"/>
        <v>312984</v>
      </c>
      <c r="Z59" s="101">
        <f t="shared" si="9"/>
        <v>312606</v>
      </c>
      <c r="AA59" s="101">
        <f t="shared" si="9"/>
        <v>358602</v>
      </c>
      <c r="AB59" s="101">
        <f t="shared" si="9"/>
        <v>376914</v>
      </c>
      <c r="AC59" s="101">
        <f t="shared" si="9"/>
        <v>464322</v>
      </c>
      <c r="AD59" s="101">
        <f t="shared" si="9"/>
        <v>535682</v>
      </c>
      <c r="AE59" s="101">
        <f t="shared" si="9"/>
        <v>450552</v>
      </c>
      <c r="AF59" s="101">
        <f t="shared" si="9"/>
        <v>393420</v>
      </c>
      <c r="AG59" s="101">
        <f t="shared" si="9"/>
        <v>293392</v>
      </c>
      <c r="AH59" s="101">
        <f t="shared" si="9"/>
        <v>547778</v>
      </c>
      <c r="AI59" s="101">
        <f t="shared" si="9"/>
        <v>418138</v>
      </c>
      <c r="AJ59" s="101">
        <f t="shared" si="9"/>
        <v>184264</v>
      </c>
      <c r="AK59" s="101">
        <f t="shared" si="9"/>
        <v>0</v>
      </c>
      <c r="AL59" s="101">
        <f t="shared" si="9"/>
        <v>0</v>
      </c>
    </row>
    <row r="60" spans="1:38">
      <c r="B60" s="96" t="s">
        <v>47</v>
      </c>
      <c r="C60" s="111">
        <v>53</v>
      </c>
      <c r="D60" s="97">
        <f>D27*$C60</f>
        <v>0</v>
      </c>
      <c r="E60" s="104">
        <f t="shared" ref="E60:AL71" si="10">E27*$C60</f>
        <v>0</v>
      </c>
      <c r="F60" s="104">
        <f t="shared" si="10"/>
        <v>0</v>
      </c>
      <c r="G60" s="104">
        <f t="shared" si="10"/>
        <v>0</v>
      </c>
      <c r="H60" s="104">
        <f t="shared" si="10"/>
        <v>0</v>
      </c>
      <c r="I60" s="104">
        <f t="shared" si="10"/>
        <v>0</v>
      </c>
      <c r="J60" s="104">
        <f t="shared" si="10"/>
        <v>0</v>
      </c>
      <c r="K60" s="104">
        <f t="shared" si="10"/>
        <v>0</v>
      </c>
      <c r="L60" s="104">
        <f t="shared" si="10"/>
        <v>0</v>
      </c>
      <c r="M60" s="104">
        <f t="shared" si="10"/>
        <v>0</v>
      </c>
      <c r="N60" s="104">
        <f t="shared" si="10"/>
        <v>0</v>
      </c>
      <c r="O60" s="104">
        <f t="shared" si="10"/>
        <v>0</v>
      </c>
      <c r="P60" s="104">
        <f t="shared" si="10"/>
        <v>0</v>
      </c>
      <c r="Q60" s="104">
        <f t="shared" si="10"/>
        <v>0</v>
      </c>
      <c r="R60" s="104">
        <f t="shared" si="10"/>
        <v>0</v>
      </c>
      <c r="S60" s="104">
        <f t="shared" si="10"/>
        <v>0</v>
      </c>
      <c r="T60" s="104">
        <f t="shared" si="10"/>
        <v>0</v>
      </c>
      <c r="U60" s="104">
        <f t="shared" si="10"/>
        <v>0</v>
      </c>
      <c r="V60" s="104">
        <f t="shared" si="10"/>
        <v>0</v>
      </c>
      <c r="W60" s="104">
        <f t="shared" si="10"/>
        <v>0</v>
      </c>
      <c r="X60" s="104">
        <f t="shared" si="10"/>
        <v>0</v>
      </c>
      <c r="Y60" s="104">
        <f t="shared" si="10"/>
        <v>0</v>
      </c>
      <c r="Z60" s="104">
        <f t="shared" si="10"/>
        <v>0</v>
      </c>
      <c r="AA60" s="104">
        <f t="shared" si="10"/>
        <v>0</v>
      </c>
      <c r="AB60" s="104">
        <f t="shared" si="10"/>
        <v>0</v>
      </c>
      <c r="AC60" s="104">
        <f t="shared" si="10"/>
        <v>0</v>
      </c>
      <c r="AD60" s="104">
        <f t="shared" si="10"/>
        <v>0</v>
      </c>
      <c r="AE60" s="104">
        <f t="shared" si="10"/>
        <v>0</v>
      </c>
      <c r="AF60" s="104">
        <f t="shared" si="10"/>
        <v>0</v>
      </c>
      <c r="AG60" s="104">
        <f t="shared" si="10"/>
        <v>0</v>
      </c>
      <c r="AH60" s="104">
        <f t="shared" si="10"/>
        <v>0</v>
      </c>
      <c r="AI60" s="104">
        <f t="shared" si="10"/>
        <v>0</v>
      </c>
      <c r="AJ60" s="104">
        <f t="shared" si="10"/>
        <v>0</v>
      </c>
      <c r="AK60" s="104">
        <f t="shared" si="10"/>
        <v>0</v>
      </c>
      <c r="AL60" s="104">
        <f t="shared" si="10"/>
        <v>0</v>
      </c>
    </row>
    <row r="61" spans="1:38">
      <c r="B61" s="96" t="s">
        <v>49</v>
      </c>
      <c r="C61" s="111">
        <v>32</v>
      </c>
      <c r="D61" s="97">
        <f t="shared" ref="D61:AJ68" si="11">D28*$C61</f>
        <v>0</v>
      </c>
      <c r="E61" s="104">
        <f t="shared" si="11"/>
        <v>0</v>
      </c>
      <c r="F61" s="104">
        <f t="shared" si="11"/>
        <v>0</v>
      </c>
      <c r="G61" s="104">
        <f t="shared" si="11"/>
        <v>0</v>
      </c>
      <c r="H61" s="104">
        <f t="shared" si="11"/>
        <v>0</v>
      </c>
      <c r="I61" s="104">
        <f t="shared" si="11"/>
        <v>0</v>
      </c>
      <c r="J61" s="104">
        <f t="shared" si="11"/>
        <v>0</v>
      </c>
      <c r="K61" s="104">
        <f t="shared" si="11"/>
        <v>0</v>
      </c>
      <c r="L61" s="104">
        <f t="shared" si="11"/>
        <v>0</v>
      </c>
      <c r="M61" s="104">
        <f t="shared" si="11"/>
        <v>0</v>
      </c>
      <c r="N61" s="104">
        <f t="shared" si="11"/>
        <v>0</v>
      </c>
      <c r="O61" s="104">
        <f t="shared" si="11"/>
        <v>0</v>
      </c>
      <c r="P61" s="104">
        <f t="shared" si="11"/>
        <v>0</v>
      </c>
      <c r="Q61" s="104">
        <f t="shared" si="11"/>
        <v>0</v>
      </c>
      <c r="R61" s="104">
        <f t="shared" si="11"/>
        <v>0</v>
      </c>
      <c r="S61" s="104">
        <f t="shared" si="11"/>
        <v>0</v>
      </c>
      <c r="T61" s="104">
        <f t="shared" si="11"/>
        <v>0</v>
      </c>
      <c r="U61" s="104">
        <f t="shared" si="11"/>
        <v>0</v>
      </c>
      <c r="V61" s="104">
        <f t="shared" si="11"/>
        <v>0</v>
      </c>
      <c r="W61" s="104">
        <f t="shared" si="11"/>
        <v>0</v>
      </c>
      <c r="X61" s="104">
        <f t="shared" si="11"/>
        <v>0</v>
      </c>
      <c r="Y61" s="104">
        <f t="shared" si="11"/>
        <v>0</v>
      </c>
      <c r="Z61" s="104">
        <f t="shared" si="11"/>
        <v>0</v>
      </c>
      <c r="AA61" s="104">
        <f t="shared" si="11"/>
        <v>0</v>
      </c>
      <c r="AB61" s="104">
        <f t="shared" si="11"/>
        <v>0</v>
      </c>
      <c r="AC61" s="104">
        <f t="shared" si="11"/>
        <v>0</v>
      </c>
      <c r="AD61" s="104">
        <f t="shared" si="11"/>
        <v>0</v>
      </c>
      <c r="AE61" s="104">
        <f t="shared" si="11"/>
        <v>0</v>
      </c>
      <c r="AF61" s="104">
        <f t="shared" si="11"/>
        <v>0</v>
      </c>
      <c r="AG61" s="104">
        <f t="shared" si="11"/>
        <v>0</v>
      </c>
      <c r="AH61" s="104">
        <f t="shared" si="11"/>
        <v>0</v>
      </c>
      <c r="AI61" s="104">
        <f t="shared" si="11"/>
        <v>0</v>
      </c>
      <c r="AJ61" s="104">
        <f t="shared" si="11"/>
        <v>0</v>
      </c>
      <c r="AK61" s="104">
        <f t="shared" si="10"/>
        <v>0</v>
      </c>
      <c r="AL61" s="104">
        <f t="shared" si="10"/>
        <v>0</v>
      </c>
    </row>
    <row r="62" spans="1:38">
      <c r="B62" s="96" t="s">
        <v>50</v>
      </c>
      <c r="C62" s="111">
        <v>23</v>
      </c>
      <c r="D62" s="97">
        <f t="shared" si="11"/>
        <v>0</v>
      </c>
      <c r="E62" s="104">
        <f t="shared" si="11"/>
        <v>0</v>
      </c>
      <c r="F62" s="104">
        <f t="shared" si="11"/>
        <v>0</v>
      </c>
      <c r="G62" s="104">
        <f t="shared" si="11"/>
        <v>0</v>
      </c>
      <c r="H62" s="104">
        <f t="shared" si="11"/>
        <v>0</v>
      </c>
      <c r="I62" s="104">
        <f t="shared" si="11"/>
        <v>0</v>
      </c>
      <c r="J62" s="104">
        <f t="shared" si="11"/>
        <v>0</v>
      </c>
      <c r="K62" s="104">
        <f t="shared" si="11"/>
        <v>0</v>
      </c>
      <c r="L62" s="104">
        <f t="shared" si="11"/>
        <v>0</v>
      </c>
      <c r="M62" s="104">
        <f t="shared" si="11"/>
        <v>0</v>
      </c>
      <c r="N62" s="104">
        <f t="shared" si="11"/>
        <v>0</v>
      </c>
      <c r="O62" s="104">
        <f t="shared" si="11"/>
        <v>0</v>
      </c>
      <c r="P62" s="104">
        <f t="shared" si="11"/>
        <v>0</v>
      </c>
      <c r="Q62" s="104">
        <f t="shared" si="11"/>
        <v>0</v>
      </c>
      <c r="R62" s="104">
        <f t="shared" si="11"/>
        <v>0</v>
      </c>
      <c r="S62" s="104">
        <f t="shared" si="11"/>
        <v>0</v>
      </c>
      <c r="T62" s="104">
        <f t="shared" si="11"/>
        <v>0</v>
      </c>
      <c r="U62" s="104">
        <f t="shared" si="11"/>
        <v>0</v>
      </c>
      <c r="V62" s="104">
        <f t="shared" si="11"/>
        <v>0</v>
      </c>
      <c r="W62" s="104">
        <f t="shared" si="11"/>
        <v>0</v>
      </c>
      <c r="X62" s="104">
        <f t="shared" si="11"/>
        <v>0</v>
      </c>
      <c r="Y62" s="104">
        <f t="shared" si="11"/>
        <v>0</v>
      </c>
      <c r="Z62" s="104">
        <f t="shared" si="11"/>
        <v>0</v>
      </c>
      <c r="AA62" s="104">
        <f t="shared" si="11"/>
        <v>0</v>
      </c>
      <c r="AB62" s="104">
        <f t="shared" si="11"/>
        <v>0</v>
      </c>
      <c r="AC62" s="104">
        <f t="shared" si="11"/>
        <v>0</v>
      </c>
      <c r="AD62" s="104">
        <f t="shared" si="11"/>
        <v>0</v>
      </c>
      <c r="AE62" s="104">
        <f t="shared" si="11"/>
        <v>0</v>
      </c>
      <c r="AF62" s="104">
        <f t="shared" si="11"/>
        <v>0</v>
      </c>
      <c r="AG62" s="104">
        <f t="shared" si="11"/>
        <v>0</v>
      </c>
      <c r="AH62" s="104">
        <f t="shared" si="11"/>
        <v>0</v>
      </c>
      <c r="AI62" s="104">
        <f t="shared" si="11"/>
        <v>0</v>
      </c>
      <c r="AJ62" s="104">
        <f t="shared" si="11"/>
        <v>0</v>
      </c>
      <c r="AK62" s="104">
        <f t="shared" si="10"/>
        <v>0</v>
      </c>
      <c r="AL62" s="104">
        <f t="shared" si="10"/>
        <v>0</v>
      </c>
    </row>
    <row r="63" spans="1:38">
      <c r="B63" s="96" t="s">
        <v>51</v>
      </c>
      <c r="C63" s="111">
        <v>15</v>
      </c>
      <c r="D63" s="97">
        <f t="shared" si="11"/>
        <v>0</v>
      </c>
      <c r="E63" s="104">
        <f t="shared" si="11"/>
        <v>0</v>
      </c>
      <c r="F63" s="104">
        <f t="shared" si="11"/>
        <v>0</v>
      </c>
      <c r="G63" s="104">
        <f t="shared" si="11"/>
        <v>0</v>
      </c>
      <c r="H63" s="104">
        <f t="shared" si="11"/>
        <v>0</v>
      </c>
      <c r="I63" s="104">
        <f t="shared" si="11"/>
        <v>0</v>
      </c>
      <c r="J63" s="104">
        <f t="shared" si="11"/>
        <v>0</v>
      </c>
      <c r="K63" s="104">
        <f t="shared" si="11"/>
        <v>0</v>
      </c>
      <c r="L63" s="104">
        <f t="shared" si="11"/>
        <v>0</v>
      </c>
      <c r="M63" s="104">
        <f t="shared" si="11"/>
        <v>0</v>
      </c>
      <c r="N63" s="104">
        <f t="shared" si="11"/>
        <v>0</v>
      </c>
      <c r="O63" s="104">
        <f t="shared" si="11"/>
        <v>0</v>
      </c>
      <c r="P63" s="104">
        <f t="shared" si="11"/>
        <v>0</v>
      </c>
      <c r="Q63" s="104">
        <f t="shared" si="11"/>
        <v>0</v>
      </c>
      <c r="R63" s="104">
        <f t="shared" si="11"/>
        <v>0</v>
      </c>
      <c r="S63" s="104">
        <f t="shared" si="11"/>
        <v>0</v>
      </c>
      <c r="T63" s="104">
        <f t="shared" si="11"/>
        <v>0</v>
      </c>
      <c r="U63" s="104">
        <f t="shared" si="11"/>
        <v>0</v>
      </c>
      <c r="V63" s="104">
        <f t="shared" si="11"/>
        <v>0</v>
      </c>
      <c r="W63" s="104">
        <f t="shared" si="11"/>
        <v>0</v>
      </c>
      <c r="X63" s="104">
        <f t="shared" si="11"/>
        <v>0</v>
      </c>
      <c r="Y63" s="104">
        <f t="shared" si="11"/>
        <v>0</v>
      </c>
      <c r="Z63" s="104">
        <f t="shared" si="11"/>
        <v>0</v>
      </c>
      <c r="AA63" s="104">
        <f t="shared" si="11"/>
        <v>0</v>
      </c>
      <c r="AB63" s="104">
        <f t="shared" si="11"/>
        <v>0</v>
      </c>
      <c r="AC63" s="104">
        <f t="shared" si="11"/>
        <v>0</v>
      </c>
      <c r="AD63" s="104">
        <f t="shared" si="11"/>
        <v>0</v>
      </c>
      <c r="AE63" s="104">
        <f t="shared" si="11"/>
        <v>0</v>
      </c>
      <c r="AF63" s="104">
        <f t="shared" si="11"/>
        <v>0</v>
      </c>
      <c r="AG63" s="104">
        <f t="shared" si="11"/>
        <v>0</v>
      </c>
      <c r="AH63" s="104">
        <f t="shared" si="11"/>
        <v>0</v>
      </c>
      <c r="AI63" s="104">
        <f t="shared" si="11"/>
        <v>0</v>
      </c>
      <c r="AJ63" s="104">
        <f t="shared" si="11"/>
        <v>0</v>
      </c>
      <c r="AK63" s="104">
        <f t="shared" si="10"/>
        <v>0</v>
      </c>
      <c r="AL63" s="104">
        <f t="shared" si="10"/>
        <v>0</v>
      </c>
    </row>
    <row r="64" spans="1:38">
      <c r="B64" s="96" t="s">
        <v>52</v>
      </c>
      <c r="C64" s="111">
        <v>10</v>
      </c>
      <c r="D64" s="97">
        <f t="shared" si="11"/>
        <v>0</v>
      </c>
      <c r="E64" s="104">
        <f t="shared" si="11"/>
        <v>0</v>
      </c>
      <c r="F64" s="104">
        <f t="shared" si="11"/>
        <v>0</v>
      </c>
      <c r="G64" s="104">
        <f t="shared" si="11"/>
        <v>0</v>
      </c>
      <c r="H64" s="104">
        <f t="shared" si="11"/>
        <v>0</v>
      </c>
      <c r="I64" s="104">
        <f t="shared" si="11"/>
        <v>0</v>
      </c>
      <c r="J64" s="104">
        <f t="shared" si="11"/>
        <v>0</v>
      </c>
      <c r="K64" s="104">
        <f t="shared" si="11"/>
        <v>0</v>
      </c>
      <c r="L64" s="104">
        <f t="shared" si="11"/>
        <v>0</v>
      </c>
      <c r="M64" s="104">
        <f t="shared" si="11"/>
        <v>0</v>
      </c>
      <c r="N64" s="104">
        <f t="shared" si="11"/>
        <v>0</v>
      </c>
      <c r="O64" s="104">
        <f t="shared" si="11"/>
        <v>0</v>
      </c>
      <c r="P64" s="104">
        <f t="shared" si="11"/>
        <v>0</v>
      </c>
      <c r="Q64" s="104">
        <f t="shared" si="11"/>
        <v>0</v>
      </c>
      <c r="R64" s="104">
        <f t="shared" si="11"/>
        <v>0</v>
      </c>
      <c r="S64" s="104">
        <f t="shared" si="11"/>
        <v>0</v>
      </c>
      <c r="T64" s="104">
        <f t="shared" si="11"/>
        <v>0</v>
      </c>
      <c r="U64" s="104">
        <f t="shared" si="11"/>
        <v>0</v>
      </c>
      <c r="V64" s="104">
        <f t="shared" si="11"/>
        <v>0</v>
      </c>
      <c r="W64" s="104">
        <f t="shared" si="11"/>
        <v>0</v>
      </c>
      <c r="X64" s="104">
        <f t="shared" si="11"/>
        <v>0</v>
      </c>
      <c r="Y64" s="104">
        <f t="shared" si="11"/>
        <v>0</v>
      </c>
      <c r="Z64" s="104">
        <f t="shared" si="11"/>
        <v>0</v>
      </c>
      <c r="AA64" s="104">
        <f t="shared" si="11"/>
        <v>0</v>
      </c>
      <c r="AB64" s="104">
        <f t="shared" si="11"/>
        <v>0</v>
      </c>
      <c r="AC64" s="104">
        <f t="shared" si="11"/>
        <v>0</v>
      </c>
      <c r="AD64" s="104">
        <f t="shared" si="11"/>
        <v>0</v>
      </c>
      <c r="AE64" s="104">
        <f t="shared" si="11"/>
        <v>0</v>
      </c>
      <c r="AF64" s="104">
        <f t="shared" si="11"/>
        <v>0</v>
      </c>
      <c r="AG64" s="104">
        <f t="shared" si="11"/>
        <v>0</v>
      </c>
      <c r="AH64" s="104">
        <f t="shared" si="11"/>
        <v>0</v>
      </c>
      <c r="AI64" s="104">
        <f t="shared" si="11"/>
        <v>0</v>
      </c>
      <c r="AJ64" s="104">
        <f t="shared" si="11"/>
        <v>0</v>
      </c>
      <c r="AK64" s="104">
        <f t="shared" si="10"/>
        <v>0</v>
      </c>
      <c r="AL64" s="104">
        <f t="shared" si="10"/>
        <v>0</v>
      </c>
    </row>
    <row r="65" spans="2:38">
      <c r="B65" s="96" t="s">
        <v>53</v>
      </c>
      <c r="C65" s="111">
        <v>19</v>
      </c>
      <c r="D65" s="97">
        <f t="shared" si="11"/>
        <v>0</v>
      </c>
      <c r="E65" s="104">
        <f t="shared" si="11"/>
        <v>0</v>
      </c>
      <c r="F65" s="104">
        <f t="shared" si="11"/>
        <v>0</v>
      </c>
      <c r="G65" s="104">
        <f t="shared" si="11"/>
        <v>0</v>
      </c>
      <c r="H65" s="104">
        <f t="shared" si="11"/>
        <v>0</v>
      </c>
      <c r="I65" s="104">
        <f t="shared" si="11"/>
        <v>0</v>
      </c>
      <c r="J65" s="104">
        <f t="shared" si="11"/>
        <v>0</v>
      </c>
      <c r="K65" s="104">
        <f t="shared" si="11"/>
        <v>0</v>
      </c>
      <c r="L65" s="104">
        <f t="shared" si="11"/>
        <v>0</v>
      </c>
      <c r="M65" s="104">
        <f t="shared" si="11"/>
        <v>0</v>
      </c>
      <c r="N65" s="104">
        <f t="shared" si="11"/>
        <v>0</v>
      </c>
      <c r="O65" s="104">
        <f t="shared" si="11"/>
        <v>0</v>
      </c>
      <c r="P65" s="104">
        <f t="shared" si="11"/>
        <v>0</v>
      </c>
      <c r="Q65" s="104">
        <f t="shared" si="11"/>
        <v>0</v>
      </c>
      <c r="R65" s="104">
        <f t="shared" si="11"/>
        <v>0</v>
      </c>
      <c r="S65" s="104">
        <f t="shared" si="11"/>
        <v>0</v>
      </c>
      <c r="T65" s="104">
        <f t="shared" si="11"/>
        <v>0</v>
      </c>
      <c r="U65" s="104">
        <f t="shared" si="11"/>
        <v>0</v>
      </c>
      <c r="V65" s="104">
        <f t="shared" si="11"/>
        <v>0</v>
      </c>
      <c r="W65" s="104">
        <f t="shared" si="11"/>
        <v>0</v>
      </c>
      <c r="X65" s="104">
        <f t="shared" si="11"/>
        <v>0</v>
      </c>
      <c r="Y65" s="104">
        <f t="shared" si="11"/>
        <v>0</v>
      </c>
      <c r="Z65" s="104">
        <f t="shared" si="11"/>
        <v>0</v>
      </c>
      <c r="AA65" s="104">
        <f t="shared" si="11"/>
        <v>0</v>
      </c>
      <c r="AB65" s="104">
        <f t="shared" si="11"/>
        <v>0</v>
      </c>
      <c r="AC65" s="104">
        <f t="shared" si="11"/>
        <v>0</v>
      </c>
      <c r="AD65" s="104">
        <f t="shared" si="11"/>
        <v>0</v>
      </c>
      <c r="AE65" s="104">
        <f t="shared" si="11"/>
        <v>0</v>
      </c>
      <c r="AF65" s="104">
        <f t="shared" si="11"/>
        <v>0</v>
      </c>
      <c r="AG65" s="104">
        <f t="shared" si="11"/>
        <v>0</v>
      </c>
      <c r="AH65" s="104">
        <f t="shared" si="11"/>
        <v>0</v>
      </c>
      <c r="AI65" s="104">
        <f t="shared" si="11"/>
        <v>0</v>
      </c>
      <c r="AJ65" s="104">
        <f t="shared" si="11"/>
        <v>0</v>
      </c>
      <c r="AK65" s="104">
        <f t="shared" si="10"/>
        <v>0</v>
      </c>
      <c r="AL65" s="104">
        <f t="shared" si="10"/>
        <v>0</v>
      </c>
    </row>
    <row r="66" spans="2:38">
      <c r="B66" s="96" t="s">
        <v>54</v>
      </c>
      <c r="C66" s="111">
        <v>10</v>
      </c>
      <c r="D66" s="97">
        <f t="shared" si="11"/>
        <v>0</v>
      </c>
      <c r="E66" s="104">
        <f t="shared" si="11"/>
        <v>0</v>
      </c>
      <c r="F66" s="104">
        <f t="shared" si="11"/>
        <v>0</v>
      </c>
      <c r="G66" s="104">
        <f t="shared" si="11"/>
        <v>0</v>
      </c>
      <c r="H66" s="104">
        <f t="shared" si="11"/>
        <v>0</v>
      </c>
      <c r="I66" s="104">
        <f t="shared" si="11"/>
        <v>0</v>
      </c>
      <c r="J66" s="104">
        <f t="shared" si="11"/>
        <v>0</v>
      </c>
      <c r="K66" s="104">
        <f t="shared" si="11"/>
        <v>0</v>
      </c>
      <c r="L66" s="104">
        <f t="shared" si="11"/>
        <v>0</v>
      </c>
      <c r="M66" s="104">
        <f t="shared" si="11"/>
        <v>0</v>
      </c>
      <c r="N66" s="104">
        <f t="shared" si="11"/>
        <v>0</v>
      </c>
      <c r="O66" s="104">
        <f t="shared" si="11"/>
        <v>0</v>
      </c>
      <c r="P66" s="104">
        <f t="shared" si="11"/>
        <v>0</v>
      </c>
      <c r="Q66" s="104">
        <f t="shared" si="11"/>
        <v>0</v>
      </c>
      <c r="R66" s="104">
        <f t="shared" si="11"/>
        <v>0</v>
      </c>
      <c r="S66" s="104">
        <f t="shared" si="11"/>
        <v>0</v>
      </c>
      <c r="T66" s="104">
        <f t="shared" si="11"/>
        <v>0</v>
      </c>
      <c r="U66" s="104">
        <f t="shared" si="11"/>
        <v>0</v>
      </c>
      <c r="V66" s="104">
        <f t="shared" si="11"/>
        <v>0</v>
      </c>
      <c r="W66" s="104">
        <f t="shared" si="11"/>
        <v>0</v>
      </c>
      <c r="X66" s="104">
        <f t="shared" si="11"/>
        <v>0</v>
      </c>
      <c r="Y66" s="104">
        <f t="shared" si="11"/>
        <v>0</v>
      </c>
      <c r="Z66" s="104">
        <f t="shared" si="11"/>
        <v>0</v>
      </c>
      <c r="AA66" s="104">
        <f t="shared" si="11"/>
        <v>0</v>
      </c>
      <c r="AB66" s="104">
        <f t="shared" si="11"/>
        <v>0</v>
      </c>
      <c r="AC66" s="104">
        <f t="shared" si="11"/>
        <v>0</v>
      </c>
      <c r="AD66" s="104">
        <f t="shared" si="11"/>
        <v>0</v>
      </c>
      <c r="AE66" s="104">
        <f t="shared" si="11"/>
        <v>0</v>
      </c>
      <c r="AF66" s="104">
        <f t="shared" si="11"/>
        <v>0</v>
      </c>
      <c r="AG66" s="104">
        <f t="shared" si="11"/>
        <v>0</v>
      </c>
      <c r="AH66" s="104">
        <f t="shared" si="11"/>
        <v>0</v>
      </c>
      <c r="AI66" s="104">
        <f t="shared" si="11"/>
        <v>0</v>
      </c>
      <c r="AJ66" s="104">
        <f t="shared" si="11"/>
        <v>0</v>
      </c>
      <c r="AK66" s="104">
        <f t="shared" si="10"/>
        <v>0</v>
      </c>
      <c r="AL66" s="104">
        <f t="shared" si="10"/>
        <v>0</v>
      </c>
    </row>
    <row r="67" spans="2:38">
      <c r="B67" s="96" t="s">
        <v>55</v>
      </c>
      <c r="C67" s="111">
        <v>50</v>
      </c>
      <c r="D67" s="97">
        <f t="shared" si="11"/>
        <v>0</v>
      </c>
      <c r="E67" s="104">
        <f t="shared" si="11"/>
        <v>0</v>
      </c>
      <c r="F67" s="104">
        <f t="shared" si="11"/>
        <v>0</v>
      </c>
      <c r="G67" s="104">
        <f t="shared" si="11"/>
        <v>0</v>
      </c>
      <c r="H67" s="104">
        <f t="shared" si="11"/>
        <v>0</v>
      </c>
      <c r="I67" s="104">
        <f t="shared" si="11"/>
        <v>0</v>
      </c>
      <c r="J67" s="104">
        <f t="shared" si="11"/>
        <v>0</v>
      </c>
      <c r="K67" s="104">
        <f t="shared" si="11"/>
        <v>0</v>
      </c>
      <c r="L67" s="104">
        <f t="shared" si="11"/>
        <v>0</v>
      </c>
      <c r="M67" s="104">
        <f t="shared" si="11"/>
        <v>0</v>
      </c>
      <c r="N67" s="104">
        <f t="shared" si="11"/>
        <v>0</v>
      </c>
      <c r="O67" s="104">
        <f t="shared" si="11"/>
        <v>0</v>
      </c>
      <c r="P67" s="104">
        <f t="shared" si="11"/>
        <v>0</v>
      </c>
      <c r="Q67" s="104">
        <f t="shared" si="11"/>
        <v>0</v>
      </c>
      <c r="R67" s="104">
        <f t="shared" si="11"/>
        <v>0</v>
      </c>
      <c r="S67" s="104">
        <f t="shared" si="11"/>
        <v>0</v>
      </c>
      <c r="T67" s="104">
        <f t="shared" si="11"/>
        <v>0</v>
      </c>
      <c r="U67" s="104">
        <f t="shared" si="11"/>
        <v>0</v>
      </c>
      <c r="V67" s="104">
        <f t="shared" si="11"/>
        <v>0</v>
      </c>
      <c r="W67" s="104">
        <f t="shared" si="11"/>
        <v>0</v>
      </c>
      <c r="X67" s="104">
        <f t="shared" si="11"/>
        <v>0</v>
      </c>
      <c r="Y67" s="104">
        <f t="shared" si="11"/>
        <v>0</v>
      </c>
      <c r="Z67" s="104">
        <f t="shared" si="11"/>
        <v>0</v>
      </c>
      <c r="AA67" s="104">
        <f t="shared" si="11"/>
        <v>0</v>
      </c>
      <c r="AB67" s="104">
        <f t="shared" si="11"/>
        <v>0</v>
      </c>
      <c r="AC67" s="104">
        <f t="shared" si="11"/>
        <v>0</v>
      </c>
      <c r="AD67" s="104">
        <f t="shared" si="11"/>
        <v>0</v>
      </c>
      <c r="AE67" s="104">
        <f t="shared" si="11"/>
        <v>0</v>
      </c>
      <c r="AF67" s="104">
        <f t="shared" si="11"/>
        <v>0</v>
      </c>
      <c r="AG67" s="104">
        <f t="shared" si="11"/>
        <v>0</v>
      </c>
      <c r="AH67" s="104">
        <f t="shared" si="11"/>
        <v>0</v>
      </c>
      <c r="AI67" s="104">
        <f t="shared" si="11"/>
        <v>0</v>
      </c>
      <c r="AJ67" s="104">
        <f t="shared" si="11"/>
        <v>0</v>
      </c>
      <c r="AK67" s="104">
        <f t="shared" si="10"/>
        <v>0</v>
      </c>
      <c r="AL67" s="104">
        <f t="shared" si="10"/>
        <v>0</v>
      </c>
    </row>
    <row r="68" spans="2:38">
      <c r="B68" s="96" t="s">
        <v>56</v>
      </c>
      <c r="C68" s="111">
        <v>27.39</v>
      </c>
      <c r="D68" s="97">
        <f t="shared" si="11"/>
        <v>0</v>
      </c>
      <c r="E68" s="104">
        <f t="shared" si="11"/>
        <v>0</v>
      </c>
      <c r="F68" s="104">
        <f t="shared" si="11"/>
        <v>0</v>
      </c>
      <c r="G68" s="104">
        <f t="shared" si="11"/>
        <v>0</v>
      </c>
      <c r="H68" s="104">
        <f t="shared" si="11"/>
        <v>0</v>
      </c>
      <c r="I68" s="104">
        <f t="shared" si="11"/>
        <v>0</v>
      </c>
      <c r="J68" s="104">
        <f t="shared" si="11"/>
        <v>0</v>
      </c>
      <c r="K68" s="104">
        <f t="shared" si="11"/>
        <v>0</v>
      </c>
      <c r="L68" s="104">
        <f t="shared" si="11"/>
        <v>0</v>
      </c>
      <c r="M68" s="104">
        <f t="shared" si="11"/>
        <v>0</v>
      </c>
      <c r="N68" s="104">
        <f t="shared" si="11"/>
        <v>0</v>
      </c>
      <c r="O68" s="104">
        <f t="shared" si="11"/>
        <v>0</v>
      </c>
      <c r="P68" s="104">
        <f t="shared" si="11"/>
        <v>0</v>
      </c>
      <c r="Q68" s="104">
        <f t="shared" si="11"/>
        <v>0</v>
      </c>
      <c r="R68" s="104">
        <f t="shared" si="11"/>
        <v>0</v>
      </c>
      <c r="S68" s="104">
        <f t="shared" si="11"/>
        <v>0</v>
      </c>
      <c r="T68" s="104">
        <f t="shared" si="11"/>
        <v>0</v>
      </c>
      <c r="U68" s="104">
        <f t="shared" si="11"/>
        <v>0</v>
      </c>
      <c r="V68" s="104">
        <f t="shared" si="11"/>
        <v>0</v>
      </c>
      <c r="W68" s="104">
        <f t="shared" si="11"/>
        <v>0</v>
      </c>
      <c r="X68" s="104">
        <f t="shared" si="11"/>
        <v>0</v>
      </c>
      <c r="Y68" s="104">
        <f t="shared" si="11"/>
        <v>0</v>
      </c>
      <c r="Z68" s="104">
        <f t="shared" si="11"/>
        <v>0</v>
      </c>
      <c r="AA68" s="104">
        <f t="shared" si="11"/>
        <v>0</v>
      </c>
      <c r="AB68" s="104">
        <f t="shared" ref="AB68:AJ68" si="12">AB35*$C68</f>
        <v>0</v>
      </c>
      <c r="AC68" s="104">
        <f t="shared" si="12"/>
        <v>0</v>
      </c>
      <c r="AD68" s="104">
        <f t="shared" si="12"/>
        <v>0</v>
      </c>
      <c r="AE68" s="104">
        <f t="shared" si="12"/>
        <v>0</v>
      </c>
      <c r="AF68" s="104">
        <f t="shared" si="12"/>
        <v>0</v>
      </c>
      <c r="AG68" s="104">
        <f t="shared" si="12"/>
        <v>0</v>
      </c>
      <c r="AH68" s="104">
        <f t="shared" si="12"/>
        <v>0</v>
      </c>
      <c r="AI68" s="104">
        <f t="shared" si="12"/>
        <v>0</v>
      </c>
      <c r="AJ68" s="104">
        <f t="shared" si="12"/>
        <v>0</v>
      </c>
      <c r="AK68" s="104">
        <f t="shared" si="10"/>
        <v>0</v>
      </c>
      <c r="AL68" s="104">
        <f t="shared" si="10"/>
        <v>0</v>
      </c>
    </row>
    <row r="69" spans="2:38">
      <c r="B69" s="96" t="s">
        <v>57</v>
      </c>
      <c r="C69" s="111">
        <v>18</v>
      </c>
      <c r="D69" s="97">
        <f t="shared" ref="D69:AJ71" si="13">D36*$C69</f>
        <v>6783930</v>
      </c>
      <c r="E69" s="104">
        <f t="shared" si="13"/>
        <v>32508</v>
      </c>
      <c r="F69" s="104">
        <f t="shared" si="13"/>
        <v>152334</v>
      </c>
      <c r="G69" s="104">
        <f t="shared" si="13"/>
        <v>83916</v>
      </c>
      <c r="H69" s="104">
        <f t="shared" si="13"/>
        <v>95634</v>
      </c>
      <c r="I69" s="104">
        <f t="shared" si="13"/>
        <v>130032</v>
      </c>
      <c r="J69" s="104">
        <f t="shared" si="13"/>
        <v>172746</v>
      </c>
      <c r="K69" s="104">
        <f t="shared" si="13"/>
        <v>141372</v>
      </c>
      <c r="L69" s="104">
        <f t="shared" si="13"/>
        <v>212058</v>
      </c>
      <c r="M69" s="104">
        <f t="shared" si="13"/>
        <v>194292</v>
      </c>
      <c r="N69" s="104">
        <f t="shared" si="13"/>
        <v>146664</v>
      </c>
      <c r="O69" s="104">
        <f t="shared" si="13"/>
        <v>173502</v>
      </c>
      <c r="P69" s="104">
        <f t="shared" si="13"/>
        <v>259308</v>
      </c>
      <c r="Q69" s="104">
        <f t="shared" si="13"/>
        <v>316764</v>
      </c>
      <c r="R69" s="104">
        <f t="shared" si="13"/>
        <v>258552</v>
      </c>
      <c r="S69" s="104">
        <f t="shared" si="13"/>
        <v>288792</v>
      </c>
      <c r="T69" s="104">
        <f t="shared" si="13"/>
        <v>259308</v>
      </c>
      <c r="U69" s="104">
        <f t="shared" si="13"/>
        <v>272160</v>
      </c>
      <c r="V69" s="104">
        <f t="shared" si="13"/>
        <v>357588</v>
      </c>
      <c r="W69" s="104">
        <f t="shared" si="13"/>
        <v>363636</v>
      </c>
      <c r="X69" s="104">
        <f t="shared" si="13"/>
        <v>452844</v>
      </c>
      <c r="Y69" s="104">
        <f t="shared" si="13"/>
        <v>312984</v>
      </c>
      <c r="Z69" s="104">
        <f t="shared" si="13"/>
        <v>312606</v>
      </c>
      <c r="AA69" s="104">
        <f t="shared" si="13"/>
        <v>283122</v>
      </c>
      <c r="AB69" s="104">
        <f t="shared" si="13"/>
        <v>140580</v>
      </c>
      <c r="AC69" s="104">
        <f t="shared" si="13"/>
        <v>216972</v>
      </c>
      <c r="AD69" s="104">
        <f t="shared" si="13"/>
        <v>181062</v>
      </c>
      <c r="AE69" s="104">
        <f t="shared" si="13"/>
        <v>184842</v>
      </c>
      <c r="AF69" s="104">
        <f t="shared" si="13"/>
        <v>170856</v>
      </c>
      <c r="AG69" s="104">
        <f t="shared" si="13"/>
        <v>93744</v>
      </c>
      <c r="AH69" s="104">
        <f t="shared" si="13"/>
        <v>289548</v>
      </c>
      <c r="AI69" s="104">
        <f t="shared" si="13"/>
        <v>170856</v>
      </c>
      <c r="AJ69" s="104">
        <f t="shared" si="13"/>
        <v>62748</v>
      </c>
      <c r="AK69" s="104">
        <f t="shared" si="10"/>
        <v>0</v>
      </c>
      <c r="AL69" s="104">
        <f t="shared" si="10"/>
        <v>0</v>
      </c>
    </row>
    <row r="70" spans="2:38">
      <c r="B70" s="96" t="s">
        <v>58</v>
      </c>
      <c r="C70" s="111">
        <v>34</v>
      </c>
      <c r="D70" s="97">
        <f t="shared" si="13"/>
        <v>8610194</v>
      </c>
      <c r="E70" s="104">
        <f t="shared" si="13"/>
        <v>103666</v>
      </c>
      <c r="F70" s="104">
        <f t="shared" si="13"/>
        <v>447814</v>
      </c>
      <c r="G70" s="104">
        <f t="shared" si="13"/>
        <v>338266</v>
      </c>
      <c r="H70" s="104">
        <f t="shared" si="13"/>
        <v>311678</v>
      </c>
      <c r="I70" s="104">
        <f t="shared" si="13"/>
        <v>479536</v>
      </c>
      <c r="J70" s="104">
        <f t="shared" si="13"/>
        <v>360876</v>
      </c>
      <c r="K70" s="104">
        <f t="shared" si="13"/>
        <v>372742</v>
      </c>
      <c r="L70" s="104">
        <f t="shared" si="13"/>
        <v>245650</v>
      </c>
      <c r="M70" s="104">
        <f t="shared" si="13"/>
        <v>495652</v>
      </c>
      <c r="N70" s="104">
        <f t="shared" si="13"/>
        <v>344556</v>
      </c>
      <c r="O70" s="104">
        <f t="shared" si="13"/>
        <v>321912</v>
      </c>
      <c r="P70" s="104">
        <f t="shared" si="13"/>
        <v>305490</v>
      </c>
      <c r="Q70" s="104">
        <f t="shared" si="13"/>
        <v>332112</v>
      </c>
      <c r="R70" s="104">
        <f t="shared" si="13"/>
        <v>304130</v>
      </c>
      <c r="S70" s="104">
        <f t="shared" si="13"/>
        <v>305490</v>
      </c>
      <c r="T70" s="104">
        <f t="shared" si="13"/>
        <v>228310</v>
      </c>
      <c r="U70" s="104">
        <f t="shared" si="13"/>
        <v>379100</v>
      </c>
      <c r="V70" s="104">
        <f t="shared" si="13"/>
        <v>270810</v>
      </c>
      <c r="W70" s="104">
        <f t="shared" si="13"/>
        <v>369070</v>
      </c>
      <c r="X70" s="104">
        <f t="shared" si="13"/>
        <v>64600</v>
      </c>
      <c r="Y70" s="104">
        <f t="shared" si="13"/>
        <v>0</v>
      </c>
      <c r="Z70" s="104">
        <f t="shared" si="13"/>
        <v>0</v>
      </c>
      <c r="AA70" s="104">
        <f t="shared" si="13"/>
        <v>75480</v>
      </c>
      <c r="AB70" s="104">
        <f t="shared" si="13"/>
        <v>236334</v>
      </c>
      <c r="AC70" s="104">
        <f t="shared" si="13"/>
        <v>247350</v>
      </c>
      <c r="AD70" s="104">
        <f t="shared" si="13"/>
        <v>354620</v>
      </c>
      <c r="AE70" s="104">
        <f t="shared" si="13"/>
        <v>265710</v>
      </c>
      <c r="AF70" s="104">
        <f t="shared" si="13"/>
        <v>222564</v>
      </c>
      <c r="AG70" s="104">
        <f t="shared" si="13"/>
        <v>199648</v>
      </c>
      <c r="AH70" s="104">
        <f t="shared" si="13"/>
        <v>258230</v>
      </c>
      <c r="AI70" s="104">
        <f t="shared" si="13"/>
        <v>247282</v>
      </c>
      <c r="AJ70" s="104">
        <f t="shared" si="13"/>
        <v>121516</v>
      </c>
      <c r="AK70" s="104">
        <f t="shared" si="10"/>
        <v>0</v>
      </c>
      <c r="AL70" s="104">
        <f t="shared" si="10"/>
        <v>0</v>
      </c>
    </row>
    <row r="71" spans="2:38">
      <c r="B71" s="96" t="s">
        <v>59</v>
      </c>
      <c r="C71" s="112">
        <v>8</v>
      </c>
      <c r="D71" s="97">
        <f t="shared" si="13"/>
        <v>0</v>
      </c>
      <c r="E71" s="104">
        <f t="shared" si="13"/>
        <v>0</v>
      </c>
      <c r="F71" s="104">
        <f t="shared" si="13"/>
        <v>0</v>
      </c>
      <c r="G71" s="104">
        <f t="shared" si="13"/>
        <v>0</v>
      </c>
      <c r="H71" s="104">
        <f t="shared" si="13"/>
        <v>0</v>
      </c>
      <c r="I71" s="104">
        <f t="shared" si="13"/>
        <v>0</v>
      </c>
      <c r="J71" s="104">
        <f t="shared" si="13"/>
        <v>0</v>
      </c>
      <c r="K71" s="104">
        <f t="shared" si="13"/>
        <v>0</v>
      </c>
      <c r="L71" s="104">
        <f t="shared" si="13"/>
        <v>0</v>
      </c>
      <c r="M71" s="104">
        <f t="shared" si="13"/>
        <v>0</v>
      </c>
      <c r="N71" s="104">
        <f t="shared" si="13"/>
        <v>0</v>
      </c>
      <c r="O71" s="104">
        <f t="shared" si="13"/>
        <v>0</v>
      </c>
      <c r="P71" s="104">
        <f t="shared" si="13"/>
        <v>0</v>
      </c>
      <c r="Q71" s="104">
        <f t="shared" si="13"/>
        <v>0</v>
      </c>
      <c r="R71" s="104">
        <f t="shared" si="13"/>
        <v>0</v>
      </c>
      <c r="S71" s="104">
        <f t="shared" si="13"/>
        <v>0</v>
      </c>
      <c r="T71" s="104">
        <f t="shared" si="13"/>
        <v>0</v>
      </c>
      <c r="U71" s="104">
        <f t="shared" si="13"/>
        <v>0</v>
      </c>
      <c r="V71" s="104">
        <f t="shared" si="13"/>
        <v>0</v>
      </c>
      <c r="W71" s="104">
        <f t="shared" si="13"/>
        <v>0</v>
      </c>
      <c r="X71" s="104">
        <f t="shared" si="13"/>
        <v>0</v>
      </c>
      <c r="Y71" s="104">
        <f t="shared" si="13"/>
        <v>0</v>
      </c>
      <c r="Z71" s="104">
        <f t="shared" si="13"/>
        <v>0</v>
      </c>
      <c r="AA71" s="104">
        <f t="shared" si="13"/>
        <v>0</v>
      </c>
      <c r="AB71" s="104">
        <f t="shared" si="13"/>
        <v>0</v>
      </c>
      <c r="AC71" s="104">
        <f t="shared" si="13"/>
        <v>0</v>
      </c>
      <c r="AD71" s="104">
        <f t="shared" si="13"/>
        <v>0</v>
      </c>
      <c r="AE71" s="104">
        <f t="shared" si="13"/>
        <v>0</v>
      </c>
      <c r="AF71" s="104">
        <f t="shared" si="13"/>
        <v>0</v>
      </c>
      <c r="AG71" s="104">
        <f t="shared" si="13"/>
        <v>0</v>
      </c>
      <c r="AH71" s="104">
        <f t="shared" si="13"/>
        <v>0</v>
      </c>
      <c r="AI71" s="104">
        <f t="shared" si="13"/>
        <v>0</v>
      </c>
      <c r="AJ71" s="104">
        <f t="shared" si="13"/>
        <v>0</v>
      </c>
      <c r="AK71" s="104">
        <f t="shared" si="10"/>
        <v>0</v>
      </c>
      <c r="AL71" s="104">
        <f t="shared" si="10"/>
        <v>0</v>
      </c>
    </row>
    <row r="72" spans="2:38">
      <c r="B72" s="35" t="s">
        <v>85</v>
      </c>
      <c r="C72" s="113">
        <v>3.5</v>
      </c>
      <c r="D72" s="98">
        <f t="shared" ref="D72:AL72" si="14">D50*C72</f>
        <v>0</v>
      </c>
      <c r="E72" s="107">
        <f>E50*$C$72</f>
        <v>0</v>
      </c>
      <c r="F72" s="107">
        <f t="shared" si="14"/>
        <v>0</v>
      </c>
      <c r="G72" s="107">
        <f t="shared" si="14"/>
        <v>0</v>
      </c>
      <c r="H72" s="107">
        <f t="shared" si="14"/>
        <v>0</v>
      </c>
      <c r="I72" s="107">
        <f t="shared" si="14"/>
        <v>0</v>
      </c>
      <c r="J72" s="107">
        <f t="shared" si="14"/>
        <v>0</v>
      </c>
      <c r="K72" s="107">
        <f t="shared" si="14"/>
        <v>0</v>
      </c>
      <c r="L72" s="107">
        <f t="shared" si="14"/>
        <v>0</v>
      </c>
      <c r="M72" s="107">
        <f t="shared" si="14"/>
        <v>0</v>
      </c>
      <c r="N72" s="107">
        <f t="shared" si="14"/>
        <v>0</v>
      </c>
      <c r="O72" s="107">
        <f t="shared" si="14"/>
        <v>0</v>
      </c>
      <c r="P72" s="107">
        <f t="shared" si="14"/>
        <v>0</v>
      </c>
      <c r="Q72" s="107">
        <f t="shared" si="14"/>
        <v>0</v>
      </c>
      <c r="R72" s="107">
        <f t="shared" si="14"/>
        <v>0</v>
      </c>
      <c r="S72" s="107">
        <f t="shared" si="14"/>
        <v>0</v>
      </c>
      <c r="T72" s="107">
        <f t="shared" si="14"/>
        <v>0</v>
      </c>
      <c r="U72" s="107">
        <f t="shared" si="14"/>
        <v>0</v>
      </c>
      <c r="V72" s="107">
        <f t="shared" si="14"/>
        <v>0</v>
      </c>
      <c r="W72" s="107">
        <f t="shared" si="14"/>
        <v>0</v>
      </c>
      <c r="X72" s="107">
        <f t="shared" si="14"/>
        <v>0</v>
      </c>
      <c r="Y72" s="107">
        <f t="shared" si="14"/>
        <v>0</v>
      </c>
      <c r="Z72" s="107">
        <f t="shared" si="14"/>
        <v>0</v>
      </c>
      <c r="AA72" s="107">
        <f t="shared" si="14"/>
        <v>0</v>
      </c>
      <c r="AB72" s="107">
        <f t="shared" si="14"/>
        <v>0</v>
      </c>
      <c r="AC72" s="107">
        <f t="shared" si="14"/>
        <v>0</v>
      </c>
      <c r="AD72" s="107">
        <f t="shared" si="14"/>
        <v>0</v>
      </c>
      <c r="AE72" s="107">
        <f t="shared" si="14"/>
        <v>0</v>
      </c>
      <c r="AF72" s="107">
        <f t="shared" si="14"/>
        <v>0</v>
      </c>
      <c r="AG72" s="107">
        <f t="shared" si="14"/>
        <v>0</v>
      </c>
      <c r="AH72" s="107">
        <f t="shared" si="14"/>
        <v>0</v>
      </c>
      <c r="AI72" s="107">
        <f t="shared" si="14"/>
        <v>0</v>
      </c>
      <c r="AJ72" s="107">
        <f t="shared" si="14"/>
        <v>0</v>
      </c>
      <c r="AK72" s="107">
        <f t="shared" si="14"/>
        <v>0</v>
      </c>
      <c r="AL72" s="107">
        <f t="shared" si="14"/>
        <v>0</v>
      </c>
    </row>
    <row r="74" spans="2:38">
      <c r="B74" s="318" t="s">
        <v>86</v>
      </c>
      <c r="C74" s="319"/>
      <c r="D74" s="108">
        <f>AVERAGEIF(E59:N59, "&gt;0")</f>
        <v>486199.2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6" spans="2:38">
      <c r="B76" s="12" t="s">
        <v>87</v>
      </c>
      <c r="C76" s="13">
        <v>0.31</v>
      </c>
      <c r="D76" s="14">
        <f>SUM(E76:AL76)</f>
        <v>4772178.4399999985</v>
      </c>
      <c r="E76" s="14">
        <f t="shared" ref="E76:AL76" si="15">E59*$C$76</f>
        <v>42213.94</v>
      </c>
      <c r="F76" s="14">
        <f t="shared" si="15"/>
        <v>186045.88</v>
      </c>
      <c r="G76" s="14">
        <f t="shared" si="15"/>
        <v>130876.42</v>
      </c>
      <c r="H76" s="14">
        <f t="shared" si="15"/>
        <v>126266.72</v>
      </c>
      <c r="I76" s="14">
        <f t="shared" si="15"/>
        <v>188966.08</v>
      </c>
      <c r="J76" s="14">
        <f t="shared" si="15"/>
        <v>165422.82</v>
      </c>
      <c r="K76" s="15">
        <f t="shared" si="15"/>
        <v>159375.34</v>
      </c>
      <c r="L76" s="14">
        <f t="shared" si="15"/>
        <v>141889.48000000001</v>
      </c>
      <c r="M76" s="15">
        <f t="shared" si="15"/>
        <v>213882.63999999998</v>
      </c>
      <c r="N76" s="14">
        <f t="shared" si="15"/>
        <v>152278.20000000001</v>
      </c>
      <c r="O76" s="14">
        <f t="shared" si="15"/>
        <v>153578.34</v>
      </c>
      <c r="P76" s="14">
        <f t="shared" si="15"/>
        <v>175087.38</v>
      </c>
      <c r="Q76" s="14">
        <f t="shared" si="15"/>
        <v>201151.56</v>
      </c>
      <c r="R76" s="14">
        <f t="shared" si="15"/>
        <v>174431.42</v>
      </c>
      <c r="S76" s="14">
        <f t="shared" si="15"/>
        <v>184227.42</v>
      </c>
      <c r="T76" s="14">
        <f t="shared" si="15"/>
        <v>151161.57999999999</v>
      </c>
      <c r="U76" s="14">
        <f t="shared" si="15"/>
        <v>201890.6</v>
      </c>
      <c r="V76" s="14">
        <f t="shared" si="15"/>
        <v>194803.38</v>
      </c>
      <c r="W76" s="14">
        <f t="shared" si="15"/>
        <v>227138.86</v>
      </c>
      <c r="X76" s="14">
        <f t="shared" si="15"/>
        <v>160407.63999999998</v>
      </c>
      <c r="Y76" s="14">
        <f t="shared" si="15"/>
        <v>97025.04</v>
      </c>
      <c r="Z76" s="14">
        <f t="shared" si="15"/>
        <v>96907.86</v>
      </c>
      <c r="AA76" s="14">
        <f t="shared" si="15"/>
        <v>111166.62</v>
      </c>
      <c r="AB76" s="14">
        <f t="shared" si="15"/>
        <v>116843.34</v>
      </c>
      <c r="AC76" s="14">
        <f t="shared" si="15"/>
        <v>143939.82</v>
      </c>
      <c r="AD76" s="14">
        <f t="shared" si="15"/>
        <v>166061.42000000001</v>
      </c>
      <c r="AE76" s="14">
        <f t="shared" si="15"/>
        <v>139671.12</v>
      </c>
      <c r="AF76" s="14">
        <f t="shared" si="15"/>
        <v>121960.2</v>
      </c>
      <c r="AG76" s="14">
        <f t="shared" si="15"/>
        <v>90951.52</v>
      </c>
      <c r="AH76" s="14">
        <f t="shared" si="15"/>
        <v>169811.18</v>
      </c>
      <c r="AI76" s="14">
        <f t="shared" si="15"/>
        <v>129622.78</v>
      </c>
      <c r="AJ76" s="14">
        <f t="shared" si="15"/>
        <v>57121.84</v>
      </c>
      <c r="AK76" s="14">
        <f t="shared" si="15"/>
        <v>0</v>
      </c>
      <c r="AL76" s="14">
        <f t="shared" si="15"/>
        <v>0</v>
      </c>
    </row>
    <row r="77" spans="2:38">
      <c r="B77" s="16" t="s">
        <v>88</v>
      </c>
      <c r="C77" s="17">
        <f>11800000/322</f>
        <v>36645.962732919252</v>
      </c>
      <c r="D77" s="18">
        <f>SUM(E77:AL77)</f>
        <v>1245962.7329192546</v>
      </c>
      <c r="E77" s="18">
        <f t="shared" ref="E77:AL77" si="16">$C$77</f>
        <v>36645.962732919252</v>
      </c>
      <c r="F77" s="18">
        <f t="shared" si="16"/>
        <v>36645.962732919252</v>
      </c>
      <c r="G77" s="18">
        <f t="shared" si="16"/>
        <v>36645.962732919252</v>
      </c>
      <c r="H77" s="18">
        <f t="shared" si="16"/>
        <v>36645.962732919252</v>
      </c>
      <c r="I77" s="18">
        <f t="shared" si="16"/>
        <v>36645.962732919252</v>
      </c>
      <c r="J77" s="18">
        <f t="shared" si="16"/>
        <v>36645.962732919252</v>
      </c>
      <c r="K77" s="19">
        <f t="shared" si="16"/>
        <v>36645.962732919252</v>
      </c>
      <c r="L77" s="18">
        <f t="shared" si="16"/>
        <v>36645.962732919252</v>
      </c>
      <c r="M77" s="19">
        <f t="shared" si="16"/>
        <v>36645.962732919252</v>
      </c>
      <c r="N77" s="18">
        <f t="shared" si="16"/>
        <v>36645.962732919252</v>
      </c>
      <c r="O77" s="18">
        <f t="shared" si="16"/>
        <v>36645.962732919252</v>
      </c>
      <c r="P77" s="18">
        <f t="shared" si="16"/>
        <v>36645.962732919252</v>
      </c>
      <c r="Q77" s="18">
        <f t="shared" si="16"/>
        <v>36645.962732919252</v>
      </c>
      <c r="R77" s="18">
        <f t="shared" si="16"/>
        <v>36645.962732919252</v>
      </c>
      <c r="S77" s="18">
        <f t="shared" si="16"/>
        <v>36645.962732919252</v>
      </c>
      <c r="T77" s="18">
        <f t="shared" si="16"/>
        <v>36645.962732919252</v>
      </c>
      <c r="U77" s="18">
        <f t="shared" si="16"/>
        <v>36645.962732919252</v>
      </c>
      <c r="V77" s="18">
        <f t="shared" si="16"/>
        <v>36645.962732919252</v>
      </c>
      <c r="W77" s="18">
        <f t="shared" si="16"/>
        <v>36645.962732919252</v>
      </c>
      <c r="X77" s="18">
        <f t="shared" si="16"/>
        <v>36645.962732919252</v>
      </c>
      <c r="Y77" s="18">
        <f t="shared" si="16"/>
        <v>36645.962732919252</v>
      </c>
      <c r="Z77" s="18">
        <f t="shared" si="16"/>
        <v>36645.962732919252</v>
      </c>
      <c r="AA77" s="18">
        <f t="shared" si="16"/>
        <v>36645.962732919252</v>
      </c>
      <c r="AB77" s="18">
        <f t="shared" si="16"/>
        <v>36645.962732919252</v>
      </c>
      <c r="AC77" s="18">
        <f t="shared" si="16"/>
        <v>36645.962732919252</v>
      </c>
      <c r="AD77" s="18">
        <f t="shared" si="16"/>
        <v>36645.962732919252</v>
      </c>
      <c r="AE77" s="18">
        <f t="shared" si="16"/>
        <v>36645.962732919252</v>
      </c>
      <c r="AF77" s="18">
        <f t="shared" si="16"/>
        <v>36645.962732919252</v>
      </c>
      <c r="AG77" s="18">
        <f t="shared" si="16"/>
        <v>36645.962732919252</v>
      </c>
      <c r="AH77" s="18">
        <f t="shared" si="16"/>
        <v>36645.962732919252</v>
      </c>
      <c r="AI77" s="18">
        <f t="shared" si="16"/>
        <v>36645.962732919252</v>
      </c>
      <c r="AJ77" s="18">
        <f t="shared" si="16"/>
        <v>36645.962732919252</v>
      </c>
      <c r="AK77" s="18">
        <f t="shared" si="16"/>
        <v>36645.962732919252</v>
      </c>
      <c r="AL77" s="18">
        <f t="shared" si="16"/>
        <v>36645.962732919252</v>
      </c>
    </row>
    <row r="78" spans="2:38">
      <c r="B78" s="16" t="s">
        <v>89</v>
      </c>
      <c r="C78" s="17">
        <f>11400000/322</f>
        <v>35403.726708074537</v>
      </c>
      <c r="D78" s="18">
        <f>SUM(E78:AL78)</f>
        <v>1203726.708074535</v>
      </c>
      <c r="E78" s="18">
        <f t="shared" ref="E78:AL78" si="17">$C$78</f>
        <v>35403.726708074537</v>
      </c>
      <c r="F78" s="18">
        <f t="shared" si="17"/>
        <v>35403.726708074537</v>
      </c>
      <c r="G78" s="18">
        <f t="shared" si="17"/>
        <v>35403.726708074537</v>
      </c>
      <c r="H78" s="18">
        <f t="shared" si="17"/>
        <v>35403.726708074537</v>
      </c>
      <c r="I78" s="18">
        <f t="shared" si="17"/>
        <v>35403.726708074537</v>
      </c>
      <c r="J78" s="18">
        <f t="shared" si="17"/>
        <v>35403.726708074537</v>
      </c>
      <c r="K78" s="19">
        <f t="shared" si="17"/>
        <v>35403.726708074537</v>
      </c>
      <c r="L78" s="18">
        <f t="shared" si="17"/>
        <v>35403.726708074537</v>
      </c>
      <c r="M78" s="19">
        <f t="shared" si="17"/>
        <v>35403.726708074537</v>
      </c>
      <c r="N78" s="18">
        <f t="shared" si="17"/>
        <v>35403.726708074537</v>
      </c>
      <c r="O78" s="18">
        <f t="shared" si="17"/>
        <v>35403.726708074537</v>
      </c>
      <c r="P78" s="18">
        <f t="shared" si="17"/>
        <v>35403.726708074537</v>
      </c>
      <c r="Q78" s="18">
        <f t="shared" si="17"/>
        <v>35403.726708074537</v>
      </c>
      <c r="R78" s="18">
        <f t="shared" si="17"/>
        <v>35403.726708074537</v>
      </c>
      <c r="S78" s="18">
        <f t="shared" si="17"/>
        <v>35403.726708074537</v>
      </c>
      <c r="T78" s="18">
        <f t="shared" si="17"/>
        <v>35403.726708074537</v>
      </c>
      <c r="U78" s="18">
        <f t="shared" si="17"/>
        <v>35403.726708074537</v>
      </c>
      <c r="V78" s="18">
        <f t="shared" si="17"/>
        <v>35403.726708074537</v>
      </c>
      <c r="W78" s="18">
        <f t="shared" si="17"/>
        <v>35403.726708074537</v>
      </c>
      <c r="X78" s="18">
        <f t="shared" si="17"/>
        <v>35403.726708074537</v>
      </c>
      <c r="Y78" s="18">
        <f t="shared" si="17"/>
        <v>35403.726708074537</v>
      </c>
      <c r="Z78" s="18">
        <f t="shared" si="17"/>
        <v>35403.726708074537</v>
      </c>
      <c r="AA78" s="18">
        <f t="shared" si="17"/>
        <v>35403.726708074537</v>
      </c>
      <c r="AB78" s="18">
        <f t="shared" si="17"/>
        <v>35403.726708074537</v>
      </c>
      <c r="AC78" s="18">
        <f t="shared" si="17"/>
        <v>35403.726708074537</v>
      </c>
      <c r="AD78" s="18">
        <f t="shared" si="17"/>
        <v>35403.726708074537</v>
      </c>
      <c r="AE78" s="18">
        <f t="shared" si="17"/>
        <v>35403.726708074537</v>
      </c>
      <c r="AF78" s="18">
        <f t="shared" si="17"/>
        <v>35403.726708074537</v>
      </c>
      <c r="AG78" s="18">
        <f t="shared" si="17"/>
        <v>35403.726708074537</v>
      </c>
      <c r="AH78" s="18">
        <f t="shared" si="17"/>
        <v>35403.726708074537</v>
      </c>
      <c r="AI78" s="18">
        <f t="shared" si="17"/>
        <v>35403.726708074537</v>
      </c>
      <c r="AJ78" s="18">
        <f t="shared" si="17"/>
        <v>35403.726708074537</v>
      </c>
      <c r="AK78" s="18">
        <f t="shared" si="17"/>
        <v>35403.726708074537</v>
      </c>
      <c r="AL78" s="18">
        <f t="shared" si="17"/>
        <v>35403.726708074537</v>
      </c>
    </row>
    <row r="79" spans="2:38">
      <c r="B79" s="20" t="s">
        <v>90</v>
      </c>
      <c r="C79" s="21">
        <v>8</v>
      </c>
      <c r="D79" s="23">
        <f>SUM(E79:AL79)</f>
        <v>4488000</v>
      </c>
      <c r="E79" s="23">
        <f t="shared" ref="E79:AL79" si="18">$C$79*E41</f>
        <v>128000</v>
      </c>
      <c r="F79" s="23">
        <f t="shared" si="18"/>
        <v>144000</v>
      </c>
      <c r="G79" s="23">
        <f t="shared" si="18"/>
        <v>136000</v>
      </c>
      <c r="H79" s="23">
        <f t="shared" si="18"/>
        <v>128000</v>
      </c>
      <c r="I79" s="23">
        <f t="shared" si="18"/>
        <v>136000</v>
      </c>
      <c r="J79" s="23">
        <f t="shared" si="18"/>
        <v>136000</v>
      </c>
      <c r="K79" s="22">
        <f t="shared" si="18"/>
        <v>136000</v>
      </c>
      <c r="L79" s="23">
        <f t="shared" si="18"/>
        <v>136000</v>
      </c>
      <c r="M79" s="22">
        <f t="shared" si="18"/>
        <v>144000</v>
      </c>
      <c r="N79" s="23">
        <f t="shared" si="18"/>
        <v>136000</v>
      </c>
      <c r="O79" s="23">
        <f t="shared" si="18"/>
        <v>128000</v>
      </c>
      <c r="P79" s="23">
        <f t="shared" si="18"/>
        <v>136000</v>
      </c>
      <c r="Q79" s="23">
        <f t="shared" si="18"/>
        <v>128000</v>
      </c>
      <c r="R79" s="23">
        <f t="shared" si="18"/>
        <v>136000</v>
      </c>
      <c r="S79" s="23">
        <f t="shared" si="18"/>
        <v>136000</v>
      </c>
      <c r="T79" s="23">
        <f t="shared" si="18"/>
        <v>136000</v>
      </c>
      <c r="U79" s="23">
        <f t="shared" si="18"/>
        <v>136000</v>
      </c>
      <c r="V79" s="23">
        <f t="shared" si="18"/>
        <v>136000</v>
      </c>
      <c r="W79" s="23">
        <f t="shared" si="18"/>
        <v>136000</v>
      </c>
      <c r="X79" s="23">
        <f t="shared" si="18"/>
        <v>136000</v>
      </c>
      <c r="Y79" s="23">
        <f t="shared" si="18"/>
        <v>128000</v>
      </c>
      <c r="Z79" s="23">
        <f t="shared" si="18"/>
        <v>128000</v>
      </c>
      <c r="AA79" s="23">
        <f t="shared" si="18"/>
        <v>136000</v>
      </c>
      <c r="AB79" s="23">
        <f t="shared" si="18"/>
        <v>136000</v>
      </c>
      <c r="AC79" s="23">
        <f t="shared" si="18"/>
        <v>128000</v>
      </c>
      <c r="AD79" s="23">
        <f t="shared" si="18"/>
        <v>136000</v>
      </c>
      <c r="AE79" s="23">
        <f t="shared" si="18"/>
        <v>136000</v>
      </c>
      <c r="AF79" s="23">
        <f t="shared" si="18"/>
        <v>136000</v>
      </c>
      <c r="AG79" s="23">
        <f t="shared" si="18"/>
        <v>144000</v>
      </c>
      <c r="AH79" s="23">
        <f t="shared" si="18"/>
        <v>144000</v>
      </c>
      <c r="AI79" s="23">
        <f t="shared" si="18"/>
        <v>136000</v>
      </c>
      <c r="AJ79" s="23">
        <f t="shared" si="18"/>
        <v>144000</v>
      </c>
      <c r="AK79" s="23">
        <f t="shared" si="18"/>
        <v>152000</v>
      </c>
      <c r="AL79" s="23">
        <f t="shared" si="18"/>
        <v>0</v>
      </c>
    </row>
    <row r="80" spans="2:38">
      <c r="B80" s="24" t="s">
        <v>91</v>
      </c>
      <c r="C80" s="25">
        <f>SUM(E80:AL80)</f>
        <v>3684256.1190062109</v>
      </c>
      <c r="D80" s="174">
        <f>D59-D76-D77-D78-D79</f>
        <v>3684256.1190062119</v>
      </c>
      <c r="E80" s="26">
        <f t="shared" ref="E80:AL80" si="19">E59-E76-E77-E78-E79</f>
        <v>-106089.6294409938</v>
      </c>
      <c r="F80" s="26">
        <f t="shared" si="19"/>
        <v>198052.43055900617</v>
      </c>
      <c r="G80" s="26">
        <f t="shared" si="19"/>
        <v>83255.89055900622</v>
      </c>
      <c r="H80" s="26">
        <f t="shared" si="19"/>
        <v>80995.590559006232</v>
      </c>
      <c r="I80" s="26">
        <f t="shared" si="19"/>
        <v>212552.23055900622</v>
      </c>
      <c r="J80" s="26">
        <f t="shared" si="19"/>
        <v>160149.49055900623</v>
      </c>
      <c r="K80" s="27">
        <f t="shared" si="19"/>
        <v>146688.97055900621</v>
      </c>
      <c r="L80" s="26">
        <f t="shared" si="19"/>
        <v>107768.83055900622</v>
      </c>
      <c r="M80" s="27">
        <f t="shared" si="19"/>
        <v>260011.67055900616</v>
      </c>
      <c r="N80" s="26">
        <f t="shared" si="19"/>
        <v>130892.11055900622</v>
      </c>
      <c r="O80" s="26">
        <f t="shared" si="19"/>
        <v>141785.97055900621</v>
      </c>
      <c r="P80" s="26">
        <f t="shared" si="19"/>
        <v>181660.93055900617</v>
      </c>
      <c r="Q80" s="26">
        <f t="shared" si="19"/>
        <v>247674.75055900624</v>
      </c>
      <c r="R80" s="26">
        <f t="shared" si="19"/>
        <v>180200.89055900613</v>
      </c>
      <c r="S80" s="26">
        <f t="shared" si="19"/>
        <v>202004.89055900613</v>
      </c>
      <c r="T80" s="26">
        <f t="shared" si="19"/>
        <v>128406.73055900622</v>
      </c>
      <c r="U80" s="26">
        <f t="shared" si="19"/>
        <v>241319.7105590062</v>
      </c>
      <c r="V80" s="26">
        <f t="shared" si="19"/>
        <v>225544.93055900617</v>
      </c>
      <c r="W80" s="26">
        <f t="shared" si="19"/>
        <v>297517.45055900619</v>
      </c>
      <c r="X80" s="26">
        <f t="shared" si="19"/>
        <v>148986.67055900616</v>
      </c>
      <c r="Y80" s="26">
        <f t="shared" si="19"/>
        <v>15909.270559006225</v>
      </c>
      <c r="Z80" s="26">
        <f t="shared" si="19"/>
        <v>15648.450559006218</v>
      </c>
      <c r="AA80" s="26">
        <f t="shared" si="19"/>
        <v>39385.690559006209</v>
      </c>
      <c r="AB80" s="26">
        <f t="shared" si="19"/>
        <v>52020.970559006208</v>
      </c>
      <c r="AC80" s="26">
        <f t="shared" si="19"/>
        <v>120332.4905590062</v>
      </c>
      <c r="AD80" s="26">
        <f t="shared" si="19"/>
        <v>161570.89055900613</v>
      </c>
      <c r="AE80" s="26">
        <f t="shared" si="19"/>
        <v>102831.19055900621</v>
      </c>
      <c r="AF80" s="26">
        <f t="shared" si="19"/>
        <v>63410.110559006192</v>
      </c>
      <c r="AG80" s="26">
        <f t="shared" si="19"/>
        <v>-13609.209440993814</v>
      </c>
      <c r="AH80" s="26">
        <f t="shared" si="19"/>
        <v>161917.13055900624</v>
      </c>
      <c r="AI80" s="26">
        <f t="shared" si="19"/>
        <v>80465.530559006176</v>
      </c>
      <c r="AJ80" s="26">
        <f t="shared" si="19"/>
        <v>-88907.529440993792</v>
      </c>
      <c r="AK80" s="26">
        <f t="shared" si="19"/>
        <v>-224049.6894409938</v>
      </c>
      <c r="AL80" s="26">
        <f t="shared" si="19"/>
        <v>-72049.689440993796</v>
      </c>
    </row>
    <row r="81" spans="2:38">
      <c r="B81" s="320" t="s">
        <v>92</v>
      </c>
      <c r="C81" s="321"/>
      <c r="D81" s="326"/>
      <c r="E81" s="29">
        <f>E80</f>
        <v>-106089.6294409938</v>
      </c>
      <c r="F81" s="29">
        <f t="shared" ref="F81:AL81" si="20">F80+E81</f>
        <v>91962.801118012372</v>
      </c>
      <c r="G81" s="29">
        <f t="shared" si="20"/>
        <v>175218.69167701859</v>
      </c>
      <c r="H81" s="29">
        <f t="shared" si="20"/>
        <v>256214.28223602482</v>
      </c>
      <c r="I81" s="29">
        <f t="shared" si="20"/>
        <v>468766.51279503107</v>
      </c>
      <c r="J81" s="29">
        <f t="shared" si="20"/>
        <v>628916.0033540373</v>
      </c>
      <c r="K81" s="28">
        <f t="shared" si="20"/>
        <v>775604.9739130435</v>
      </c>
      <c r="L81" s="29">
        <f t="shared" si="20"/>
        <v>883373.8044720497</v>
      </c>
      <c r="M81" s="28">
        <f t="shared" si="20"/>
        <v>1143385.475031056</v>
      </c>
      <c r="N81" s="29">
        <f t="shared" si="20"/>
        <v>1274277.5855900622</v>
      </c>
      <c r="O81" s="29">
        <f t="shared" si="20"/>
        <v>1416063.5561490683</v>
      </c>
      <c r="P81" s="29">
        <f t="shared" si="20"/>
        <v>1597724.4867080743</v>
      </c>
      <c r="Q81" s="29">
        <f t="shared" si="20"/>
        <v>1845399.2372670807</v>
      </c>
      <c r="R81" s="29">
        <f t="shared" si="20"/>
        <v>2025600.1278260867</v>
      </c>
      <c r="S81" s="29">
        <f t="shared" si="20"/>
        <v>2227605.0183850927</v>
      </c>
      <c r="T81" s="29">
        <f t="shared" si="20"/>
        <v>2356011.7489440991</v>
      </c>
      <c r="U81" s="29">
        <f t="shared" si="20"/>
        <v>2597331.4595031054</v>
      </c>
      <c r="V81" s="29">
        <f t="shared" si="20"/>
        <v>2822876.3900621114</v>
      </c>
      <c r="W81" s="29">
        <f t="shared" si="20"/>
        <v>3120393.8406211175</v>
      </c>
      <c r="X81" s="29">
        <f t="shared" si="20"/>
        <v>3269380.5111801238</v>
      </c>
      <c r="Y81" s="29">
        <f t="shared" si="20"/>
        <v>3285289.7817391302</v>
      </c>
      <c r="Z81" s="29">
        <f t="shared" si="20"/>
        <v>3300938.2322981362</v>
      </c>
      <c r="AA81" s="29">
        <f t="shared" si="20"/>
        <v>3340323.9228571425</v>
      </c>
      <c r="AB81" s="29">
        <f t="shared" si="20"/>
        <v>3392344.8934161486</v>
      </c>
      <c r="AC81" s="29">
        <f t="shared" si="20"/>
        <v>3512677.3839751547</v>
      </c>
      <c r="AD81" s="29">
        <f t="shared" si="20"/>
        <v>3674248.2745341607</v>
      </c>
      <c r="AE81" s="29">
        <f t="shared" si="20"/>
        <v>3777079.465093167</v>
      </c>
      <c r="AF81" s="29">
        <f t="shared" si="20"/>
        <v>3840489.5756521733</v>
      </c>
      <c r="AG81" s="29">
        <f t="shared" si="20"/>
        <v>3826880.3662111796</v>
      </c>
      <c r="AH81" s="29">
        <f t="shared" si="20"/>
        <v>3988797.4967701859</v>
      </c>
      <c r="AI81" s="29">
        <f t="shared" si="20"/>
        <v>4069263.027329192</v>
      </c>
      <c r="AJ81" s="29">
        <f t="shared" si="20"/>
        <v>3980355.4978881981</v>
      </c>
      <c r="AK81" s="29">
        <f t="shared" si="20"/>
        <v>3756305.8084472045</v>
      </c>
      <c r="AL81" s="29">
        <f t="shared" si="20"/>
        <v>3684256.1190062109</v>
      </c>
    </row>
    <row r="82" spans="2:38">
      <c r="D82">
        <f>D80/D59</f>
        <v>0.23932872822163911</v>
      </c>
    </row>
    <row r="84" spans="2:38">
      <c r="B84" s="30" t="s">
        <v>93</v>
      </c>
      <c r="C84" s="31">
        <f>D41/D26</f>
        <v>0.89029813085002052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L81 B8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55DB-E69E-4CD8-A17F-C13682753376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C062-8D97-483F-A618-02648A83651A}">
  <dimension ref="A2:AZ84"/>
  <sheetViews>
    <sheetView topLeftCell="A5" workbookViewId="0">
      <selection activeCell="AG42" sqref="AG42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.140625" bestFit="1" customWidth="1"/>
    <col min="6" max="6" width="11.28515625" bestFit="1" customWidth="1"/>
    <col min="7" max="7" width="12.28515625" bestFit="1" customWidth="1"/>
    <col min="8" max="8" width="11.28515625" bestFit="1" customWidth="1"/>
  </cols>
  <sheetData>
    <row r="2" spans="2:52" ht="15.75">
      <c r="B2" s="54" t="s">
        <v>0</v>
      </c>
      <c r="C2" s="109" t="s">
        <v>1</v>
      </c>
    </row>
    <row r="3" spans="2:52" ht="15.75">
      <c r="B3" s="54" t="s">
        <v>2</v>
      </c>
      <c r="C3" s="109">
        <v>8</v>
      </c>
    </row>
    <row r="4" spans="2:52" ht="15.75">
      <c r="B4" s="54" t="s">
        <v>3</v>
      </c>
      <c r="C4" s="110">
        <v>45558</v>
      </c>
    </row>
    <row r="5" spans="2:52" ht="15.75">
      <c r="B5" s="54" t="s">
        <v>4</v>
      </c>
      <c r="C5" s="110"/>
    </row>
    <row r="6" spans="2:52" ht="15.75">
      <c r="B6" s="179" t="s">
        <v>230</v>
      </c>
      <c r="C6" s="110" t="s">
        <v>368</v>
      </c>
    </row>
    <row r="7" spans="2:52" ht="15.75">
      <c r="B7" s="2"/>
      <c r="C7" s="2"/>
    </row>
    <row r="8" spans="2:52" ht="15.75">
      <c r="B8" s="54" t="s">
        <v>5</v>
      </c>
      <c r="D8" s="41" t="s">
        <v>6</v>
      </c>
      <c r="E8" s="42">
        <v>45558</v>
      </c>
      <c r="F8" s="42">
        <v>45559</v>
      </c>
      <c r="G8" s="42">
        <v>45560</v>
      </c>
      <c r="H8" s="42">
        <v>45561</v>
      </c>
      <c r="I8" s="42">
        <v>45562</v>
      </c>
      <c r="J8" s="42">
        <v>45563</v>
      </c>
      <c r="K8" s="42">
        <v>45564</v>
      </c>
      <c r="L8" s="42">
        <v>45565</v>
      </c>
      <c r="M8" s="42">
        <v>45566</v>
      </c>
      <c r="N8" s="42">
        <v>45567</v>
      </c>
      <c r="O8" s="42">
        <v>45568</v>
      </c>
      <c r="P8" s="42">
        <v>45569</v>
      </c>
      <c r="Q8" s="42">
        <v>45570</v>
      </c>
      <c r="R8" s="42">
        <v>45571</v>
      </c>
      <c r="S8" s="42">
        <v>45572</v>
      </c>
      <c r="T8" s="42">
        <v>45573</v>
      </c>
      <c r="U8" s="42">
        <v>45574</v>
      </c>
      <c r="V8" s="42">
        <v>45575</v>
      </c>
      <c r="W8" s="42">
        <v>45576</v>
      </c>
      <c r="X8" s="42">
        <v>45577</v>
      </c>
      <c r="Y8" s="42">
        <v>45578</v>
      </c>
      <c r="Z8" s="42">
        <v>45579</v>
      </c>
      <c r="AA8" s="42">
        <v>45580</v>
      </c>
      <c r="AB8" s="42">
        <v>45581</v>
      </c>
      <c r="AC8" s="42">
        <v>45582</v>
      </c>
      <c r="AD8" s="42">
        <v>45583</v>
      </c>
      <c r="AE8" s="42">
        <v>45584</v>
      </c>
      <c r="AF8" s="42">
        <v>45585</v>
      </c>
      <c r="AG8" s="42">
        <v>45586</v>
      </c>
      <c r="AH8" s="42">
        <v>45587</v>
      </c>
      <c r="AI8" s="42">
        <v>45588</v>
      </c>
      <c r="AJ8" s="42">
        <v>45589</v>
      </c>
      <c r="AK8" s="42">
        <v>45590</v>
      </c>
      <c r="AL8" s="42">
        <v>45591</v>
      </c>
      <c r="AM8" s="42">
        <v>45592</v>
      </c>
      <c r="AN8" s="42">
        <v>45593</v>
      </c>
      <c r="AO8" s="42">
        <v>45594</v>
      </c>
      <c r="AP8" s="42">
        <v>45595</v>
      </c>
      <c r="AQ8" s="42">
        <v>45596</v>
      </c>
      <c r="AR8" s="42">
        <v>45597</v>
      </c>
      <c r="AS8" s="42"/>
      <c r="AT8" s="42"/>
      <c r="AU8" s="42"/>
      <c r="AV8" s="42"/>
      <c r="AW8" s="42"/>
      <c r="AX8" s="42"/>
      <c r="AY8" s="42"/>
      <c r="AZ8" s="42"/>
    </row>
    <row r="9" spans="2:52">
      <c r="B9" s="46" t="s">
        <v>7</v>
      </c>
      <c r="C9" s="47" t="s">
        <v>8</v>
      </c>
      <c r="D9" s="71">
        <f>SUM(E9:N9)</f>
        <v>120</v>
      </c>
      <c r="E9" s="114">
        <v>0</v>
      </c>
      <c r="F9" s="114">
        <v>0</v>
      </c>
      <c r="G9" s="114">
        <v>7</v>
      </c>
      <c r="H9" s="114">
        <v>24</v>
      </c>
      <c r="I9" s="114">
        <v>24</v>
      </c>
      <c r="J9" s="114">
        <v>0</v>
      </c>
      <c r="K9" s="114">
        <v>24</v>
      </c>
      <c r="L9" s="114">
        <v>5</v>
      </c>
      <c r="M9" s="114">
        <v>12</v>
      </c>
      <c r="N9" s="114">
        <v>24</v>
      </c>
      <c r="O9" s="114">
        <v>24</v>
      </c>
      <c r="P9" s="114">
        <v>24</v>
      </c>
      <c r="Q9" s="114">
        <v>24</v>
      </c>
      <c r="R9" s="114">
        <v>24</v>
      </c>
      <c r="S9" s="114">
        <v>18</v>
      </c>
      <c r="T9" s="114">
        <v>8</v>
      </c>
      <c r="U9" s="114">
        <v>24</v>
      </c>
      <c r="V9" s="114">
        <v>24</v>
      </c>
      <c r="W9" s="114">
        <v>24</v>
      </c>
      <c r="X9" s="114">
        <v>24</v>
      </c>
      <c r="Y9" s="114">
        <v>24</v>
      </c>
      <c r="Z9" s="114">
        <v>24</v>
      </c>
      <c r="AA9" s="114">
        <v>24</v>
      </c>
      <c r="AB9" s="114">
        <v>24</v>
      </c>
      <c r="AC9" s="114">
        <v>22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</row>
    <row r="10" spans="2:52">
      <c r="B10" s="48" t="s">
        <v>9</v>
      </c>
      <c r="C10" s="38" t="s">
        <v>8</v>
      </c>
      <c r="D10" s="71">
        <f t="shared" ref="D10:D16" si="0">SUM(E10:K10)</f>
        <v>41</v>
      </c>
      <c r="E10" s="115">
        <v>0</v>
      </c>
      <c r="F10" s="115">
        <v>24</v>
      </c>
      <c r="G10" s="115">
        <v>17</v>
      </c>
      <c r="H10" s="115">
        <v>0</v>
      </c>
      <c r="I10" s="115">
        <v>0</v>
      </c>
      <c r="J10" s="115">
        <v>0</v>
      </c>
      <c r="K10" s="115">
        <v>0</v>
      </c>
      <c r="L10" s="115">
        <v>9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6</v>
      </c>
      <c r="T10" s="115">
        <v>10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52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52">
      <c r="B12" s="48" t="s">
        <v>11</v>
      </c>
      <c r="C12" s="38" t="s">
        <v>8</v>
      </c>
      <c r="D12" s="71">
        <f t="shared" si="0"/>
        <v>8</v>
      </c>
      <c r="E12" s="115">
        <v>8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</row>
    <row r="13" spans="2:52">
      <c r="B13" s="48" t="s">
        <v>12</v>
      </c>
      <c r="C13" s="38" t="s">
        <v>8</v>
      </c>
      <c r="D13" s="71">
        <f t="shared" si="0"/>
        <v>12</v>
      </c>
      <c r="E13" s="115">
        <v>12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4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4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52">
      <c r="B14" s="48" t="s">
        <v>13</v>
      </c>
      <c r="C14" s="38" t="s">
        <v>8</v>
      </c>
      <c r="D14" s="71">
        <f t="shared" si="0"/>
        <v>4</v>
      </c>
      <c r="E14" s="115">
        <v>4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</row>
    <row r="15" spans="2:52">
      <c r="B15" s="49" t="s">
        <v>14</v>
      </c>
      <c r="C15" s="40" t="s">
        <v>8</v>
      </c>
      <c r="D15" s="71">
        <f t="shared" si="0"/>
        <v>0</v>
      </c>
      <c r="E15" s="115">
        <v>0</v>
      </c>
      <c r="F15" s="115">
        <v>0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6</v>
      </c>
      <c r="M15" s="115">
        <v>12</v>
      </c>
      <c r="N15" s="115">
        <v>0</v>
      </c>
      <c r="O15" s="115">
        <v>0</v>
      </c>
      <c r="P15" s="115">
        <v>0</v>
      </c>
      <c r="Q15" s="115">
        <v>0</v>
      </c>
      <c r="R15" s="115">
        <v>0</v>
      </c>
      <c r="S15" s="115">
        <v>0</v>
      </c>
      <c r="T15" s="115">
        <v>2</v>
      </c>
      <c r="U15" s="115">
        <v>0</v>
      </c>
      <c r="V15" s="115">
        <v>0</v>
      </c>
      <c r="W15" s="115">
        <v>0</v>
      </c>
      <c r="X15" s="115">
        <v>0</v>
      </c>
      <c r="Y15" s="115">
        <v>0</v>
      </c>
      <c r="Z15" s="115">
        <v>0</v>
      </c>
      <c r="AA15" s="115">
        <v>0</v>
      </c>
      <c r="AB15" s="115">
        <v>0</v>
      </c>
      <c r="AC15" s="115">
        <v>2</v>
      </c>
      <c r="AD15" s="115">
        <v>0</v>
      </c>
      <c r="AE15" s="115">
        <v>0</v>
      </c>
      <c r="AF15" s="115">
        <v>0</v>
      </c>
      <c r="AG15" s="115">
        <v>0</v>
      </c>
      <c r="AH15" s="115">
        <v>0</v>
      </c>
      <c r="AI15" s="115">
        <v>0</v>
      </c>
      <c r="AJ15" s="115">
        <v>0</v>
      </c>
      <c r="AK15" s="115">
        <v>0</v>
      </c>
      <c r="AL15" s="115">
        <v>0</v>
      </c>
      <c r="AM15" s="115">
        <v>0</v>
      </c>
      <c r="AN15" s="115">
        <v>0</v>
      </c>
      <c r="AO15" s="115">
        <v>0</v>
      </c>
      <c r="AP15" s="115">
        <v>0</v>
      </c>
      <c r="AQ15" s="115">
        <v>0</v>
      </c>
      <c r="AR15" s="116">
        <v>0</v>
      </c>
    </row>
    <row r="16" spans="2:52">
      <c r="B16" s="68" t="s">
        <v>15</v>
      </c>
      <c r="C16" s="69" t="s">
        <v>8</v>
      </c>
      <c r="D16" s="70">
        <f t="shared" si="0"/>
        <v>144</v>
      </c>
      <c r="E16" s="117">
        <f t="shared" ref="E16:AR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0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0</v>
      </c>
      <c r="AE16" s="117">
        <f t="shared" si="1"/>
        <v>0</v>
      </c>
      <c r="AF16" s="117">
        <f t="shared" si="1"/>
        <v>0</v>
      </c>
      <c r="AG16" s="117">
        <f t="shared" si="1"/>
        <v>0</v>
      </c>
      <c r="AH16" s="117">
        <f t="shared" si="1"/>
        <v>0</v>
      </c>
      <c r="AI16" s="117">
        <f t="shared" si="1"/>
        <v>0</v>
      </c>
      <c r="AJ16" s="117">
        <f t="shared" si="1"/>
        <v>0</v>
      </c>
      <c r="AK16" s="117">
        <f t="shared" si="1"/>
        <v>0</v>
      </c>
      <c r="AL16" s="117">
        <f t="shared" si="1"/>
        <v>0</v>
      </c>
      <c r="AM16" s="117">
        <f t="shared" si="1"/>
        <v>0</v>
      </c>
      <c r="AN16" s="117">
        <f t="shared" si="1"/>
        <v>0</v>
      </c>
      <c r="AO16" s="117">
        <f t="shared" si="1"/>
        <v>0</v>
      </c>
      <c r="AP16" s="117">
        <f t="shared" si="1"/>
        <v>0</v>
      </c>
      <c r="AQ16" s="117">
        <f t="shared" si="1"/>
        <v>0</v>
      </c>
      <c r="AR16" s="117">
        <f t="shared" si="1"/>
        <v>0</v>
      </c>
    </row>
    <row r="18" spans="1:44">
      <c r="B18" s="50" t="s">
        <v>16</v>
      </c>
      <c r="C18" s="50" t="s">
        <v>0</v>
      </c>
      <c r="D18" s="58">
        <f>SUM(E18:K18)</f>
        <v>0</v>
      </c>
      <c r="E18" s="127" t="s">
        <v>203</v>
      </c>
      <c r="F18" s="127" t="s">
        <v>173</v>
      </c>
      <c r="G18" s="127" t="s">
        <v>178</v>
      </c>
      <c r="H18" s="127" t="s">
        <v>536</v>
      </c>
      <c r="I18" s="127" t="s">
        <v>310</v>
      </c>
      <c r="J18" s="127" t="s">
        <v>252</v>
      </c>
      <c r="K18" s="127" t="s">
        <v>220</v>
      </c>
      <c r="L18" s="127" t="s">
        <v>472</v>
      </c>
      <c r="M18" s="127" t="s">
        <v>119</v>
      </c>
      <c r="N18" s="127" t="s">
        <v>537</v>
      </c>
      <c r="O18" s="127" t="s">
        <v>538</v>
      </c>
      <c r="P18" s="127" t="s">
        <v>536</v>
      </c>
      <c r="Q18" s="127" t="s">
        <v>436</v>
      </c>
      <c r="R18" s="127" t="s">
        <v>539</v>
      </c>
      <c r="S18" s="127" t="s">
        <v>436</v>
      </c>
      <c r="T18" s="127" t="s">
        <v>472</v>
      </c>
      <c r="U18" s="127" t="s">
        <v>285</v>
      </c>
      <c r="V18" s="127" t="s">
        <v>310</v>
      </c>
      <c r="W18" s="127" t="s">
        <v>345</v>
      </c>
      <c r="X18" s="127" t="s">
        <v>540</v>
      </c>
      <c r="Y18" s="127" t="s">
        <v>540</v>
      </c>
      <c r="Z18" s="127" t="s">
        <v>119</v>
      </c>
      <c r="AA18" s="127" t="s">
        <v>310</v>
      </c>
      <c r="AB18" s="127" t="s">
        <v>310</v>
      </c>
      <c r="AC18" s="127" t="s">
        <v>310</v>
      </c>
      <c r="AD18" s="127">
        <v>0</v>
      </c>
      <c r="AE18" s="127">
        <v>0</v>
      </c>
      <c r="AF18" s="127">
        <v>0</v>
      </c>
      <c r="AG18" s="127">
        <v>0</v>
      </c>
      <c r="AH18" s="127">
        <v>0</v>
      </c>
      <c r="AI18" s="127">
        <v>0</v>
      </c>
      <c r="AJ18" s="127">
        <v>0</v>
      </c>
      <c r="AK18" s="127">
        <v>0</v>
      </c>
      <c r="AL18" s="127">
        <v>0</v>
      </c>
      <c r="AM18" s="127">
        <v>0</v>
      </c>
      <c r="AN18" s="127">
        <v>0</v>
      </c>
      <c r="AO18" s="127"/>
      <c r="AP18" s="127"/>
      <c r="AQ18" s="127"/>
      <c r="AR18" s="127"/>
    </row>
    <row r="19" spans="1:44">
      <c r="B19" s="37" t="s">
        <v>31</v>
      </c>
      <c r="C19" s="37" t="s">
        <v>32</v>
      </c>
      <c r="D19" s="131">
        <f>SUM(E19:K19)</f>
        <v>59</v>
      </c>
      <c r="E19" s="162">
        <v>0</v>
      </c>
      <c r="F19" s="162">
        <v>0</v>
      </c>
      <c r="G19" s="162">
        <v>4</v>
      </c>
      <c r="H19" s="162">
        <v>15.5</v>
      </c>
      <c r="I19" s="162">
        <v>21</v>
      </c>
      <c r="J19" s="162">
        <v>0</v>
      </c>
      <c r="K19" s="162">
        <v>18.5</v>
      </c>
      <c r="L19" s="162">
        <v>0</v>
      </c>
      <c r="M19" s="162">
        <v>7</v>
      </c>
      <c r="N19" s="162">
        <v>21</v>
      </c>
      <c r="O19" s="162">
        <v>15</v>
      </c>
      <c r="P19" s="162">
        <v>20.3</v>
      </c>
      <c r="Q19" s="162">
        <v>18</v>
      </c>
      <c r="R19" s="162">
        <v>17</v>
      </c>
      <c r="S19" s="162">
        <v>16</v>
      </c>
      <c r="T19" s="162">
        <v>5.5</v>
      </c>
      <c r="U19" s="162">
        <v>19.5</v>
      </c>
      <c r="V19" s="162">
        <v>14.5</v>
      </c>
      <c r="W19" s="162">
        <v>20</v>
      </c>
      <c r="X19" s="162">
        <v>18</v>
      </c>
      <c r="Y19" s="162">
        <v>12</v>
      </c>
      <c r="Z19" s="162">
        <v>15.5</v>
      </c>
      <c r="AA19" s="162">
        <v>18.5</v>
      </c>
      <c r="AB19" s="162">
        <v>14.5</v>
      </c>
      <c r="AC19" s="162">
        <v>22</v>
      </c>
      <c r="AD19" s="162">
        <v>0</v>
      </c>
      <c r="AE19" s="162">
        <v>0</v>
      </c>
      <c r="AF19" s="162">
        <v>0</v>
      </c>
      <c r="AG19" s="162">
        <v>0</v>
      </c>
      <c r="AH19" s="162">
        <v>0</v>
      </c>
      <c r="AI19" s="162">
        <v>0</v>
      </c>
      <c r="AJ19" s="162">
        <v>0</v>
      </c>
      <c r="AK19" s="162">
        <v>0</v>
      </c>
      <c r="AL19" s="162">
        <v>0</v>
      </c>
      <c r="AM19" s="162">
        <v>0</v>
      </c>
      <c r="AN19" s="162">
        <v>0</v>
      </c>
      <c r="AO19" s="162">
        <v>0</v>
      </c>
      <c r="AP19" s="162">
        <v>0</v>
      </c>
      <c r="AQ19" s="162">
        <v>0</v>
      </c>
      <c r="AR19" s="162"/>
    </row>
    <row r="20" spans="1:44">
      <c r="B20" s="37" t="s">
        <v>35</v>
      </c>
      <c r="C20" s="37" t="s">
        <v>36</v>
      </c>
      <c r="D20" s="131">
        <f>SUM(E20:K20)</f>
        <v>13</v>
      </c>
      <c r="E20" s="162">
        <v>0</v>
      </c>
      <c r="F20" s="162">
        <v>0</v>
      </c>
      <c r="G20" s="162">
        <v>1</v>
      </c>
      <c r="H20" s="162">
        <v>3</v>
      </c>
      <c r="I20" s="162">
        <v>5</v>
      </c>
      <c r="J20" s="162">
        <v>0</v>
      </c>
      <c r="K20" s="162">
        <v>4</v>
      </c>
      <c r="L20" s="162">
        <v>0</v>
      </c>
      <c r="M20" s="162">
        <v>2</v>
      </c>
      <c r="N20" s="162">
        <v>4</v>
      </c>
      <c r="O20" s="162">
        <v>3</v>
      </c>
      <c r="P20" s="162">
        <v>4</v>
      </c>
      <c r="Q20" s="162">
        <v>5</v>
      </c>
      <c r="R20" s="162">
        <v>4</v>
      </c>
      <c r="S20" s="162">
        <v>3</v>
      </c>
      <c r="T20" s="162">
        <v>1</v>
      </c>
      <c r="U20" s="162">
        <v>4</v>
      </c>
      <c r="V20" s="162">
        <v>3</v>
      </c>
      <c r="W20" s="162">
        <v>4</v>
      </c>
      <c r="X20" s="162">
        <v>3</v>
      </c>
      <c r="Y20" s="162">
        <v>2</v>
      </c>
      <c r="Z20" s="162">
        <v>4</v>
      </c>
      <c r="AA20" s="162">
        <v>4</v>
      </c>
      <c r="AB20" s="162">
        <v>3</v>
      </c>
      <c r="AC20" s="162">
        <v>5</v>
      </c>
      <c r="AD20" s="162">
        <v>0</v>
      </c>
      <c r="AE20" s="162">
        <v>0</v>
      </c>
      <c r="AF20" s="162">
        <v>0</v>
      </c>
      <c r="AG20" s="162">
        <v>0</v>
      </c>
      <c r="AH20" s="162">
        <v>0</v>
      </c>
      <c r="AI20" s="162">
        <v>0</v>
      </c>
      <c r="AJ20" s="162">
        <v>0</v>
      </c>
      <c r="AK20" s="162">
        <v>0</v>
      </c>
      <c r="AL20" s="162">
        <v>0</v>
      </c>
      <c r="AM20" s="162">
        <v>0</v>
      </c>
      <c r="AN20" s="162">
        <v>0</v>
      </c>
      <c r="AO20" s="162">
        <v>0</v>
      </c>
      <c r="AP20" s="162">
        <v>0</v>
      </c>
      <c r="AQ20" s="162">
        <v>0</v>
      </c>
      <c r="AR20" s="162"/>
    </row>
    <row r="21" spans="1:44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 t="s">
        <v>40</v>
      </c>
      <c r="H21" s="129" t="s">
        <v>399</v>
      </c>
      <c r="I21" s="129" t="s">
        <v>399</v>
      </c>
      <c r="J21" s="129" t="s">
        <v>399</v>
      </c>
      <c r="K21" s="129" t="s">
        <v>399</v>
      </c>
      <c r="L21" s="129" t="s">
        <v>399</v>
      </c>
      <c r="M21" s="129" t="s">
        <v>399</v>
      </c>
      <c r="N21" s="129" t="s">
        <v>399</v>
      </c>
      <c r="O21" s="129" t="s">
        <v>399</v>
      </c>
      <c r="P21" s="129" t="s">
        <v>399</v>
      </c>
      <c r="Q21" s="129" t="s">
        <v>399</v>
      </c>
      <c r="R21" s="129" t="s">
        <v>399</v>
      </c>
      <c r="S21" s="129" t="s">
        <v>399</v>
      </c>
      <c r="T21" s="129" t="s">
        <v>399</v>
      </c>
      <c r="U21" s="129" t="s">
        <v>399</v>
      </c>
      <c r="V21" s="129" t="s">
        <v>399</v>
      </c>
      <c r="W21" s="129" t="s">
        <v>399</v>
      </c>
      <c r="X21" s="129" t="s">
        <v>399</v>
      </c>
      <c r="Y21" s="129" t="s">
        <v>399</v>
      </c>
      <c r="Z21" s="129" t="s">
        <v>399</v>
      </c>
      <c r="AA21" s="129" t="s">
        <v>399</v>
      </c>
      <c r="AB21" s="129" t="s">
        <v>399</v>
      </c>
      <c r="AC21" s="129" t="s">
        <v>399</v>
      </c>
      <c r="AD21" s="129" t="s">
        <v>399</v>
      </c>
      <c r="AE21" s="129" t="s">
        <v>399</v>
      </c>
      <c r="AF21" s="129" t="s">
        <v>399</v>
      </c>
      <c r="AG21" s="129" t="s">
        <v>399</v>
      </c>
      <c r="AH21" s="129" t="s">
        <v>399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</row>
    <row r="22" spans="1:44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4" spans="1:44">
      <c r="B24" s="167" t="s">
        <v>43</v>
      </c>
      <c r="C24" s="168">
        <f>D26/D19</f>
        <v>8617.0847457627115</v>
      </c>
    </row>
    <row r="25" spans="1:44">
      <c r="D25" s="10"/>
    </row>
    <row r="26" spans="1:44">
      <c r="A26" s="312" t="s">
        <v>44</v>
      </c>
      <c r="B26" s="35" t="s">
        <v>45</v>
      </c>
      <c r="C26" s="35"/>
      <c r="D26" s="175">
        <f>SUM(E26:AQ26)</f>
        <v>508408</v>
      </c>
      <c r="E26" s="75">
        <f t="shared" ref="E26:AR26" si="2">SUM(E27:E38)</f>
        <v>0</v>
      </c>
      <c r="F26" s="175">
        <f t="shared" si="2"/>
        <v>0</v>
      </c>
      <c r="G26" s="75">
        <f t="shared" si="2"/>
        <v>8355</v>
      </c>
      <c r="H26" s="175">
        <f t="shared" si="2"/>
        <v>43337</v>
      </c>
      <c r="I26" s="75">
        <f t="shared" si="2"/>
        <v>36521</v>
      </c>
      <c r="J26" s="175">
        <f t="shared" si="2"/>
        <v>27592</v>
      </c>
      <c r="K26" s="75">
        <f t="shared" si="2"/>
        <v>26447</v>
      </c>
      <c r="L26" s="175">
        <f t="shared" si="2"/>
        <v>5346</v>
      </c>
      <c r="M26" s="75">
        <f t="shared" si="2"/>
        <v>3453</v>
      </c>
      <c r="N26" s="175">
        <f t="shared" si="2"/>
        <v>40379</v>
      </c>
      <c r="O26" s="75">
        <f t="shared" si="2"/>
        <v>16382</v>
      </c>
      <c r="P26" s="175">
        <f t="shared" si="2"/>
        <v>35772</v>
      </c>
      <c r="Q26" s="75">
        <f t="shared" si="2"/>
        <v>39715</v>
      </c>
      <c r="R26" s="175">
        <f t="shared" si="2"/>
        <v>28493</v>
      </c>
      <c r="S26" s="75">
        <f t="shared" si="2"/>
        <v>22236</v>
      </c>
      <c r="T26" s="175">
        <f t="shared" si="2"/>
        <v>5209</v>
      </c>
      <c r="U26" s="75">
        <f t="shared" si="2"/>
        <v>24214</v>
      </c>
      <c r="V26" s="175">
        <f t="shared" si="2"/>
        <v>12231</v>
      </c>
      <c r="W26" s="75">
        <f t="shared" si="2"/>
        <v>17833</v>
      </c>
      <c r="X26" s="175">
        <f t="shared" si="2"/>
        <v>14384</v>
      </c>
      <c r="Y26" s="75">
        <f t="shared" si="2"/>
        <v>11091</v>
      </c>
      <c r="Z26" s="175">
        <f t="shared" si="2"/>
        <v>13551</v>
      </c>
      <c r="AA26" s="75">
        <f t="shared" si="2"/>
        <v>27049</v>
      </c>
      <c r="AB26" s="175">
        <f t="shared" si="2"/>
        <v>24802</v>
      </c>
      <c r="AC26" s="75">
        <f t="shared" si="2"/>
        <v>24016</v>
      </c>
      <c r="AD26" s="175">
        <f t="shared" si="2"/>
        <v>0</v>
      </c>
      <c r="AE26" s="75">
        <f t="shared" si="2"/>
        <v>0</v>
      </c>
      <c r="AF26" s="175">
        <f t="shared" si="2"/>
        <v>0</v>
      </c>
      <c r="AG26" s="75">
        <f t="shared" si="2"/>
        <v>0</v>
      </c>
      <c r="AH26" s="175">
        <f t="shared" si="2"/>
        <v>0</v>
      </c>
      <c r="AI26" s="75">
        <f t="shared" si="2"/>
        <v>0</v>
      </c>
      <c r="AJ26" s="175">
        <f t="shared" si="2"/>
        <v>0</v>
      </c>
      <c r="AK26" s="75">
        <f t="shared" si="2"/>
        <v>0</v>
      </c>
      <c r="AL26" s="175">
        <f t="shared" si="2"/>
        <v>0</v>
      </c>
      <c r="AM26" s="75">
        <f t="shared" si="2"/>
        <v>0</v>
      </c>
      <c r="AN26" s="175">
        <f t="shared" si="2"/>
        <v>0</v>
      </c>
      <c r="AO26" s="75">
        <f t="shared" si="2"/>
        <v>0</v>
      </c>
      <c r="AP26" s="175">
        <f t="shared" si="2"/>
        <v>0</v>
      </c>
      <c r="AQ26" s="75">
        <f t="shared" si="2"/>
        <v>0</v>
      </c>
      <c r="AR26" s="175">
        <f t="shared" si="2"/>
        <v>0</v>
      </c>
    </row>
    <row r="27" spans="1:44">
      <c r="A27" s="313"/>
      <c r="B27" s="37" t="s">
        <v>47</v>
      </c>
      <c r="C27" s="38" t="s">
        <v>48</v>
      </c>
      <c r="D27" s="73">
        <f t="shared" ref="D27:D36" si="3">SUM(E27:AR27)</f>
        <v>42904</v>
      </c>
      <c r="E27" s="55"/>
      <c r="F27" s="55"/>
      <c r="G27" s="55">
        <v>1486</v>
      </c>
      <c r="H27" s="55">
        <v>2977</v>
      </c>
      <c r="I27" s="55">
        <v>2529</v>
      </c>
      <c r="J27" s="55">
        <v>1441</v>
      </c>
      <c r="K27" s="55">
        <v>808</v>
      </c>
      <c r="L27" s="55">
        <v>240</v>
      </c>
      <c r="M27" s="55">
        <v>190</v>
      </c>
      <c r="N27" s="55">
        <v>1273</v>
      </c>
      <c r="O27" s="55">
        <v>852</v>
      </c>
      <c r="P27" s="55">
        <v>2455</v>
      </c>
      <c r="Q27" s="55">
        <v>2703</v>
      </c>
      <c r="R27" s="55">
        <v>3626</v>
      </c>
      <c r="S27" s="55">
        <v>1770</v>
      </c>
      <c r="T27" s="55">
        <v>423</v>
      </c>
      <c r="U27" s="55">
        <v>1416</v>
      </c>
      <c r="V27" s="55">
        <v>1258</v>
      </c>
      <c r="W27" s="55">
        <v>1422</v>
      </c>
      <c r="X27" s="55">
        <v>2239</v>
      </c>
      <c r="Y27" s="55">
        <v>1429</v>
      </c>
      <c r="Z27" s="55">
        <v>1376</v>
      </c>
      <c r="AA27" s="55">
        <v>4599</v>
      </c>
      <c r="AB27" s="55">
        <v>2783</v>
      </c>
      <c r="AC27" s="55">
        <v>3609</v>
      </c>
      <c r="AD27" s="55"/>
      <c r="AE27" s="55"/>
      <c r="AF27" s="55"/>
      <c r="AG27" s="55"/>
      <c r="AH27" s="55"/>
      <c r="AI27" s="55"/>
      <c r="AJ27" s="55">
        <v>0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</row>
    <row r="28" spans="1:44">
      <c r="A28" s="313"/>
      <c r="B28" s="37" t="s">
        <v>49</v>
      </c>
      <c r="C28" s="38" t="s">
        <v>48</v>
      </c>
      <c r="D28" s="73">
        <f t="shared" si="3"/>
        <v>5220</v>
      </c>
      <c r="E28" s="55"/>
      <c r="F28" s="55"/>
      <c r="G28" s="55"/>
      <c r="H28" s="55">
        <v>312</v>
      </c>
      <c r="I28" s="55">
        <v>576</v>
      </c>
      <c r="J28" s="55">
        <v>144</v>
      </c>
      <c r="K28" s="55">
        <v>624</v>
      </c>
      <c r="L28" s="55">
        <v>144</v>
      </c>
      <c r="M28" s="55">
        <v>72</v>
      </c>
      <c r="N28" s="55">
        <v>24</v>
      </c>
      <c r="O28" s="55">
        <v>120</v>
      </c>
      <c r="P28" s="55">
        <v>288</v>
      </c>
      <c r="Q28" s="55">
        <v>564</v>
      </c>
      <c r="R28" s="55">
        <v>360</v>
      </c>
      <c r="S28" s="55">
        <v>168</v>
      </c>
      <c r="T28" s="55">
        <v>144</v>
      </c>
      <c r="U28" s="55">
        <v>312</v>
      </c>
      <c r="V28" s="55">
        <v>96</v>
      </c>
      <c r="W28" s="55">
        <v>336</v>
      </c>
      <c r="X28" s="55">
        <v>240</v>
      </c>
      <c r="Y28" s="55">
        <v>96</v>
      </c>
      <c r="Z28" s="55">
        <v>192</v>
      </c>
      <c r="AA28" s="55">
        <v>168</v>
      </c>
      <c r="AB28" s="55">
        <v>96</v>
      </c>
      <c r="AC28" s="55">
        <v>144</v>
      </c>
      <c r="AD28" s="55"/>
      <c r="AE28" s="55"/>
      <c r="AF28" s="55"/>
      <c r="AG28" s="55"/>
      <c r="AH28" s="55"/>
      <c r="AI28" s="55"/>
      <c r="AJ28" s="55">
        <v>0</v>
      </c>
      <c r="AK28" s="55">
        <v>0</v>
      </c>
      <c r="AL28" s="55">
        <v>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</row>
    <row r="29" spans="1:44">
      <c r="A29" s="313"/>
      <c r="B29" s="37" t="s">
        <v>50</v>
      </c>
      <c r="C29" s="38" t="s">
        <v>48</v>
      </c>
      <c r="D29" s="73">
        <f t="shared" si="3"/>
        <v>425788</v>
      </c>
      <c r="E29" s="55"/>
      <c r="F29" s="55"/>
      <c r="G29" s="55"/>
      <c r="H29" s="55">
        <v>38829</v>
      </c>
      <c r="I29" s="55">
        <v>27338</v>
      </c>
      <c r="J29" s="55">
        <v>25311</v>
      </c>
      <c r="K29" s="55">
        <v>24090</v>
      </c>
      <c r="L29" s="55">
        <v>4454</v>
      </c>
      <c r="M29" s="55">
        <v>2821</v>
      </c>
      <c r="N29" s="55">
        <v>38124</v>
      </c>
      <c r="O29" s="55">
        <v>14625</v>
      </c>
      <c r="P29" s="55">
        <v>31453</v>
      </c>
      <c r="Q29" s="55">
        <v>34666</v>
      </c>
      <c r="R29" s="55">
        <v>23033</v>
      </c>
      <c r="S29" s="55">
        <v>18964</v>
      </c>
      <c r="T29" s="55">
        <v>4034</v>
      </c>
      <c r="U29" s="55">
        <v>20604</v>
      </c>
      <c r="V29" s="55">
        <v>10287</v>
      </c>
      <c r="W29" s="55">
        <v>14644</v>
      </c>
      <c r="X29" s="55">
        <v>11063</v>
      </c>
      <c r="Y29" s="55">
        <v>9321</v>
      </c>
      <c r="Z29" s="55">
        <v>10450</v>
      </c>
      <c r="AA29" s="55">
        <v>21860</v>
      </c>
      <c r="AB29" s="55">
        <v>20710</v>
      </c>
      <c r="AC29" s="55">
        <v>19107</v>
      </c>
      <c r="AD29" s="55"/>
      <c r="AE29" s="55"/>
      <c r="AF29" s="55"/>
      <c r="AG29" s="55"/>
      <c r="AH29" s="55"/>
      <c r="AI29" s="55"/>
      <c r="AJ29" s="55">
        <v>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51</v>
      </c>
      <c r="C30" s="38" t="s">
        <v>48</v>
      </c>
      <c r="D30" s="73">
        <f t="shared" si="3"/>
        <v>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</row>
    <row r="31" spans="1:44">
      <c r="A31" s="313"/>
      <c r="B31" s="37" t="s">
        <v>52</v>
      </c>
      <c r="C31" s="38" t="s">
        <v>48</v>
      </c>
      <c r="D31" s="73">
        <f t="shared" si="3"/>
        <v>28405</v>
      </c>
      <c r="E31" s="55"/>
      <c r="F31" s="55"/>
      <c r="G31" s="55">
        <v>6517</v>
      </c>
      <c r="H31" s="55">
        <v>1170</v>
      </c>
      <c r="I31" s="55">
        <v>5364</v>
      </c>
      <c r="J31" s="55">
        <v>432</v>
      </c>
      <c r="K31" s="55">
        <v>252</v>
      </c>
      <c r="L31" s="55">
        <v>360</v>
      </c>
      <c r="M31" s="55">
        <v>126</v>
      </c>
      <c r="N31" s="55">
        <v>846</v>
      </c>
      <c r="O31" s="55">
        <v>630</v>
      </c>
      <c r="P31" s="55">
        <v>1224</v>
      </c>
      <c r="Q31" s="55">
        <v>1638</v>
      </c>
      <c r="R31" s="55">
        <v>1242</v>
      </c>
      <c r="S31" s="55">
        <v>1134</v>
      </c>
      <c r="T31" s="55">
        <v>468</v>
      </c>
      <c r="U31" s="55">
        <v>1440</v>
      </c>
      <c r="V31" s="55">
        <v>558</v>
      </c>
      <c r="W31" s="55">
        <v>972</v>
      </c>
      <c r="X31" s="55">
        <v>360</v>
      </c>
      <c r="Y31" s="55"/>
      <c r="Z31" s="55">
        <v>1260</v>
      </c>
      <c r="AA31" s="55">
        <v>288</v>
      </c>
      <c r="AB31" s="55">
        <v>1116</v>
      </c>
      <c r="AC31" s="55">
        <v>1008</v>
      </c>
      <c r="AD31" s="55"/>
      <c r="AE31" s="55"/>
      <c r="AF31" s="55"/>
      <c r="AG31" s="55"/>
      <c r="AH31" s="55"/>
      <c r="AI31" s="55"/>
      <c r="AJ31" s="55">
        <v>0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53</v>
      </c>
      <c r="C32" s="38" t="s">
        <v>48</v>
      </c>
      <c r="D32" s="73">
        <f t="shared" si="3"/>
        <v>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54</v>
      </c>
      <c r="C33" s="38" t="s">
        <v>48</v>
      </c>
      <c r="D33" s="73">
        <f t="shared" si="3"/>
        <v>0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</row>
    <row r="34" spans="1:44">
      <c r="A34" s="313"/>
      <c r="B34" s="37" t="s">
        <v>55</v>
      </c>
      <c r="C34" s="38" t="s">
        <v>48</v>
      </c>
      <c r="D34" s="73">
        <f t="shared" si="3"/>
        <v>418</v>
      </c>
      <c r="E34" s="55"/>
      <c r="F34" s="55"/>
      <c r="G34" s="55">
        <v>334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>
        <v>42</v>
      </c>
      <c r="U34" s="55">
        <v>42</v>
      </c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</row>
    <row r="35" spans="1:44">
      <c r="A35" s="313"/>
      <c r="B35" s="37" t="s">
        <v>56</v>
      </c>
      <c r="C35" s="38" t="s">
        <v>48</v>
      </c>
      <c r="D35" s="73">
        <f t="shared" si="3"/>
        <v>20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>
        <v>20</v>
      </c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57</v>
      </c>
      <c r="C36" s="38" t="s">
        <v>48</v>
      </c>
      <c r="D36" s="73">
        <f t="shared" si="3"/>
        <v>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3"/>
      <c r="B37" s="37" t="s">
        <v>58</v>
      </c>
      <c r="C37" s="38" t="s">
        <v>48</v>
      </c>
      <c r="D37" s="73">
        <f>SUM(E37:AR37)</f>
        <v>0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</row>
    <row r="38" spans="1:44">
      <c r="A38" s="314"/>
      <c r="B38" s="39" t="s">
        <v>59</v>
      </c>
      <c r="C38" s="40" t="s">
        <v>48</v>
      </c>
      <c r="D38" s="74">
        <f>SUM(E38:AR38)</f>
        <v>5653</v>
      </c>
      <c r="E38" s="55"/>
      <c r="F38" s="55"/>
      <c r="G38" s="55">
        <v>18</v>
      </c>
      <c r="H38" s="55">
        <v>49</v>
      </c>
      <c r="I38" s="55">
        <v>714</v>
      </c>
      <c r="J38" s="55">
        <v>264</v>
      </c>
      <c r="K38" s="55">
        <v>673</v>
      </c>
      <c r="L38" s="55">
        <v>148</v>
      </c>
      <c r="M38" s="55">
        <v>244</v>
      </c>
      <c r="N38" s="55">
        <v>112</v>
      </c>
      <c r="O38" s="55">
        <v>155</v>
      </c>
      <c r="P38" s="55">
        <v>352</v>
      </c>
      <c r="Q38" s="55">
        <v>144</v>
      </c>
      <c r="R38" s="55">
        <v>232</v>
      </c>
      <c r="S38" s="55">
        <v>200</v>
      </c>
      <c r="T38" s="55">
        <v>98</v>
      </c>
      <c r="U38" s="55">
        <v>380</v>
      </c>
      <c r="V38" s="55">
        <v>32</v>
      </c>
      <c r="W38" s="55">
        <v>459</v>
      </c>
      <c r="X38" s="55">
        <v>482</v>
      </c>
      <c r="Y38" s="55">
        <v>245</v>
      </c>
      <c r="Z38" s="55">
        <v>273</v>
      </c>
      <c r="AA38" s="55">
        <v>134</v>
      </c>
      <c r="AB38" s="55">
        <v>97</v>
      </c>
      <c r="AC38" s="55">
        <v>148</v>
      </c>
      <c r="AD38" s="55"/>
      <c r="AE38" s="55"/>
      <c r="AF38" s="55"/>
      <c r="AG38" s="55"/>
      <c r="AH38" s="55"/>
      <c r="AI38" s="55"/>
      <c r="AJ38" s="55">
        <v>0</v>
      </c>
      <c r="AK38" s="55">
        <v>0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</row>
    <row r="39" spans="1:44">
      <c r="A39" s="164"/>
      <c r="B39" s="94" t="s">
        <v>149</v>
      </c>
      <c r="C39" s="166"/>
      <c r="D39" s="180">
        <f t="shared" ref="D39:AR39" si="4">D37/D26</f>
        <v>0</v>
      </c>
      <c r="E39" s="170" t="e">
        <f t="shared" si="4"/>
        <v>#DIV/0!</v>
      </c>
      <c r="F39" s="170" t="e">
        <f t="shared" si="4"/>
        <v>#DIV/0!</v>
      </c>
      <c r="G39" s="170">
        <f t="shared" si="4"/>
        <v>0</v>
      </c>
      <c r="H39" s="170">
        <f t="shared" si="4"/>
        <v>0</v>
      </c>
      <c r="I39" s="170">
        <f t="shared" si="4"/>
        <v>0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 t="e">
        <f t="shared" si="4"/>
        <v>#DIV/0!</v>
      </c>
      <c r="AE39" s="170" t="e">
        <f t="shared" si="4"/>
        <v>#DIV/0!</v>
      </c>
      <c r="AF39" s="170" t="e">
        <f t="shared" si="4"/>
        <v>#DIV/0!</v>
      </c>
      <c r="AG39" s="170" t="e">
        <f t="shared" si="4"/>
        <v>#DIV/0!</v>
      </c>
      <c r="AH39" s="170" t="e">
        <f t="shared" si="4"/>
        <v>#DIV/0!</v>
      </c>
      <c r="AI39" s="170" t="e">
        <f t="shared" si="4"/>
        <v>#DIV/0!</v>
      </c>
      <c r="AJ39" s="170" t="e">
        <f t="shared" si="4"/>
        <v>#DIV/0!</v>
      </c>
      <c r="AK39" s="170" t="e">
        <f t="shared" si="4"/>
        <v>#DIV/0!</v>
      </c>
      <c r="AL39" s="170" t="e">
        <f t="shared" si="4"/>
        <v>#DIV/0!</v>
      </c>
      <c r="AM39" s="170" t="e">
        <f t="shared" si="4"/>
        <v>#DIV/0!</v>
      </c>
      <c r="AN39" s="170" t="e">
        <f t="shared" si="4"/>
        <v>#DIV/0!</v>
      </c>
      <c r="AO39" s="170" t="e">
        <f t="shared" si="4"/>
        <v>#DIV/0!</v>
      </c>
      <c r="AP39" s="170" t="e">
        <f t="shared" si="4"/>
        <v>#DIV/0!</v>
      </c>
      <c r="AQ39" s="170" t="e">
        <f t="shared" si="4"/>
        <v>#DIV/0!</v>
      </c>
      <c r="AR39" s="170" t="e">
        <f t="shared" si="4"/>
        <v>#DIV/0!</v>
      </c>
    </row>
    <row r="40" spans="1:4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</row>
    <row r="41" spans="1:44">
      <c r="A41" s="324" t="s">
        <v>60</v>
      </c>
      <c r="B41" s="50" t="s">
        <v>61</v>
      </c>
      <c r="C41" s="91" t="s">
        <v>62</v>
      </c>
      <c r="D41" s="81">
        <f>SUM(E41:AR41)</f>
        <v>395000</v>
      </c>
      <c r="E41" s="86">
        <v>4000</v>
      </c>
      <c r="F41" s="86">
        <v>14000</v>
      </c>
      <c r="G41" s="86">
        <v>15000</v>
      </c>
      <c r="H41" s="86">
        <v>12000</v>
      </c>
      <c r="I41" s="86">
        <v>15000</v>
      </c>
      <c r="J41" s="86">
        <v>15000</v>
      </c>
      <c r="K41" s="86">
        <v>15000</v>
      </c>
      <c r="L41" s="86">
        <v>10000</v>
      </c>
      <c r="M41" s="86">
        <v>11000</v>
      </c>
      <c r="N41" s="86">
        <v>15000</v>
      </c>
      <c r="O41" s="86">
        <v>15000</v>
      </c>
      <c r="P41" s="86">
        <v>15000</v>
      </c>
      <c r="Q41" s="86">
        <v>16000</v>
      </c>
      <c r="R41" s="86">
        <v>15000</v>
      </c>
      <c r="S41" s="86">
        <v>16000</v>
      </c>
      <c r="T41" s="86">
        <v>12000</v>
      </c>
      <c r="U41" s="86">
        <v>14000</v>
      </c>
      <c r="V41" s="86">
        <v>16000</v>
      </c>
      <c r="W41" s="86">
        <v>14000</v>
      </c>
      <c r="X41" s="86">
        <v>15000</v>
      </c>
      <c r="Y41" s="86">
        <v>16000</v>
      </c>
      <c r="Z41" s="86">
        <v>14000</v>
      </c>
      <c r="AA41" s="86">
        <v>15000</v>
      </c>
      <c r="AB41" s="86">
        <v>14000</v>
      </c>
      <c r="AC41" s="86">
        <v>15000</v>
      </c>
      <c r="AD41" s="86">
        <v>15000</v>
      </c>
      <c r="AE41" s="86">
        <v>14000</v>
      </c>
      <c r="AF41" s="86">
        <v>9000</v>
      </c>
      <c r="AG41" s="86">
        <v>5000</v>
      </c>
      <c r="AH41" s="86">
        <v>4000</v>
      </c>
      <c r="AI41" s="86"/>
      <c r="AJ41" s="86"/>
      <c r="AK41" s="86"/>
      <c r="AL41" s="86"/>
      <c r="AM41" s="86">
        <v>0</v>
      </c>
      <c r="AN41" s="86">
        <v>0</v>
      </c>
      <c r="AO41" s="86">
        <v>0</v>
      </c>
      <c r="AP41" s="86">
        <v>0</v>
      </c>
      <c r="AQ41" s="86">
        <v>0</v>
      </c>
      <c r="AR41" s="86">
        <v>0</v>
      </c>
    </row>
    <row r="42" spans="1:44">
      <c r="A42" s="325"/>
      <c r="B42" s="39" t="s">
        <v>63</v>
      </c>
      <c r="C42" s="92" t="s">
        <v>62</v>
      </c>
      <c r="D42" s="82">
        <f>SUM(E42:AR42)</f>
        <v>700</v>
      </c>
      <c r="E42" s="87"/>
      <c r="F42" s="87"/>
      <c r="G42" s="87"/>
      <c r="H42" s="87">
        <v>100</v>
      </c>
      <c r="I42" s="87"/>
      <c r="J42" s="87"/>
      <c r="K42" s="87">
        <v>100</v>
      </c>
      <c r="L42" s="87"/>
      <c r="M42" s="87">
        <v>300</v>
      </c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>
        <v>200</v>
      </c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</row>
    <row r="44" spans="1:44">
      <c r="B44" s="167" t="s">
        <v>240</v>
      </c>
      <c r="C44" s="184" t="s">
        <v>241</v>
      </c>
      <c r="D44" s="187">
        <f>D41/D26</f>
        <v>0.7769350600305267</v>
      </c>
      <c r="E44" s="185" t="e">
        <f t="shared" ref="E44:AR44" si="5">E41/E26</f>
        <v>#DIV/0!</v>
      </c>
      <c r="F44" s="188" t="e">
        <f t="shared" si="5"/>
        <v>#DIV/0!</v>
      </c>
      <c r="G44" s="186">
        <f t="shared" si="5"/>
        <v>1.7953321364452424</v>
      </c>
      <c r="H44" s="188">
        <f t="shared" si="5"/>
        <v>0.27689964695295016</v>
      </c>
      <c r="I44" s="186">
        <f t="shared" si="5"/>
        <v>0.41072259795733962</v>
      </c>
      <c r="J44" s="188">
        <f t="shared" si="5"/>
        <v>0.54363583647434044</v>
      </c>
      <c r="K44" s="186">
        <f t="shared" si="5"/>
        <v>0.56717208000907471</v>
      </c>
      <c r="L44" s="188">
        <f t="shared" si="5"/>
        <v>1.8705574261129816</v>
      </c>
      <c r="M44" s="186">
        <f t="shared" si="5"/>
        <v>3.1856356791196063</v>
      </c>
      <c r="N44" s="188">
        <f t="shared" si="5"/>
        <v>0.37148022486936277</v>
      </c>
      <c r="O44" s="186">
        <f t="shared" si="5"/>
        <v>0.91563911610303994</v>
      </c>
      <c r="P44" s="188">
        <f t="shared" si="5"/>
        <v>0.41932237504193226</v>
      </c>
      <c r="Q44" s="186">
        <f t="shared" si="5"/>
        <v>0.40287045197028831</v>
      </c>
      <c r="R44" s="188">
        <f t="shared" si="5"/>
        <v>0.52644509177692766</v>
      </c>
      <c r="S44" s="186">
        <f t="shared" si="5"/>
        <v>0.71955387659651016</v>
      </c>
      <c r="T44" s="188">
        <f t="shared" si="5"/>
        <v>2.303705125743905</v>
      </c>
      <c r="U44" s="186">
        <f t="shared" si="5"/>
        <v>0.5781779136037003</v>
      </c>
      <c r="V44" s="188">
        <f t="shared" si="5"/>
        <v>1.3081514185266945</v>
      </c>
      <c r="W44" s="186">
        <f t="shared" si="5"/>
        <v>0.78506140301687877</v>
      </c>
      <c r="X44" s="188">
        <f t="shared" si="5"/>
        <v>1.042825361512792</v>
      </c>
      <c r="Y44" s="186">
        <f t="shared" si="5"/>
        <v>1.4426111261383103</v>
      </c>
      <c r="Z44" s="188">
        <f t="shared" si="5"/>
        <v>1.0331340860453102</v>
      </c>
      <c r="AA44" s="186">
        <f t="shared" si="5"/>
        <v>0.55454915153979811</v>
      </c>
      <c r="AB44" s="188">
        <f t="shared" si="5"/>
        <v>0.56447060720909603</v>
      </c>
      <c r="AC44" s="186">
        <f t="shared" si="5"/>
        <v>0.6245836109260493</v>
      </c>
      <c r="AD44" s="188" t="e">
        <f t="shared" si="5"/>
        <v>#DIV/0!</v>
      </c>
      <c r="AE44" s="186" t="e">
        <f t="shared" si="5"/>
        <v>#DIV/0!</v>
      </c>
      <c r="AF44" s="188" t="e">
        <f t="shared" si="5"/>
        <v>#DIV/0!</v>
      </c>
      <c r="AG44" s="186" t="e">
        <f t="shared" si="5"/>
        <v>#DIV/0!</v>
      </c>
      <c r="AH44" s="188" t="e">
        <f t="shared" si="5"/>
        <v>#DIV/0!</v>
      </c>
      <c r="AI44" s="186" t="e">
        <f t="shared" si="5"/>
        <v>#DIV/0!</v>
      </c>
      <c r="AJ44" s="188" t="e">
        <f t="shared" si="5"/>
        <v>#DIV/0!</v>
      </c>
      <c r="AK44" s="186" t="e">
        <f t="shared" si="5"/>
        <v>#DIV/0!</v>
      </c>
      <c r="AL44" s="188" t="e">
        <f t="shared" si="5"/>
        <v>#DIV/0!</v>
      </c>
      <c r="AM44" s="186" t="e">
        <f t="shared" si="5"/>
        <v>#DIV/0!</v>
      </c>
      <c r="AN44" s="188" t="e">
        <f t="shared" si="5"/>
        <v>#DIV/0!</v>
      </c>
      <c r="AO44" s="186" t="e">
        <f t="shared" si="5"/>
        <v>#DIV/0!</v>
      </c>
      <c r="AP44" s="188" t="e">
        <f t="shared" si="5"/>
        <v>#DIV/0!</v>
      </c>
      <c r="AQ44" s="186" t="e">
        <f t="shared" si="5"/>
        <v>#DIV/0!</v>
      </c>
      <c r="AR44" s="188" t="e">
        <f t="shared" si="5"/>
        <v>#DIV/0!</v>
      </c>
    </row>
    <row r="46" spans="1:44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</row>
    <row r="47" spans="1:44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</row>
    <row r="48" spans="1:44">
      <c r="A48" s="313"/>
      <c r="B48" s="94" t="s">
        <v>67</v>
      </c>
      <c r="C48" s="38" t="s">
        <v>8</v>
      </c>
      <c r="D48" s="182">
        <f t="shared" ref="D48:D51" si="6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</row>
    <row r="49" spans="1:44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</row>
    <row r="50" spans="1:44">
      <c r="A50" s="313"/>
      <c r="B50" s="93" t="s">
        <v>69</v>
      </c>
      <c r="C50" s="91" t="s">
        <v>48</v>
      </c>
      <c r="D50" s="181">
        <f t="shared" si="6"/>
        <v>0</v>
      </c>
      <c r="E50" s="86">
        <v>0</v>
      </c>
      <c r="F50" s="86"/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</row>
    <row r="51" spans="1:44">
      <c r="A51" s="314"/>
      <c r="B51" s="95" t="s">
        <v>70</v>
      </c>
      <c r="C51" s="92" t="s">
        <v>48</v>
      </c>
      <c r="D51" s="183">
        <f t="shared" si="6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</row>
    <row r="52" spans="1:4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</row>
    <row r="54" spans="1:4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</row>
    <row r="55" spans="1:4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541</v>
      </c>
      <c r="W55" s="8" t="s">
        <v>75</v>
      </c>
      <c r="X55" s="8" t="s">
        <v>75</v>
      </c>
      <c r="Y55" s="8" t="s">
        <v>542</v>
      </c>
      <c r="Z55" s="8" t="s">
        <v>542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</row>
    <row r="56" spans="1:44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543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</row>
    <row r="57" spans="1:4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544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545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515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</row>
    <row r="59" spans="1:44" ht="15.75">
      <c r="B59" s="53" t="s">
        <v>83</v>
      </c>
      <c r="C59" s="99" t="s">
        <v>84</v>
      </c>
      <c r="D59" s="100">
        <f>SUM(D60:D72)</f>
        <v>13628477</v>
      </c>
      <c r="E59" s="101">
        <f>SUM(E60:E72)</f>
        <v>0</v>
      </c>
      <c r="F59" s="101">
        <f t="shared" ref="F59:AR59" si="7">SUM(F60:F72)</f>
        <v>0</v>
      </c>
      <c r="G59" s="101">
        <f t="shared" si="7"/>
        <v>203201</v>
      </c>
      <c r="H59" s="101">
        <f t="shared" si="7"/>
        <v>1151085</v>
      </c>
      <c r="I59" s="101">
        <f t="shared" si="7"/>
        <v>915801</v>
      </c>
      <c r="J59" s="101">
        <f t="shared" si="7"/>
        <v>713993</v>
      </c>
      <c r="K59" s="101">
        <f t="shared" si="7"/>
        <v>660654</v>
      </c>
      <c r="L59" s="101">
        <f t="shared" si="7"/>
        <v>133264</v>
      </c>
      <c r="M59" s="101">
        <f t="shared" si="7"/>
        <v>86436</v>
      </c>
      <c r="N59" s="101">
        <f t="shared" si="7"/>
        <v>1010607</v>
      </c>
      <c r="O59" s="101">
        <f t="shared" si="7"/>
        <v>419960</v>
      </c>
      <c r="P59" s="101">
        <f t="shared" si="7"/>
        <v>943095</v>
      </c>
      <c r="Q59" s="101">
        <f t="shared" si="7"/>
        <v>1048461</v>
      </c>
      <c r="R59" s="101">
        <f t="shared" si="7"/>
        <v>818468</v>
      </c>
      <c r="S59" s="101">
        <f t="shared" si="7"/>
        <v>592304</v>
      </c>
      <c r="T59" s="101">
        <f t="shared" si="7"/>
        <v>138713</v>
      </c>
      <c r="U59" s="101">
        <f t="shared" si="7"/>
        <v>622570</v>
      </c>
      <c r="V59" s="101">
        <f t="shared" si="7"/>
        <v>339304</v>
      </c>
      <c r="W59" s="101">
        <f t="shared" si="7"/>
        <v>471864</v>
      </c>
      <c r="X59" s="101">
        <f t="shared" si="7"/>
        <v>428227</v>
      </c>
      <c r="Y59" s="101">
        <f t="shared" si="7"/>
        <v>322111</v>
      </c>
      <c r="Z59" s="101">
        <f t="shared" si="7"/>
        <v>365494</v>
      </c>
      <c r="AA59" s="101">
        <f t="shared" si="7"/>
        <v>834035</v>
      </c>
      <c r="AB59" s="101">
        <f t="shared" si="7"/>
        <v>696485</v>
      </c>
      <c r="AC59" s="101">
        <f t="shared" si="7"/>
        <v>712345</v>
      </c>
      <c r="AD59" s="101">
        <f t="shared" si="7"/>
        <v>0</v>
      </c>
      <c r="AE59" s="101">
        <f t="shared" si="7"/>
        <v>0</v>
      </c>
      <c r="AF59" s="101">
        <f t="shared" si="7"/>
        <v>0</v>
      </c>
      <c r="AG59" s="101">
        <f t="shared" si="7"/>
        <v>0</v>
      </c>
      <c r="AH59" s="101">
        <f t="shared" si="7"/>
        <v>0</v>
      </c>
      <c r="AI59" s="101">
        <f t="shared" si="7"/>
        <v>0</v>
      </c>
      <c r="AJ59" s="101">
        <f t="shared" si="7"/>
        <v>0</v>
      </c>
      <c r="AK59" s="101">
        <f t="shared" si="7"/>
        <v>0</v>
      </c>
      <c r="AL59" s="101">
        <f t="shared" si="7"/>
        <v>0</v>
      </c>
      <c r="AM59" s="101">
        <f t="shared" si="7"/>
        <v>0</v>
      </c>
      <c r="AN59" s="101">
        <f t="shared" si="7"/>
        <v>0</v>
      </c>
      <c r="AO59" s="101">
        <f t="shared" si="7"/>
        <v>0</v>
      </c>
      <c r="AP59" s="101">
        <f t="shared" si="7"/>
        <v>0</v>
      </c>
      <c r="AQ59" s="101">
        <f t="shared" si="7"/>
        <v>0</v>
      </c>
      <c r="AR59" s="101">
        <f t="shared" si="7"/>
        <v>0</v>
      </c>
    </row>
    <row r="60" spans="1:44">
      <c r="B60" s="96" t="s">
        <v>47</v>
      </c>
      <c r="C60" s="111">
        <v>65</v>
      </c>
      <c r="D60" s="97">
        <f>D27*$C60</f>
        <v>2788760</v>
      </c>
      <c r="E60" s="104">
        <f t="shared" ref="E60:AR71" si="8">E27*$C60</f>
        <v>0</v>
      </c>
      <c r="F60" s="104">
        <f t="shared" si="8"/>
        <v>0</v>
      </c>
      <c r="G60" s="104">
        <f t="shared" si="8"/>
        <v>96590</v>
      </c>
      <c r="H60" s="104">
        <f t="shared" si="8"/>
        <v>193505</v>
      </c>
      <c r="I60" s="104">
        <f t="shared" si="8"/>
        <v>164385</v>
      </c>
      <c r="J60" s="104">
        <f t="shared" si="8"/>
        <v>93665</v>
      </c>
      <c r="K60" s="104">
        <f t="shared" si="8"/>
        <v>52520</v>
      </c>
      <c r="L60" s="104">
        <f t="shared" si="8"/>
        <v>15600</v>
      </c>
      <c r="M60" s="104">
        <f t="shared" si="8"/>
        <v>12350</v>
      </c>
      <c r="N60" s="104">
        <f t="shared" si="8"/>
        <v>82745</v>
      </c>
      <c r="O60" s="104">
        <f t="shared" si="8"/>
        <v>55380</v>
      </c>
      <c r="P60" s="104">
        <f t="shared" si="8"/>
        <v>159575</v>
      </c>
      <c r="Q60" s="104">
        <f t="shared" si="8"/>
        <v>175695</v>
      </c>
      <c r="R60" s="104">
        <f t="shared" si="8"/>
        <v>235690</v>
      </c>
      <c r="S60" s="104">
        <f t="shared" si="8"/>
        <v>115050</v>
      </c>
      <c r="T60" s="104">
        <f t="shared" si="8"/>
        <v>27495</v>
      </c>
      <c r="U60" s="104">
        <f t="shared" si="8"/>
        <v>92040</v>
      </c>
      <c r="V60" s="104">
        <f t="shared" si="8"/>
        <v>81770</v>
      </c>
      <c r="W60" s="104">
        <f t="shared" si="8"/>
        <v>92430</v>
      </c>
      <c r="X60" s="104">
        <f t="shared" si="8"/>
        <v>145535</v>
      </c>
      <c r="Y60" s="104">
        <f t="shared" si="8"/>
        <v>92885</v>
      </c>
      <c r="Z60" s="104">
        <f t="shared" si="8"/>
        <v>89440</v>
      </c>
      <c r="AA60" s="104">
        <f t="shared" si="8"/>
        <v>298935</v>
      </c>
      <c r="AB60" s="104">
        <f t="shared" si="8"/>
        <v>180895</v>
      </c>
      <c r="AC60" s="104">
        <f t="shared" si="8"/>
        <v>234585</v>
      </c>
      <c r="AD60" s="104">
        <f t="shared" si="8"/>
        <v>0</v>
      </c>
      <c r="AE60" s="104">
        <f t="shared" si="8"/>
        <v>0</v>
      </c>
      <c r="AF60" s="104">
        <f t="shared" si="8"/>
        <v>0</v>
      </c>
      <c r="AG60" s="104">
        <f t="shared" si="8"/>
        <v>0</v>
      </c>
      <c r="AH60" s="104">
        <f t="shared" si="8"/>
        <v>0</v>
      </c>
      <c r="AI60" s="104">
        <f t="shared" si="8"/>
        <v>0</v>
      </c>
      <c r="AJ60" s="104">
        <f t="shared" si="8"/>
        <v>0</v>
      </c>
      <c r="AK60" s="104">
        <f t="shared" si="8"/>
        <v>0</v>
      </c>
      <c r="AL60" s="104">
        <f t="shared" si="8"/>
        <v>0</v>
      </c>
      <c r="AM60" s="104">
        <f t="shared" si="8"/>
        <v>0</v>
      </c>
      <c r="AN60" s="104">
        <f t="shared" si="8"/>
        <v>0</v>
      </c>
      <c r="AO60" s="104">
        <f t="shared" si="8"/>
        <v>0</v>
      </c>
      <c r="AP60" s="104">
        <f t="shared" si="8"/>
        <v>0</v>
      </c>
      <c r="AQ60" s="104">
        <f t="shared" si="8"/>
        <v>0</v>
      </c>
      <c r="AR60" s="104">
        <f t="shared" si="8"/>
        <v>0</v>
      </c>
    </row>
    <row r="61" spans="1:44">
      <c r="B61" s="96" t="s">
        <v>49</v>
      </c>
      <c r="C61" s="111">
        <v>32</v>
      </c>
      <c r="D61" s="97">
        <f t="shared" ref="D61:AJ68" si="9">D28*$C61</f>
        <v>167040</v>
      </c>
      <c r="E61" s="104">
        <f t="shared" si="9"/>
        <v>0</v>
      </c>
      <c r="F61" s="104">
        <f t="shared" si="9"/>
        <v>0</v>
      </c>
      <c r="G61" s="104">
        <f t="shared" si="9"/>
        <v>0</v>
      </c>
      <c r="H61" s="104">
        <f t="shared" si="9"/>
        <v>9984</v>
      </c>
      <c r="I61" s="104">
        <f t="shared" si="9"/>
        <v>18432</v>
      </c>
      <c r="J61" s="104">
        <f t="shared" si="9"/>
        <v>4608</v>
      </c>
      <c r="K61" s="104">
        <f t="shared" si="9"/>
        <v>19968</v>
      </c>
      <c r="L61" s="104">
        <f t="shared" si="9"/>
        <v>4608</v>
      </c>
      <c r="M61" s="104">
        <f t="shared" si="9"/>
        <v>2304</v>
      </c>
      <c r="N61" s="104">
        <f t="shared" si="9"/>
        <v>768</v>
      </c>
      <c r="O61" s="104">
        <f t="shared" si="9"/>
        <v>3840</v>
      </c>
      <c r="P61" s="104">
        <f t="shared" si="9"/>
        <v>9216</v>
      </c>
      <c r="Q61" s="104">
        <f t="shared" si="9"/>
        <v>18048</v>
      </c>
      <c r="R61" s="104">
        <f t="shared" si="9"/>
        <v>11520</v>
      </c>
      <c r="S61" s="104">
        <f t="shared" si="9"/>
        <v>5376</v>
      </c>
      <c r="T61" s="104">
        <f t="shared" si="9"/>
        <v>4608</v>
      </c>
      <c r="U61" s="104">
        <f t="shared" si="9"/>
        <v>9984</v>
      </c>
      <c r="V61" s="104">
        <f t="shared" si="9"/>
        <v>3072</v>
      </c>
      <c r="W61" s="104">
        <f t="shared" si="9"/>
        <v>10752</v>
      </c>
      <c r="X61" s="104">
        <f t="shared" si="9"/>
        <v>7680</v>
      </c>
      <c r="Y61" s="104">
        <f t="shared" si="9"/>
        <v>3072</v>
      </c>
      <c r="Z61" s="104">
        <f t="shared" si="9"/>
        <v>6144</v>
      </c>
      <c r="AA61" s="104">
        <f t="shared" si="9"/>
        <v>5376</v>
      </c>
      <c r="AB61" s="104">
        <f t="shared" si="9"/>
        <v>3072</v>
      </c>
      <c r="AC61" s="104">
        <f t="shared" si="9"/>
        <v>4608</v>
      </c>
      <c r="AD61" s="104">
        <f t="shared" si="9"/>
        <v>0</v>
      </c>
      <c r="AE61" s="104">
        <f t="shared" si="9"/>
        <v>0</v>
      </c>
      <c r="AF61" s="104">
        <f t="shared" si="9"/>
        <v>0</v>
      </c>
      <c r="AG61" s="104">
        <f t="shared" si="9"/>
        <v>0</v>
      </c>
      <c r="AH61" s="104">
        <f t="shared" si="9"/>
        <v>0</v>
      </c>
      <c r="AI61" s="104">
        <f t="shared" si="9"/>
        <v>0</v>
      </c>
      <c r="AJ61" s="104">
        <f t="shared" si="9"/>
        <v>0</v>
      </c>
      <c r="AK61" s="104">
        <f t="shared" si="8"/>
        <v>0</v>
      </c>
      <c r="AL61" s="104">
        <f t="shared" si="8"/>
        <v>0</v>
      </c>
      <c r="AM61" s="104">
        <f t="shared" si="8"/>
        <v>0</v>
      </c>
      <c r="AN61" s="104">
        <f t="shared" si="8"/>
        <v>0</v>
      </c>
      <c r="AO61" s="104">
        <f t="shared" si="8"/>
        <v>0</v>
      </c>
      <c r="AP61" s="104">
        <f t="shared" si="8"/>
        <v>0</v>
      </c>
      <c r="AQ61" s="104">
        <f t="shared" si="8"/>
        <v>0</v>
      </c>
      <c r="AR61" s="104">
        <f t="shared" si="8"/>
        <v>0</v>
      </c>
    </row>
    <row r="62" spans="1:44">
      <c r="B62" s="96" t="s">
        <v>50</v>
      </c>
      <c r="C62" s="111">
        <v>24</v>
      </c>
      <c r="D62" s="97">
        <f t="shared" si="9"/>
        <v>10218912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931896</v>
      </c>
      <c r="I62" s="104">
        <f t="shared" si="9"/>
        <v>656112</v>
      </c>
      <c r="J62" s="104">
        <f t="shared" si="9"/>
        <v>607464</v>
      </c>
      <c r="K62" s="104">
        <f t="shared" si="9"/>
        <v>578160</v>
      </c>
      <c r="L62" s="104">
        <f t="shared" si="9"/>
        <v>106896</v>
      </c>
      <c r="M62" s="104">
        <f t="shared" si="9"/>
        <v>67704</v>
      </c>
      <c r="N62" s="104">
        <f t="shared" si="9"/>
        <v>914976</v>
      </c>
      <c r="O62" s="104">
        <f t="shared" si="9"/>
        <v>351000</v>
      </c>
      <c r="P62" s="104">
        <f t="shared" si="9"/>
        <v>754872</v>
      </c>
      <c r="Q62" s="104">
        <f t="shared" si="9"/>
        <v>831984</v>
      </c>
      <c r="R62" s="104">
        <f t="shared" si="9"/>
        <v>552792</v>
      </c>
      <c r="S62" s="104">
        <f t="shared" si="9"/>
        <v>455136</v>
      </c>
      <c r="T62" s="104">
        <f t="shared" si="9"/>
        <v>96816</v>
      </c>
      <c r="U62" s="104">
        <f t="shared" si="9"/>
        <v>494496</v>
      </c>
      <c r="V62" s="104">
        <f t="shared" si="9"/>
        <v>246888</v>
      </c>
      <c r="W62" s="104">
        <f t="shared" si="9"/>
        <v>351456</v>
      </c>
      <c r="X62" s="104">
        <f t="shared" si="9"/>
        <v>265512</v>
      </c>
      <c r="Y62" s="104">
        <f t="shared" si="9"/>
        <v>223704</v>
      </c>
      <c r="Z62" s="104">
        <f t="shared" si="9"/>
        <v>250800</v>
      </c>
      <c r="AA62" s="104">
        <f t="shared" si="9"/>
        <v>524640</v>
      </c>
      <c r="AB62" s="104">
        <f t="shared" si="9"/>
        <v>497040</v>
      </c>
      <c r="AC62" s="104">
        <f t="shared" si="9"/>
        <v>458568</v>
      </c>
      <c r="AD62" s="104">
        <f t="shared" si="9"/>
        <v>0</v>
      </c>
      <c r="AE62" s="104">
        <f t="shared" si="9"/>
        <v>0</v>
      </c>
      <c r="AF62" s="104">
        <f t="shared" si="9"/>
        <v>0</v>
      </c>
      <c r="AG62" s="104">
        <f t="shared" si="9"/>
        <v>0</v>
      </c>
      <c r="AH62" s="104">
        <f t="shared" si="9"/>
        <v>0</v>
      </c>
      <c r="AI62" s="104">
        <f t="shared" si="9"/>
        <v>0</v>
      </c>
      <c r="AJ62" s="104">
        <f t="shared" si="9"/>
        <v>0</v>
      </c>
      <c r="AK62" s="104">
        <f t="shared" si="8"/>
        <v>0</v>
      </c>
      <c r="AL62" s="104">
        <f t="shared" si="8"/>
        <v>0</v>
      </c>
      <c r="AM62" s="104">
        <f t="shared" si="8"/>
        <v>0</v>
      </c>
      <c r="AN62" s="104">
        <f t="shared" si="8"/>
        <v>0</v>
      </c>
      <c r="AO62" s="104">
        <f t="shared" si="8"/>
        <v>0</v>
      </c>
      <c r="AP62" s="104">
        <f t="shared" si="8"/>
        <v>0</v>
      </c>
      <c r="AQ62" s="104">
        <f t="shared" si="8"/>
        <v>0</v>
      </c>
      <c r="AR62" s="104">
        <f t="shared" si="8"/>
        <v>0</v>
      </c>
    </row>
    <row r="63" spans="1:44">
      <c r="B63" s="96" t="s">
        <v>51</v>
      </c>
      <c r="C63" s="111">
        <v>15</v>
      </c>
      <c r="D63" s="97">
        <f t="shared" si="9"/>
        <v>0</v>
      </c>
      <c r="E63" s="104">
        <f t="shared" si="9"/>
        <v>0</v>
      </c>
      <c r="F63" s="104">
        <f t="shared" si="9"/>
        <v>0</v>
      </c>
      <c r="G63" s="104">
        <f t="shared" si="9"/>
        <v>0</v>
      </c>
      <c r="H63" s="104">
        <f t="shared" si="9"/>
        <v>0</v>
      </c>
      <c r="I63" s="104">
        <f t="shared" si="9"/>
        <v>0</v>
      </c>
      <c r="J63" s="104">
        <f t="shared" si="9"/>
        <v>0</v>
      </c>
      <c r="K63" s="104">
        <f t="shared" si="9"/>
        <v>0</v>
      </c>
      <c r="L63" s="104">
        <f t="shared" si="9"/>
        <v>0</v>
      </c>
      <c r="M63" s="104">
        <f t="shared" si="9"/>
        <v>0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  <c r="AG63" s="104">
        <f t="shared" si="9"/>
        <v>0</v>
      </c>
      <c r="AH63" s="104">
        <f t="shared" si="9"/>
        <v>0</v>
      </c>
      <c r="AI63" s="104">
        <f t="shared" si="9"/>
        <v>0</v>
      </c>
      <c r="AJ63" s="104">
        <f t="shared" si="9"/>
        <v>0</v>
      </c>
      <c r="AK63" s="104">
        <f t="shared" si="8"/>
        <v>0</v>
      </c>
      <c r="AL63" s="104">
        <f t="shared" si="8"/>
        <v>0</v>
      </c>
      <c r="AM63" s="104">
        <f t="shared" si="8"/>
        <v>0</v>
      </c>
      <c r="AN63" s="104">
        <f t="shared" si="8"/>
        <v>0</v>
      </c>
      <c r="AO63" s="104">
        <f t="shared" si="8"/>
        <v>0</v>
      </c>
      <c r="AP63" s="104">
        <f t="shared" si="8"/>
        <v>0</v>
      </c>
      <c r="AQ63" s="104">
        <f t="shared" si="8"/>
        <v>0</v>
      </c>
      <c r="AR63" s="104">
        <f t="shared" si="8"/>
        <v>0</v>
      </c>
    </row>
    <row r="64" spans="1:44">
      <c r="B64" s="96" t="s">
        <v>52</v>
      </c>
      <c r="C64" s="111">
        <v>13</v>
      </c>
      <c r="D64" s="97">
        <f t="shared" si="9"/>
        <v>369265</v>
      </c>
      <c r="E64" s="104">
        <f t="shared" si="9"/>
        <v>0</v>
      </c>
      <c r="F64" s="104">
        <f t="shared" si="9"/>
        <v>0</v>
      </c>
      <c r="G64" s="104">
        <f t="shared" si="9"/>
        <v>84721</v>
      </c>
      <c r="H64" s="104">
        <f t="shared" si="9"/>
        <v>15210</v>
      </c>
      <c r="I64" s="104">
        <f t="shared" si="9"/>
        <v>69732</v>
      </c>
      <c r="J64" s="104">
        <f t="shared" si="9"/>
        <v>5616</v>
      </c>
      <c r="K64" s="104">
        <f t="shared" si="9"/>
        <v>3276</v>
      </c>
      <c r="L64" s="104">
        <f t="shared" si="9"/>
        <v>4680</v>
      </c>
      <c r="M64" s="104">
        <f t="shared" si="9"/>
        <v>1638</v>
      </c>
      <c r="N64" s="104">
        <f t="shared" si="9"/>
        <v>10998</v>
      </c>
      <c r="O64" s="104">
        <f t="shared" si="9"/>
        <v>8190</v>
      </c>
      <c r="P64" s="104">
        <f t="shared" si="9"/>
        <v>15912</v>
      </c>
      <c r="Q64" s="104">
        <f t="shared" si="9"/>
        <v>21294</v>
      </c>
      <c r="R64" s="104">
        <f t="shared" si="9"/>
        <v>16146</v>
      </c>
      <c r="S64" s="104">
        <f t="shared" si="9"/>
        <v>14742</v>
      </c>
      <c r="T64" s="104">
        <f t="shared" si="9"/>
        <v>6084</v>
      </c>
      <c r="U64" s="104">
        <f t="shared" si="9"/>
        <v>18720</v>
      </c>
      <c r="V64" s="104">
        <f t="shared" si="9"/>
        <v>7254</v>
      </c>
      <c r="W64" s="104">
        <f t="shared" si="9"/>
        <v>12636</v>
      </c>
      <c r="X64" s="104">
        <f t="shared" si="9"/>
        <v>4680</v>
      </c>
      <c r="Y64" s="104">
        <f t="shared" si="9"/>
        <v>0</v>
      </c>
      <c r="Z64" s="104">
        <f t="shared" si="9"/>
        <v>16380</v>
      </c>
      <c r="AA64" s="104">
        <f t="shared" si="9"/>
        <v>3744</v>
      </c>
      <c r="AB64" s="104">
        <f t="shared" si="9"/>
        <v>14508</v>
      </c>
      <c r="AC64" s="104">
        <f t="shared" si="9"/>
        <v>13104</v>
      </c>
      <c r="AD64" s="104">
        <f t="shared" si="9"/>
        <v>0</v>
      </c>
      <c r="AE64" s="104">
        <f t="shared" si="9"/>
        <v>0</v>
      </c>
      <c r="AF64" s="104">
        <f t="shared" si="9"/>
        <v>0</v>
      </c>
      <c r="AG64" s="104">
        <f t="shared" si="9"/>
        <v>0</v>
      </c>
      <c r="AH64" s="104">
        <f t="shared" si="9"/>
        <v>0</v>
      </c>
      <c r="AI64" s="104">
        <f t="shared" si="9"/>
        <v>0</v>
      </c>
      <c r="AJ64" s="104">
        <f t="shared" si="9"/>
        <v>0</v>
      </c>
      <c r="AK64" s="104">
        <f t="shared" si="8"/>
        <v>0</v>
      </c>
      <c r="AL64" s="104">
        <f t="shared" si="8"/>
        <v>0</v>
      </c>
      <c r="AM64" s="104">
        <f t="shared" si="8"/>
        <v>0</v>
      </c>
      <c r="AN64" s="104">
        <f t="shared" si="8"/>
        <v>0</v>
      </c>
      <c r="AO64" s="104">
        <f t="shared" si="8"/>
        <v>0</v>
      </c>
      <c r="AP64" s="104">
        <f t="shared" si="8"/>
        <v>0</v>
      </c>
      <c r="AQ64" s="104">
        <f t="shared" si="8"/>
        <v>0</v>
      </c>
      <c r="AR64" s="104">
        <f t="shared" si="8"/>
        <v>0</v>
      </c>
    </row>
    <row r="65" spans="2:44">
      <c r="B65" s="96" t="s">
        <v>53</v>
      </c>
      <c r="C65" s="111">
        <v>25</v>
      </c>
      <c r="D65" s="97">
        <f t="shared" si="9"/>
        <v>0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0</v>
      </c>
      <c r="N65" s="104">
        <f t="shared" si="9"/>
        <v>0</v>
      </c>
      <c r="O65" s="104">
        <f t="shared" si="9"/>
        <v>0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8"/>
        <v>0</v>
      </c>
      <c r="AL65" s="104">
        <f t="shared" si="8"/>
        <v>0</v>
      </c>
      <c r="AM65" s="104">
        <f t="shared" si="8"/>
        <v>0</v>
      </c>
      <c r="AN65" s="104">
        <f t="shared" si="8"/>
        <v>0</v>
      </c>
      <c r="AO65" s="104">
        <f t="shared" si="8"/>
        <v>0</v>
      </c>
      <c r="AP65" s="104">
        <f t="shared" si="8"/>
        <v>0</v>
      </c>
      <c r="AQ65" s="104">
        <f t="shared" si="8"/>
        <v>0</v>
      </c>
      <c r="AR65" s="104">
        <f t="shared" si="8"/>
        <v>0</v>
      </c>
    </row>
    <row r="66" spans="2:44">
      <c r="B66" s="96" t="s">
        <v>54</v>
      </c>
      <c r="C66" s="111">
        <v>10</v>
      </c>
      <c r="D66" s="97">
        <f t="shared" si="9"/>
        <v>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0</v>
      </c>
      <c r="AF66" s="104">
        <f t="shared" si="9"/>
        <v>0</v>
      </c>
      <c r="AG66" s="104">
        <f t="shared" si="9"/>
        <v>0</v>
      </c>
      <c r="AH66" s="104">
        <f t="shared" si="9"/>
        <v>0</v>
      </c>
      <c r="AI66" s="104">
        <f t="shared" si="9"/>
        <v>0</v>
      </c>
      <c r="AJ66" s="104">
        <f t="shared" si="9"/>
        <v>0</v>
      </c>
      <c r="AK66" s="104">
        <f t="shared" si="8"/>
        <v>0</v>
      </c>
      <c r="AL66" s="104">
        <f t="shared" si="8"/>
        <v>0</v>
      </c>
      <c r="AM66" s="104">
        <f t="shared" si="8"/>
        <v>0</v>
      </c>
      <c r="AN66" s="104">
        <f t="shared" si="8"/>
        <v>0</v>
      </c>
      <c r="AO66" s="104">
        <f t="shared" si="8"/>
        <v>0</v>
      </c>
      <c r="AP66" s="104">
        <f t="shared" si="8"/>
        <v>0</v>
      </c>
      <c r="AQ66" s="104">
        <f t="shared" si="8"/>
        <v>0</v>
      </c>
      <c r="AR66" s="104">
        <f t="shared" si="8"/>
        <v>0</v>
      </c>
    </row>
    <row r="67" spans="2:44">
      <c r="B67" s="96" t="s">
        <v>55</v>
      </c>
      <c r="C67" s="111">
        <v>65</v>
      </c>
      <c r="D67" s="97">
        <f t="shared" si="9"/>
        <v>27170</v>
      </c>
      <c r="E67" s="104">
        <f t="shared" si="9"/>
        <v>0</v>
      </c>
      <c r="F67" s="104">
        <f t="shared" si="9"/>
        <v>0</v>
      </c>
      <c r="G67" s="104">
        <f t="shared" si="9"/>
        <v>21710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0</v>
      </c>
      <c r="Q67" s="104">
        <f t="shared" si="9"/>
        <v>0</v>
      </c>
      <c r="R67" s="104">
        <f t="shared" si="9"/>
        <v>0</v>
      </c>
      <c r="S67" s="104">
        <f t="shared" si="9"/>
        <v>0</v>
      </c>
      <c r="T67" s="104">
        <f t="shared" si="9"/>
        <v>2730</v>
      </c>
      <c r="U67" s="104">
        <f t="shared" si="9"/>
        <v>2730</v>
      </c>
      <c r="V67" s="104">
        <f t="shared" si="9"/>
        <v>0</v>
      </c>
      <c r="W67" s="104">
        <f t="shared" si="9"/>
        <v>0</v>
      </c>
      <c r="X67" s="104">
        <f t="shared" si="9"/>
        <v>0</v>
      </c>
      <c r="Y67" s="104">
        <f t="shared" si="9"/>
        <v>0</v>
      </c>
      <c r="Z67" s="104">
        <f t="shared" si="9"/>
        <v>0</v>
      </c>
      <c r="AA67" s="104">
        <f t="shared" si="9"/>
        <v>0</v>
      </c>
      <c r="AB67" s="104">
        <f t="shared" si="9"/>
        <v>0</v>
      </c>
      <c r="AC67" s="104">
        <f t="shared" si="9"/>
        <v>0</v>
      </c>
      <c r="AD67" s="104">
        <f t="shared" si="9"/>
        <v>0</v>
      </c>
      <c r="AE67" s="104">
        <f t="shared" si="9"/>
        <v>0</v>
      </c>
      <c r="AF67" s="104">
        <f t="shared" si="9"/>
        <v>0</v>
      </c>
      <c r="AG67" s="104">
        <f t="shared" si="9"/>
        <v>0</v>
      </c>
      <c r="AH67" s="104">
        <f t="shared" si="9"/>
        <v>0</v>
      </c>
      <c r="AI67" s="104">
        <f t="shared" si="9"/>
        <v>0</v>
      </c>
      <c r="AJ67" s="104">
        <f t="shared" si="9"/>
        <v>0</v>
      </c>
      <c r="AK67" s="104">
        <f t="shared" si="8"/>
        <v>0</v>
      </c>
      <c r="AL67" s="104">
        <f t="shared" si="8"/>
        <v>0</v>
      </c>
      <c r="AM67" s="104">
        <f t="shared" si="8"/>
        <v>0</v>
      </c>
      <c r="AN67" s="104">
        <f t="shared" si="8"/>
        <v>0</v>
      </c>
      <c r="AO67" s="104">
        <f t="shared" si="8"/>
        <v>0</v>
      </c>
      <c r="AP67" s="104">
        <f t="shared" si="8"/>
        <v>0</v>
      </c>
      <c r="AQ67" s="104">
        <f t="shared" si="8"/>
        <v>0</v>
      </c>
      <c r="AR67" s="104">
        <f t="shared" si="8"/>
        <v>0</v>
      </c>
    </row>
    <row r="68" spans="2:44">
      <c r="B68" s="96" t="s">
        <v>56</v>
      </c>
      <c r="C68" s="111">
        <v>40</v>
      </c>
      <c r="D68" s="97">
        <f t="shared" si="9"/>
        <v>800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800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0</v>
      </c>
      <c r="AB68" s="104">
        <f t="shared" ref="AB68:AJ68" si="10">AB35*$C68</f>
        <v>0</v>
      </c>
      <c r="AC68" s="104">
        <f t="shared" si="10"/>
        <v>0</v>
      </c>
      <c r="AD68" s="104">
        <f t="shared" si="10"/>
        <v>0</v>
      </c>
      <c r="AE68" s="104">
        <f t="shared" si="10"/>
        <v>0</v>
      </c>
      <c r="AF68" s="104">
        <f t="shared" si="10"/>
        <v>0</v>
      </c>
      <c r="AG68" s="104">
        <f t="shared" si="10"/>
        <v>0</v>
      </c>
      <c r="AH68" s="104">
        <f t="shared" si="10"/>
        <v>0</v>
      </c>
      <c r="AI68" s="104">
        <f t="shared" si="10"/>
        <v>0</v>
      </c>
      <c r="AJ68" s="104">
        <f t="shared" si="10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  <c r="AN68" s="104">
        <f t="shared" si="8"/>
        <v>0</v>
      </c>
      <c r="AO68" s="104">
        <f t="shared" si="8"/>
        <v>0</v>
      </c>
      <c r="AP68" s="104">
        <f t="shared" si="8"/>
        <v>0</v>
      </c>
      <c r="AQ68" s="104">
        <f t="shared" si="8"/>
        <v>0</v>
      </c>
      <c r="AR68" s="104">
        <f t="shared" si="8"/>
        <v>0</v>
      </c>
    </row>
    <row r="69" spans="2:44">
      <c r="B69" s="96" t="s">
        <v>57</v>
      </c>
      <c r="C69" s="111">
        <v>26</v>
      </c>
      <c r="D69" s="97">
        <f t="shared" ref="D69:AJ71" si="11">D36*$C69</f>
        <v>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0</v>
      </c>
      <c r="P69" s="104">
        <f t="shared" si="11"/>
        <v>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0</v>
      </c>
      <c r="W69" s="104">
        <f t="shared" si="11"/>
        <v>0</v>
      </c>
      <c r="X69" s="104">
        <f t="shared" si="11"/>
        <v>0</v>
      </c>
      <c r="Y69" s="104">
        <f t="shared" si="11"/>
        <v>0</v>
      </c>
      <c r="Z69" s="104">
        <f t="shared" si="11"/>
        <v>0</v>
      </c>
      <c r="AA69" s="104">
        <f t="shared" si="11"/>
        <v>0</v>
      </c>
      <c r="AB69" s="104">
        <f t="shared" si="11"/>
        <v>0</v>
      </c>
      <c r="AC69" s="104">
        <f t="shared" si="11"/>
        <v>0</v>
      </c>
      <c r="AD69" s="104">
        <f t="shared" si="11"/>
        <v>0</v>
      </c>
      <c r="AE69" s="104">
        <f t="shared" si="11"/>
        <v>0</v>
      </c>
      <c r="AF69" s="104">
        <f t="shared" si="11"/>
        <v>0</v>
      </c>
      <c r="AG69" s="104">
        <f t="shared" si="11"/>
        <v>0</v>
      </c>
      <c r="AH69" s="104">
        <f t="shared" si="11"/>
        <v>0</v>
      </c>
      <c r="AI69" s="104">
        <f t="shared" si="11"/>
        <v>0</v>
      </c>
      <c r="AJ69" s="104">
        <f t="shared" si="11"/>
        <v>0</v>
      </c>
      <c r="AK69" s="104">
        <f t="shared" si="8"/>
        <v>0</v>
      </c>
      <c r="AL69" s="104">
        <f t="shared" si="8"/>
        <v>0</v>
      </c>
      <c r="AM69" s="104">
        <f t="shared" si="8"/>
        <v>0</v>
      </c>
      <c r="AN69" s="104">
        <f t="shared" si="8"/>
        <v>0</v>
      </c>
      <c r="AO69" s="104">
        <f t="shared" si="8"/>
        <v>0</v>
      </c>
      <c r="AP69" s="104">
        <f t="shared" si="8"/>
        <v>0</v>
      </c>
      <c r="AQ69" s="104">
        <f t="shared" si="8"/>
        <v>0</v>
      </c>
      <c r="AR69" s="104">
        <f t="shared" si="8"/>
        <v>0</v>
      </c>
    </row>
    <row r="70" spans="2:44">
      <c r="B70" s="96" t="s">
        <v>58</v>
      </c>
      <c r="C70" s="111">
        <v>48</v>
      </c>
      <c r="D70" s="97">
        <f t="shared" si="11"/>
        <v>0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0</v>
      </c>
      <c r="Y70" s="104">
        <f t="shared" si="11"/>
        <v>0</v>
      </c>
      <c r="Z70" s="104">
        <f t="shared" si="11"/>
        <v>0</v>
      </c>
      <c r="AA70" s="104">
        <f t="shared" si="11"/>
        <v>0</v>
      </c>
      <c r="AB70" s="104">
        <f t="shared" si="11"/>
        <v>0</v>
      </c>
      <c r="AC70" s="104">
        <f t="shared" si="11"/>
        <v>0</v>
      </c>
      <c r="AD70" s="104">
        <f t="shared" si="11"/>
        <v>0</v>
      </c>
      <c r="AE70" s="104">
        <f t="shared" si="11"/>
        <v>0</v>
      </c>
      <c r="AF70" s="104">
        <f t="shared" si="11"/>
        <v>0</v>
      </c>
      <c r="AG70" s="104">
        <f t="shared" si="11"/>
        <v>0</v>
      </c>
      <c r="AH70" s="104">
        <f t="shared" si="11"/>
        <v>0</v>
      </c>
      <c r="AI70" s="104">
        <f t="shared" si="11"/>
        <v>0</v>
      </c>
      <c r="AJ70" s="104">
        <f t="shared" si="11"/>
        <v>0</v>
      </c>
      <c r="AK70" s="104">
        <f t="shared" si="8"/>
        <v>0</v>
      </c>
      <c r="AL70" s="104">
        <f t="shared" si="8"/>
        <v>0</v>
      </c>
      <c r="AM70" s="104">
        <f t="shared" si="8"/>
        <v>0</v>
      </c>
      <c r="AN70" s="104">
        <f t="shared" si="8"/>
        <v>0</v>
      </c>
      <c r="AO70" s="104">
        <f t="shared" si="8"/>
        <v>0</v>
      </c>
      <c r="AP70" s="104">
        <f t="shared" si="8"/>
        <v>0</v>
      </c>
      <c r="AQ70" s="104">
        <f t="shared" si="8"/>
        <v>0</v>
      </c>
      <c r="AR70" s="104">
        <f t="shared" si="8"/>
        <v>0</v>
      </c>
    </row>
    <row r="71" spans="2:44">
      <c r="B71" s="96" t="s">
        <v>59</v>
      </c>
      <c r="C71" s="112">
        <v>10</v>
      </c>
      <c r="D71" s="97">
        <f t="shared" si="11"/>
        <v>56530</v>
      </c>
      <c r="E71" s="104">
        <f t="shared" si="11"/>
        <v>0</v>
      </c>
      <c r="F71" s="104">
        <f t="shared" si="11"/>
        <v>0</v>
      </c>
      <c r="G71" s="104">
        <f t="shared" si="11"/>
        <v>180</v>
      </c>
      <c r="H71" s="104">
        <f t="shared" si="11"/>
        <v>490</v>
      </c>
      <c r="I71" s="104">
        <f t="shared" si="11"/>
        <v>7140</v>
      </c>
      <c r="J71" s="104">
        <f t="shared" si="11"/>
        <v>2640</v>
      </c>
      <c r="K71" s="104">
        <f t="shared" si="11"/>
        <v>6730</v>
      </c>
      <c r="L71" s="104">
        <f t="shared" si="11"/>
        <v>1480</v>
      </c>
      <c r="M71" s="104">
        <f t="shared" si="11"/>
        <v>2440</v>
      </c>
      <c r="N71" s="104">
        <f t="shared" si="11"/>
        <v>1120</v>
      </c>
      <c r="O71" s="104">
        <f t="shared" si="11"/>
        <v>1550</v>
      </c>
      <c r="P71" s="104">
        <f t="shared" si="11"/>
        <v>3520</v>
      </c>
      <c r="Q71" s="104">
        <f t="shared" si="11"/>
        <v>1440</v>
      </c>
      <c r="R71" s="104">
        <f t="shared" si="11"/>
        <v>2320</v>
      </c>
      <c r="S71" s="104">
        <f t="shared" si="11"/>
        <v>2000</v>
      </c>
      <c r="T71" s="104">
        <f t="shared" si="11"/>
        <v>980</v>
      </c>
      <c r="U71" s="104">
        <f t="shared" si="11"/>
        <v>3800</v>
      </c>
      <c r="V71" s="104">
        <f t="shared" si="11"/>
        <v>320</v>
      </c>
      <c r="W71" s="104">
        <f t="shared" si="11"/>
        <v>4590</v>
      </c>
      <c r="X71" s="104">
        <f t="shared" si="11"/>
        <v>4820</v>
      </c>
      <c r="Y71" s="104">
        <f t="shared" si="11"/>
        <v>2450</v>
      </c>
      <c r="Z71" s="104">
        <f t="shared" si="11"/>
        <v>2730</v>
      </c>
      <c r="AA71" s="104">
        <f t="shared" si="11"/>
        <v>1340</v>
      </c>
      <c r="AB71" s="104">
        <f t="shared" si="11"/>
        <v>970</v>
      </c>
      <c r="AC71" s="104">
        <f t="shared" si="11"/>
        <v>1480</v>
      </c>
      <c r="AD71" s="104">
        <f t="shared" si="11"/>
        <v>0</v>
      </c>
      <c r="AE71" s="104">
        <f t="shared" si="11"/>
        <v>0</v>
      </c>
      <c r="AF71" s="104">
        <f t="shared" si="11"/>
        <v>0</v>
      </c>
      <c r="AG71" s="104">
        <f t="shared" si="11"/>
        <v>0</v>
      </c>
      <c r="AH71" s="104">
        <f t="shared" si="11"/>
        <v>0</v>
      </c>
      <c r="AI71" s="104">
        <f t="shared" si="11"/>
        <v>0</v>
      </c>
      <c r="AJ71" s="104">
        <f t="shared" si="11"/>
        <v>0</v>
      </c>
      <c r="AK71" s="104">
        <f t="shared" si="8"/>
        <v>0</v>
      </c>
      <c r="AL71" s="104">
        <f t="shared" si="8"/>
        <v>0</v>
      </c>
      <c r="AM71" s="104">
        <f t="shared" si="8"/>
        <v>0</v>
      </c>
      <c r="AN71" s="104">
        <f t="shared" si="8"/>
        <v>0</v>
      </c>
      <c r="AO71" s="104">
        <f t="shared" si="8"/>
        <v>0</v>
      </c>
      <c r="AP71" s="104">
        <f t="shared" si="8"/>
        <v>0</v>
      </c>
      <c r="AQ71" s="104">
        <f t="shared" si="8"/>
        <v>0</v>
      </c>
      <c r="AR71" s="104">
        <f t="shared" si="8"/>
        <v>0</v>
      </c>
    </row>
    <row r="72" spans="2:44">
      <c r="B72" s="35" t="s">
        <v>85</v>
      </c>
      <c r="C72" s="113">
        <v>3.5</v>
      </c>
      <c r="D72" s="98">
        <f t="shared" ref="D72:AR72" si="12">D50*C72</f>
        <v>0</v>
      </c>
      <c r="E72" s="107">
        <f>E50*$C$72</f>
        <v>0</v>
      </c>
      <c r="F72" s="107">
        <f t="shared" si="12"/>
        <v>0</v>
      </c>
      <c r="G72" s="107">
        <f t="shared" si="12"/>
        <v>0</v>
      </c>
      <c r="H72" s="107">
        <f t="shared" si="12"/>
        <v>0</v>
      </c>
      <c r="I72" s="107">
        <f t="shared" si="12"/>
        <v>0</v>
      </c>
      <c r="J72" s="107">
        <f t="shared" si="12"/>
        <v>0</v>
      </c>
      <c r="K72" s="107">
        <f t="shared" si="12"/>
        <v>0</v>
      </c>
      <c r="L72" s="107">
        <f t="shared" si="12"/>
        <v>0</v>
      </c>
      <c r="M72" s="107">
        <f t="shared" si="12"/>
        <v>0</v>
      </c>
      <c r="N72" s="107">
        <f t="shared" si="12"/>
        <v>0</v>
      </c>
      <c r="O72" s="107">
        <f t="shared" si="12"/>
        <v>0</v>
      </c>
      <c r="P72" s="107">
        <f t="shared" si="12"/>
        <v>0</v>
      </c>
      <c r="Q72" s="107">
        <f t="shared" si="12"/>
        <v>0</v>
      </c>
      <c r="R72" s="107">
        <f t="shared" si="12"/>
        <v>0</v>
      </c>
      <c r="S72" s="107">
        <f t="shared" si="12"/>
        <v>0</v>
      </c>
      <c r="T72" s="107">
        <f t="shared" si="12"/>
        <v>0</v>
      </c>
      <c r="U72" s="107">
        <f t="shared" si="12"/>
        <v>0</v>
      </c>
      <c r="V72" s="107">
        <f t="shared" si="12"/>
        <v>0</v>
      </c>
      <c r="W72" s="107">
        <f t="shared" si="12"/>
        <v>0</v>
      </c>
      <c r="X72" s="107">
        <f t="shared" si="12"/>
        <v>0</v>
      </c>
      <c r="Y72" s="107">
        <f t="shared" si="12"/>
        <v>0</v>
      </c>
      <c r="Z72" s="107">
        <f t="shared" si="12"/>
        <v>0</v>
      </c>
      <c r="AA72" s="107">
        <f t="shared" si="12"/>
        <v>0</v>
      </c>
      <c r="AB72" s="107">
        <f t="shared" si="12"/>
        <v>0</v>
      </c>
      <c r="AC72" s="107">
        <f t="shared" si="12"/>
        <v>0</v>
      </c>
      <c r="AD72" s="107">
        <f t="shared" si="12"/>
        <v>0</v>
      </c>
      <c r="AE72" s="107">
        <f t="shared" si="12"/>
        <v>0</v>
      </c>
      <c r="AF72" s="107">
        <f t="shared" si="12"/>
        <v>0</v>
      </c>
      <c r="AG72" s="107">
        <f t="shared" si="12"/>
        <v>0</v>
      </c>
      <c r="AH72" s="107">
        <f t="shared" si="12"/>
        <v>0</v>
      </c>
      <c r="AI72" s="107">
        <f t="shared" si="12"/>
        <v>0</v>
      </c>
      <c r="AJ72" s="107">
        <f t="shared" si="12"/>
        <v>0</v>
      </c>
      <c r="AK72" s="107">
        <f t="shared" si="12"/>
        <v>0</v>
      </c>
      <c r="AL72" s="107">
        <f t="shared" si="12"/>
        <v>0</v>
      </c>
      <c r="AM72" s="107">
        <f t="shared" si="12"/>
        <v>0</v>
      </c>
      <c r="AN72" s="107">
        <f t="shared" si="12"/>
        <v>0</v>
      </c>
      <c r="AO72" s="107">
        <f t="shared" si="12"/>
        <v>0</v>
      </c>
      <c r="AP72" s="107">
        <f t="shared" si="12"/>
        <v>0</v>
      </c>
      <c r="AQ72" s="107">
        <f t="shared" si="12"/>
        <v>0</v>
      </c>
      <c r="AR72" s="107">
        <f t="shared" si="12"/>
        <v>0</v>
      </c>
    </row>
    <row r="74" spans="2:44">
      <c r="B74" s="318" t="s">
        <v>86</v>
      </c>
      <c r="C74" s="319"/>
      <c r="D74" s="108">
        <f>AVERAGEIF(E59:N59, "&gt;0")</f>
        <v>609380.125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6" spans="2:44">
      <c r="B76" s="12" t="s">
        <v>87</v>
      </c>
      <c r="C76" s="13">
        <v>0.28999999999999998</v>
      </c>
      <c r="D76" s="14">
        <f>SUM(E76:N76)</f>
        <v>1413761.89</v>
      </c>
      <c r="E76" s="14">
        <f t="shared" ref="E76:AR76" si="13">E59*$C$76</f>
        <v>0</v>
      </c>
      <c r="F76" s="14">
        <f t="shared" si="13"/>
        <v>0</v>
      </c>
      <c r="G76" s="14">
        <f t="shared" si="13"/>
        <v>58928.289999999994</v>
      </c>
      <c r="H76" s="14">
        <f t="shared" si="13"/>
        <v>333814.64999999997</v>
      </c>
      <c r="I76" s="14">
        <f t="shared" si="13"/>
        <v>265582.28999999998</v>
      </c>
      <c r="J76" s="14">
        <f t="shared" si="13"/>
        <v>207057.96999999997</v>
      </c>
      <c r="K76" s="15">
        <f t="shared" si="13"/>
        <v>191589.65999999997</v>
      </c>
      <c r="L76" s="14">
        <f t="shared" si="13"/>
        <v>38646.559999999998</v>
      </c>
      <c r="M76" s="15">
        <f t="shared" si="13"/>
        <v>25066.44</v>
      </c>
      <c r="N76" s="14">
        <f t="shared" si="13"/>
        <v>293076.02999999997</v>
      </c>
      <c r="O76" s="14">
        <f t="shared" si="13"/>
        <v>121788.4</v>
      </c>
      <c r="P76" s="14">
        <f t="shared" si="13"/>
        <v>273497.55</v>
      </c>
      <c r="Q76" s="14">
        <f t="shared" si="13"/>
        <v>304053.69</v>
      </c>
      <c r="R76" s="14">
        <f t="shared" si="13"/>
        <v>237355.71999999997</v>
      </c>
      <c r="S76" s="14">
        <f t="shared" si="13"/>
        <v>171768.15999999997</v>
      </c>
      <c r="T76" s="14">
        <f t="shared" si="13"/>
        <v>40226.769999999997</v>
      </c>
      <c r="U76" s="14">
        <f t="shared" si="13"/>
        <v>180545.3</v>
      </c>
      <c r="V76" s="14">
        <f t="shared" si="13"/>
        <v>98398.159999999989</v>
      </c>
      <c r="W76" s="14">
        <f t="shared" si="13"/>
        <v>136840.56</v>
      </c>
      <c r="X76" s="14">
        <f t="shared" si="13"/>
        <v>124185.82999999999</v>
      </c>
      <c r="Y76" s="14">
        <f t="shared" si="13"/>
        <v>93412.189999999988</v>
      </c>
      <c r="Z76" s="14">
        <f t="shared" si="13"/>
        <v>105993.26</v>
      </c>
      <c r="AA76" s="14">
        <f t="shared" si="13"/>
        <v>241870.15</v>
      </c>
      <c r="AB76" s="14">
        <f t="shared" si="13"/>
        <v>201980.65</v>
      </c>
      <c r="AC76" s="14">
        <f t="shared" si="13"/>
        <v>206580.05</v>
      </c>
      <c r="AD76" s="14">
        <f t="shared" si="13"/>
        <v>0</v>
      </c>
      <c r="AE76" s="14">
        <f t="shared" si="13"/>
        <v>0</v>
      </c>
      <c r="AF76" s="14">
        <f t="shared" si="13"/>
        <v>0</v>
      </c>
      <c r="AG76" s="14">
        <f t="shared" si="13"/>
        <v>0</v>
      </c>
      <c r="AH76" s="14">
        <f t="shared" si="13"/>
        <v>0</v>
      </c>
      <c r="AI76" s="14">
        <f t="shared" si="13"/>
        <v>0</v>
      </c>
      <c r="AJ76" s="14">
        <f t="shared" si="13"/>
        <v>0</v>
      </c>
      <c r="AK76" s="14">
        <f t="shared" si="13"/>
        <v>0</v>
      </c>
      <c r="AL76" s="14">
        <f t="shared" si="13"/>
        <v>0</v>
      </c>
      <c r="AM76" s="14">
        <f t="shared" si="13"/>
        <v>0</v>
      </c>
      <c r="AN76" s="14">
        <f t="shared" si="13"/>
        <v>0</v>
      </c>
      <c r="AO76" s="14">
        <f t="shared" si="13"/>
        <v>0</v>
      </c>
      <c r="AP76" s="14">
        <f t="shared" si="13"/>
        <v>0</v>
      </c>
      <c r="AQ76" s="14">
        <f t="shared" si="13"/>
        <v>0</v>
      </c>
      <c r="AR76" s="14">
        <f t="shared" si="13"/>
        <v>0</v>
      </c>
    </row>
    <row r="77" spans="2:44">
      <c r="B77" s="16" t="s">
        <v>88</v>
      </c>
      <c r="C77" s="17">
        <f>11800000/322</f>
        <v>36645.962732919252</v>
      </c>
      <c r="D77" s="18">
        <f>SUM(E77:N77)</f>
        <v>366459.62732919253</v>
      </c>
      <c r="E77" s="18">
        <f t="shared" ref="E77:AR77" si="14">$C$77</f>
        <v>36645.962732919252</v>
      </c>
      <c r="F77" s="18">
        <f t="shared" si="14"/>
        <v>36645.962732919252</v>
      </c>
      <c r="G77" s="18">
        <f t="shared" si="14"/>
        <v>36645.962732919252</v>
      </c>
      <c r="H77" s="18">
        <f t="shared" si="14"/>
        <v>36645.962732919252</v>
      </c>
      <c r="I77" s="18">
        <f t="shared" si="14"/>
        <v>36645.962732919252</v>
      </c>
      <c r="J77" s="18">
        <f t="shared" si="14"/>
        <v>36645.962732919252</v>
      </c>
      <c r="K77" s="19">
        <f t="shared" si="14"/>
        <v>36645.962732919252</v>
      </c>
      <c r="L77" s="18">
        <f t="shared" si="14"/>
        <v>36645.962732919252</v>
      </c>
      <c r="M77" s="19">
        <f t="shared" si="14"/>
        <v>36645.962732919252</v>
      </c>
      <c r="N77" s="18">
        <f t="shared" si="14"/>
        <v>36645.962732919252</v>
      </c>
      <c r="O77" s="18">
        <f t="shared" si="14"/>
        <v>36645.962732919252</v>
      </c>
      <c r="P77" s="18">
        <f t="shared" si="14"/>
        <v>36645.962732919252</v>
      </c>
      <c r="Q77" s="18">
        <f t="shared" si="14"/>
        <v>36645.962732919252</v>
      </c>
      <c r="R77" s="18">
        <f t="shared" si="14"/>
        <v>36645.962732919252</v>
      </c>
      <c r="S77" s="18">
        <f t="shared" si="14"/>
        <v>36645.962732919252</v>
      </c>
      <c r="T77" s="18">
        <f t="shared" si="14"/>
        <v>36645.962732919252</v>
      </c>
      <c r="U77" s="18">
        <f t="shared" si="14"/>
        <v>36645.962732919252</v>
      </c>
      <c r="V77" s="18">
        <f t="shared" si="14"/>
        <v>36645.962732919252</v>
      </c>
      <c r="W77" s="18">
        <f t="shared" si="14"/>
        <v>36645.962732919252</v>
      </c>
      <c r="X77" s="18">
        <f t="shared" si="14"/>
        <v>36645.962732919252</v>
      </c>
      <c r="Y77" s="18">
        <f t="shared" si="14"/>
        <v>36645.962732919252</v>
      </c>
      <c r="Z77" s="18">
        <f t="shared" si="14"/>
        <v>36645.962732919252</v>
      </c>
      <c r="AA77" s="18">
        <f t="shared" si="14"/>
        <v>36645.962732919252</v>
      </c>
      <c r="AB77" s="18">
        <f t="shared" si="14"/>
        <v>36645.962732919252</v>
      </c>
      <c r="AC77" s="18">
        <f t="shared" si="14"/>
        <v>36645.962732919252</v>
      </c>
      <c r="AD77" s="18">
        <f t="shared" si="14"/>
        <v>36645.962732919252</v>
      </c>
      <c r="AE77" s="18">
        <f t="shared" si="14"/>
        <v>36645.962732919252</v>
      </c>
      <c r="AF77" s="18">
        <f t="shared" si="14"/>
        <v>36645.962732919252</v>
      </c>
      <c r="AG77" s="18">
        <f t="shared" si="14"/>
        <v>36645.962732919252</v>
      </c>
      <c r="AH77" s="18">
        <f t="shared" si="14"/>
        <v>36645.962732919252</v>
      </c>
      <c r="AI77" s="18">
        <f t="shared" si="14"/>
        <v>36645.962732919252</v>
      </c>
      <c r="AJ77" s="18">
        <f t="shared" si="14"/>
        <v>36645.962732919252</v>
      </c>
      <c r="AK77" s="18">
        <f t="shared" si="14"/>
        <v>36645.962732919252</v>
      </c>
      <c r="AL77" s="18">
        <f t="shared" si="14"/>
        <v>36645.962732919252</v>
      </c>
      <c r="AM77" s="18">
        <f t="shared" si="14"/>
        <v>36645.962732919252</v>
      </c>
      <c r="AN77" s="18">
        <f t="shared" si="14"/>
        <v>36645.962732919252</v>
      </c>
      <c r="AO77" s="18">
        <f t="shared" si="14"/>
        <v>36645.962732919252</v>
      </c>
      <c r="AP77" s="18">
        <f t="shared" si="14"/>
        <v>36645.962732919252</v>
      </c>
      <c r="AQ77" s="18">
        <f t="shared" si="14"/>
        <v>36645.962732919252</v>
      </c>
      <c r="AR77" s="18">
        <f t="shared" si="14"/>
        <v>36645.962732919252</v>
      </c>
    </row>
    <row r="78" spans="2:44">
      <c r="B78" s="16" t="s">
        <v>89</v>
      </c>
      <c r="C78" s="17">
        <f>11400000/322</f>
        <v>35403.726708074537</v>
      </c>
      <c r="D78" s="18">
        <f>SUM(E78:N78)</f>
        <v>354037.26708074543</v>
      </c>
      <c r="E78" s="18">
        <f t="shared" ref="E78:AR78" si="15">$C$78</f>
        <v>35403.726708074537</v>
      </c>
      <c r="F78" s="18">
        <f t="shared" si="15"/>
        <v>35403.726708074537</v>
      </c>
      <c r="G78" s="18">
        <f t="shared" si="15"/>
        <v>35403.726708074537</v>
      </c>
      <c r="H78" s="18">
        <f t="shared" si="15"/>
        <v>35403.726708074537</v>
      </c>
      <c r="I78" s="18">
        <f t="shared" si="15"/>
        <v>35403.726708074537</v>
      </c>
      <c r="J78" s="18">
        <f t="shared" si="15"/>
        <v>35403.726708074537</v>
      </c>
      <c r="K78" s="19">
        <f t="shared" si="15"/>
        <v>35403.726708074537</v>
      </c>
      <c r="L78" s="18">
        <f t="shared" si="15"/>
        <v>35403.726708074537</v>
      </c>
      <c r="M78" s="19">
        <f t="shared" si="15"/>
        <v>35403.726708074537</v>
      </c>
      <c r="N78" s="18">
        <f t="shared" si="15"/>
        <v>35403.726708074537</v>
      </c>
      <c r="O78" s="18">
        <f t="shared" si="15"/>
        <v>35403.726708074537</v>
      </c>
      <c r="P78" s="18">
        <f t="shared" si="15"/>
        <v>35403.726708074537</v>
      </c>
      <c r="Q78" s="18">
        <f t="shared" si="15"/>
        <v>35403.726708074537</v>
      </c>
      <c r="R78" s="18">
        <f t="shared" si="15"/>
        <v>35403.726708074537</v>
      </c>
      <c r="S78" s="18">
        <f t="shared" si="15"/>
        <v>35403.726708074537</v>
      </c>
      <c r="T78" s="18">
        <f t="shared" si="15"/>
        <v>35403.726708074537</v>
      </c>
      <c r="U78" s="18">
        <f t="shared" si="15"/>
        <v>35403.726708074537</v>
      </c>
      <c r="V78" s="18">
        <f t="shared" si="15"/>
        <v>35403.726708074537</v>
      </c>
      <c r="W78" s="18">
        <f t="shared" si="15"/>
        <v>35403.726708074537</v>
      </c>
      <c r="X78" s="18">
        <f t="shared" si="15"/>
        <v>35403.726708074537</v>
      </c>
      <c r="Y78" s="18">
        <f t="shared" si="15"/>
        <v>35403.726708074537</v>
      </c>
      <c r="Z78" s="18">
        <f t="shared" si="15"/>
        <v>35403.726708074537</v>
      </c>
      <c r="AA78" s="18">
        <f t="shared" si="15"/>
        <v>35403.726708074537</v>
      </c>
      <c r="AB78" s="18">
        <f t="shared" si="15"/>
        <v>35403.726708074537</v>
      </c>
      <c r="AC78" s="18">
        <f t="shared" si="15"/>
        <v>35403.726708074537</v>
      </c>
      <c r="AD78" s="18">
        <f t="shared" si="15"/>
        <v>35403.726708074537</v>
      </c>
      <c r="AE78" s="18">
        <f t="shared" si="15"/>
        <v>35403.726708074537</v>
      </c>
      <c r="AF78" s="18">
        <f t="shared" si="15"/>
        <v>35403.726708074537</v>
      </c>
      <c r="AG78" s="18">
        <f t="shared" si="15"/>
        <v>35403.726708074537</v>
      </c>
      <c r="AH78" s="18">
        <f t="shared" si="15"/>
        <v>35403.726708074537</v>
      </c>
      <c r="AI78" s="18">
        <f t="shared" si="15"/>
        <v>35403.726708074537</v>
      </c>
      <c r="AJ78" s="18">
        <f t="shared" si="15"/>
        <v>35403.726708074537</v>
      </c>
      <c r="AK78" s="18">
        <f t="shared" si="15"/>
        <v>35403.726708074537</v>
      </c>
      <c r="AL78" s="18">
        <f t="shared" si="15"/>
        <v>35403.726708074537</v>
      </c>
      <c r="AM78" s="18">
        <f t="shared" si="15"/>
        <v>35403.726708074537</v>
      </c>
      <c r="AN78" s="18">
        <f t="shared" si="15"/>
        <v>35403.726708074537</v>
      </c>
      <c r="AO78" s="18">
        <f t="shared" si="15"/>
        <v>35403.726708074537</v>
      </c>
      <c r="AP78" s="18">
        <f t="shared" si="15"/>
        <v>35403.726708074537</v>
      </c>
      <c r="AQ78" s="18">
        <f t="shared" si="15"/>
        <v>35403.726708074537</v>
      </c>
      <c r="AR78" s="18">
        <f t="shared" si="15"/>
        <v>35403.726708074537</v>
      </c>
    </row>
    <row r="79" spans="2:44">
      <c r="B79" s="20" t="s">
        <v>90</v>
      </c>
      <c r="C79" s="21">
        <v>9.67</v>
      </c>
      <c r="D79" s="23">
        <f>SUM(E79:N79)</f>
        <v>1218420</v>
      </c>
      <c r="E79" s="23">
        <f t="shared" ref="E79:AR79" si="16">$C$79*E41</f>
        <v>38680</v>
      </c>
      <c r="F79" s="23">
        <f t="shared" si="16"/>
        <v>135380</v>
      </c>
      <c r="G79" s="23">
        <f t="shared" si="16"/>
        <v>145050</v>
      </c>
      <c r="H79" s="23">
        <f t="shared" si="16"/>
        <v>116040</v>
      </c>
      <c r="I79" s="23">
        <f t="shared" si="16"/>
        <v>145050</v>
      </c>
      <c r="J79" s="23">
        <f t="shared" si="16"/>
        <v>145050</v>
      </c>
      <c r="K79" s="22">
        <f t="shared" si="16"/>
        <v>145050</v>
      </c>
      <c r="L79" s="23">
        <f t="shared" si="16"/>
        <v>96700</v>
      </c>
      <c r="M79" s="22">
        <f t="shared" si="16"/>
        <v>106370</v>
      </c>
      <c r="N79" s="23">
        <f t="shared" si="16"/>
        <v>145050</v>
      </c>
      <c r="O79" s="23">
        <f t="shared" si="16"/>
        <v>145050</v>
      </c>
      <c r="P79" s="23">
        <f t="shared" si="16"/>
        <v>145050</v>
      </c>
      <c r="Q79" s="23">
        <f t="shared" si="16"/>
        <v>154720</v>
      </c>
      <c r="R79" s="23">
        <f t="shared" si="16"/>
        <v>145050</v>
      </c>
      <c r="S79" s="23">
        <f t="shared" si="16"/>
        <v>154720</v>
      </c>
      <c r="T79" s="23">
        <f t="shared" si="16"/>
        <v>116040</v>
      </c>
      <c r="U79" s="23">
        <f t="shared" si="16"/>
        <v>135380</v>
      </c>
      <c r="V79" s="23">
        <f t="shared" si="16"/>
        <v>154720</v>
      </c>
      <c r="W79" s="23">
        <f t="shared" si="16"/>
        <v>135380</v>
      </c>
      <c r="X79" s="23">
        <f t="shared" si="16"/>
        <v>145050</v>
      </c>
      <c r="Y79" s="23">
        <f t="shared" si="16"/>
        <v>154720</v>
      </c>
      <c r="Z79" s="23">
        <f t="shared" si="16"/>
        <v>135380</v>
      </c>
      <c r="AA79" s="23">
        <f t="shared" si="16"/>
        <v>145050</v>
      </c>
      <c r="AB79" s="23">
        <f t="shared" si="16"/>
        <v>135380</v>
      </c>
      <c r="AC79" s="23">
        <f t="shared" si="16"/>
        <v>145050</v>
      </c>
      <c r="AD79" s="23">
        <f t="shared" si="16"/>
        <v>145050</v>
      </c>
      <c r="AE79" s="23">
        <f t="shared" si="16"/>
        <v>135380</v>
      </c>
      <c r="AF79" s="23">
        <f t="shared" si="16"/>
        <v>87030</v>
      </c>
      <c r="AG79" s="23">
        <f t="shared" si="16"/>
        <v>48350</v>
      </c>
      <c r="AH79" s="23">
        <f t="shared" si="16"/>
        <v>38680</v>
      </c>
      <c r="AI79" s="23">
        <f t="shared" si="16"/>
        <v>0</v>
      </c>
      <c r="AJ79" s="23">
        <f t="shared" si="16"/>
        <v>0</v>
      </c>
      <c r="AK79" s="23">
        <f t="shared" si="16"/>
        <v>0</v>
      </c>
      <c r="AL79" s="23">
        <f t="shared" si="16"/>
        <v>0</v>
      </c>
      <c r="AM79" s="23">
        <f t="shared" si="16"/>
        <v>0</v>
      </c>
      <c r="AN79" s="23">
        <f t="shared" si="16"/>
        <v>0</v>
      </c>
      <c r="AO79" s="23">
        <f t="shared" si="16"/>
        <v>0</v>
      </c>
      <c r="AP79" s="23">
        <f t="shared" si="16"/>
        <v>0</v>
      </c>
      <c r="AQ79" s="23">
        <f t="shared" si="16"/>
        <v>0</v>
      </c>
      <c r="AR79" s="23">
        <f t="shared" si="16"/>
        <v>0</v>
      </c>
    </row>
    <row r="80" spans="2:44">
      <c r="B80" s="24" t="s">
        <v>91</v>
      </c>
      <c r="C80" s="25">
        <f>SUM(E80:N80)</f>
        <v>1522362.2155900621</v>
      </c>
      <c r="D80" s="174">
        <f>D59-D76-D77-D78-D79</f>
        <v>10275798.215590062</v>
      </c>
      <c r="E80" s="26">
        <f t="shared" ref="E80:AR80" si="17">E59-E76-E77-E78-E79</f>
        <v>-110729.6894409938</v>
      </c>
      <c r="F80" s="26">
        <f t="shared" si="17"/>
        <v>-207429.6894409938</v>
      </c>
      <c r="G80" s="26">
        <f t="shared" si="17"/>
        <v>-72826.979440993775</v>
      </c>
      <c r="H80" s="26">
        <f t="shared" si="17"/>
        <v>629180.66055900627</v>
      </c>
      <c r="I80" s="26">
        <f t="shared" si="17"/>
        <v>433119.02055900614</v>
      </c>
      <c r="J80" s="26">
        <f t="shared" si="17"/>
        <v>289835.3405590062</v>
      </c>
      <c r="K80" s="27">
        <f t="shared" si="17"/>
        <v>251964.65055900626</v>
      </c>
      <c r="L80" s="26">
        <f t="shared" si="17"/>
        <v>-74132.249440993794</v>
      </c>
      <c r="M80" s="27">
        <f t="shared" si="17"/>
        <v>-117050.1294409938</v>
      </c>
      <c r="N80" s="26">
        <f t="shared" si="17"/>
        <v>500431.28055900615</v>
      </c>
      <c r="O80" s="26">
        <f t="shared" si="17"/>
        <v>81071.910559006181</v>
      </c>
      <c r="P80" s="26">
        <f t="shared" si="17"/>
        <v>452497.76055900613</v>
      </c>
      <c r="Q80" s="26">
        <f t="shared" si="17"/>
        <v>517637.62055900623</v>
      </c>
      <c r="R80" s="26">
        <f t="shared" si="17"/>
        <v>364012.5905590062</v>
      </c>
      <c r="S80" s="26">
        <f t="shared" si="17"/>
        <v>193766.15055900626</v>
      </c>
      <c r="T80" s="26">
        <f t="shared" si="17"/>
        <v>-89603.459440993785</v>
      </c>
      <c r="U80" s="26">
        <f t="shared" si="17"/>
        <v>234595.01055900624</v>
      </c>
      <c r="V80" s="26">
        <f t="shared" si="17"/>
        <v>14136.15055900623</v>
      </c>
      <c r="W80" s="26">
        <f t="shared" si="17"/>
        <v>127593.75055900624</v>
      </c>
      <c r="X80" s="26">
        <f t="shared" si="17"/>
        <v>86941.480559006246</v>
      </c>
      <c r="Y80" s="26">
        <f t="shared" si="17"/>
        <v>1929.1205590062018</v>
      </c>
      <c r="Z80" s="26">
        <f t="shared" si="17"/>
        <v>52071.050559006195</v>
      </c>
      <c r="AA80" s="26">
        <f t="shared" si="17"/>
        <v>375065.16055900615</v>
      </c>
      <c r="AB80" s="26">
        <f t="shared" si="17"/>
        <v>287074.66055900615</v>
      </c>
      <c r="AC80" s="26">
        <f t="shared" si="17"/>
        <v>288665.26055900624</v>
      </c>
      <c r="AD80" s="26">
        <f t="shared" si="17"/>
        <v>-217099.6894409938</v>
      </c>
      <c r="AE80" s="26">
        <f t="shared" si="17"/>
        <v>-207429.6894409938</v>
      </c>
      <c r="AF80" s="26">
        <f t="shared" si="17"/>
        <v>-159079.6894409938</v>
      </c>
      <c r="AG80" s="26">
        <f t="shared" si="17"/>
        <v>-120399.6894409938</v>
      </c>
      <c r="AH80" s="26">
        <f t="shared" si="17"/>
        <v>-110729.6894409938</v>
      </c>
      <c r="AI80" s="26">
        <f t="shared" si="17"/>
        <v>-72049.689440993796</v>
      </c>
      <c r="AJ80" s="26">
        <f t="shared" si="17"/>
        <v>-72049.689440993796</v>
      </c>
      <c r="AK80" s="26">
        <f t="shared" si="17"/>
        <v>-72049.689440993796</v>
      </c>
      <c r="AL80" s="26">
        <f t="shared" si="17"/>
        <v>-72049.689440993796</v>
      </c>
      <c r="AM80" s="26">
        <f t="shared" si="17"/>
        <v>-72049.689440993796</v>
      </c>
      <c r="AN80" s="26">
        <f t="shared" si="17"/>
        <v>-72049.689440993796</v>
      </c>
      <c r="AO80" s="26">
        <f t="shared" si="17"/>
        <v>-72049.689440993796</v>
      </c>
      <c r="AP80" s="26">
        <f t="shared" si="17"/>
        <v>-72049.689440993796</v>
      </c>
      <c r="AQ80" s="26">
        <f t="shared" si="17"/>
        <v>-72049.689440993796</v>
      </c>
      <c r="AR80" s="26">
        <f t="shared" si="17"/>
        <v>-72049.689440993796</v>
      </c>
    </row>
    <row r="81" spans="2:44">
      <c r="B81" s="320" t="s">
        <v>92</v>
      </c>
      <c r="C81" s="321"/>
      <c r="D81" s="326"/>
      <c r="E81" s="29" t="e">
        <f>E80+#REF!</f>
        <v>#REF!</v>
      </c>
      <c r="F81" s="29" t="e">
        <f t="shared" ref="F81:AR81" si="18">F80+E81</f>
        <v>#REF!</v>
      </c>
      <c r="G81" s="29" t="e">
        <f t="shared" si="18"/>
        <v>#REF!</v>
      </c>
      <c r="H81" s="29" t="e">
        <f t="shared" si="18"/>
        <v>#REF!</v>
      </c>
      <c r="I81" s="29" t="e">
        <f t="shared" si="18"/>
        <v>#REF!</v>
      </c>
      <c r="J81" s="29" t="e">
        <f t="shared" si="18"/>
        <v>#REF!</v>
      </c>
      <c r="K81" s="28" t="e">
        <f t="shared" si="18"/>
        <v>#REF!</v>
      </c>
      <c r="L81" s="29" t="e">
        <f t="shared" si="18"/>
        <v>#REF!</v>
      </c>
      <c r="M81" s="28" t="e">
        <f t="shared" si="18"/>
        <v>#REF!</v>
      </c>
      <c r="N81" s="29" t="e">
        <f t="shared" si="18"/>
        <v>#REF!</v>
      </c>
      <c r="O81" s="29" t="e">
        <f t="shared" si="18"/>
        <v>#REF!</v>
      </c>
      <c r="P81" s="29" t="e">
        <f t="shared" si="18"/>
        <v>#REF!</v>
      </c>
      <c r="Q81" s="29" t="e">
        <f t="shared" si="18"/>
        <v>#REF!</v>
      </c>
      <c r="R81" s="29" t="e">
        <f t="shared" si="18"/>
        <v>#REF!</v>
      </c>
      <c r="S81" s="29" t="e">
        <f t="shared" si="18"/>
        <v>#REF!</v>
      </c>
      <c r="T81" s="29" t="e">
        <f t="shared" si="18"/>
        <v>#REF!</v>
      </c>
      <c r="U81" s="29" t="e">
        <f t="shared" si="18"/>
        <v>#REF!</v>
      </c>
      <c r="V81" s="29" t="e">
        <f t="shared" si="18"/>
        <v>#REF!</v>
      </c>
      <c r="W81" s="29" t="e">
        <f t="shared" si="18"/>
        <v>#REF!</v>
      </c>
      <c r="X81" s="29" t="e">
        <f t="shared" si="18"/>
        <v>#REF!</v>
      </c>
      <c r="Y81" s="29" t="e">
        <f t="shared" si="18"/>
        <v>#REF!</v>
      </c>
      <c r="Z81" s="29" t="e">
        <f t="shared" si="18"/>
        <v>#REF!</v>
      </c>
      <c r="AA81" s="29" t="e">
        <f t="shared" si="18"/>
        <v>#REF!</v>
      </c>
      <c r="AB81" s="29" t="e">
        <f t="shared" si="18"/>
        <v>#REF!</v>
      </c>
      <c r="AC81" s="29" t="e">
        <f t="shared" si="18"/>
        <v>#REF!</v>
      </c>
      <c r="AD81" s="29" t="e">
        <f t="shared" si="18"/>
        <v>#REF!</v>
      </c>
      <c r="AE81" s="29" t="e">
        <f t="shared" si="18"/>
        <v>#REF!</v>
      </c>
      <c r="AF81" s="29" t="e">
        <f t="shared" si="18"/>
        <v>#REF!</v>
      </c>
      <c r="AG81" s="29" t="e">
        <f t="shared" si="18"/>
        <v>#REF!</v>
      </c>
      <c r="AH81" s="29" t="e">
        <f t="shared" si="18"/>
        <v>#REF!</v>
      </c>
      <c r="AI81" s="29" t="e">
        <f t="shared" si="18"/>
        <v>#REF!</v>
      </c>
      <c r="AJ81" s="29" t="e">
        <f t="shared" si="18"/>
        <v>#REF!</v>
      </c>
      <c r="AK81" s="29" t="e">
        <f t="shared" si="18"/>
        <v>#REF!</v>
      </c>
      <c r="AL81" s="29" t="e">
        <f t="shared" si="18"/>
        <v>#REF!</v>
      </c>
      <c r="AM81" s="29" t="e">
        <f t="shared" si="18"/>
        <v>#REF!</v>
      </c>
      <c r="AN81" s="29" t="e">
        <f t="shared" si="18"/>
        <v>#REF!</v>
      </c>
      <c r="AO81" s="29" t="e">
        <f t="shared" si="18"/>
        <v>#REF!</v>
      </c>
      <c r="AP81" s="29" t="e">
        <f t="shared" si="18"/>
        <v>#REF!</v>
      </c>
      <c r="AQ81" s="29" t="e">
        <f t="shared" si="18"/>
        <v>#REF!</v>
      </c>
      <c r="AR81" s="29" t="e">
        <f t="shared" si="18"/>
        <v>#REF!</v>
      </c>
    </row>
    <row r="82" spans="2:44">
      <c r="D82">
        <f>D80/D59</f>
        <v>0.75399461110658672</v>
      </c>
    </row>
    <row r="84" spans="2:44">
      <c r="B84" s="30" t="s">
        <v>93</v>
      </c>
      <c r="C84" s="31">
        <f>D41/D26</f>
        <v>0.7769350600305267</v>
      </c>
    </row>
  </sheetData>
  <mergeCells count="6">
    <mergeCell ref="B81:D81"/>
    <mergeCell ref="A26:A38"/>
    <mergeCell ref="A41:A42"/>
    <mergeCell ref="A46:A51"/>
    <mergeCell ref="A53:A57"/>
    <mergeCell ref="B74:C74"/>
  </mergeCells>
  <conditionalFormatting sqref="E81:AR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6D93-91B1-4EB1-8F9B-58AEEA12C179}">
  <dimension ref="A2:AZ84"/>
  <sheetViews>
    <sheetView topLeftCell="B5" workbookViewId="0">
      <selection activeCell="AK42" sqref="AK42"/>
    </sheetView>
  </sheetViews>
  <sheetFormatPr defaultColWidth="11.42578125" defaultRowHeight="15"/>
  <cols>
    <col min="2" max="2" width="22.85546875" customWidth="1"/>
    <col min="3" max="3" width="16.42578125" bestFit="1" customWidth="1"/>
    <col min="4" max="4" width="14.85546875" customWidth="1"/>
    <col min="5" max="5" width="10.140625" bestFit="1" customWidth="1"/>
    <col min="6" max="7" width="9.140625"/>
    <col min="8" max="8" width="11.28515625" bestFit="1" customWidth="1"/>
  </cols>
  <sheetData>
    <row r="2" spans="2:52" ht="15.75">
      <c r="B2" s="54" t="s">
        <v>0</v>
      </c>
      <c r="C2" s="109" t="s">
        <v>1</v>
      </c>
    </row>
    <row r="3" spans="2:52" ht="15.75">
      <c r="B3" s="54" t="s">
        <v>2</v>
      </c>
      <c r="C3" s="109">
        <v>10</v>
      </c>
    </row>
    <row r="4" spans="2:52" ht="15.75">
      <c r="B4" s="54" t="s">
        <v>3</v>
      </c>
      <c r="C4" s="110">
        <v>45587</v>
      </c>
    </row>
    <row r="5" spans="2:52" ht="15.75">
      <c r="B5" s="54" t="s">
        <v>4</v>
      </c>
      <c r="C5" s="110"/>
    </row>
    <row r="6" spans="2:52" ht="15.75">
      <c r="B6" s="179" t="s">
        <v>230</v>
      </c>
      <c r="C6" s="110" t="s">
        <v>421</v>
      </c>
    </row>
    <row r="7" spans="2:52" ht="15.75">
      <c r="B7" s="2"/>
      <c r="C7" s="2"/>
    </row>
    <row r="8" spans="2:52" ht="15.75">
      <c r="B8" s="54" t="s">
        <v>5</v>
      </c>
      <c r="D8" s="41" t="s">
        <v>6</v>
      </c>
      <c r="E8" s="42">
        <v>45586</v>
      </c>
      <c r="F8" s="42">
        <v>45587</v>
      </c>
      <c r="G8" s="42">
        <v>45588</v>
      </c>
      <c r="H8" s="42">
        <v>45589</v>
      </c>
      <c r="I8" s="42">
        <v>45590</v>
      </c>
      <c r="J8" s="42">
        <v>45591</v>
      </c>
      <c r="K8" s="42">
        <v>45592</v>
      </c>
      <c r="L8" s="42">
        <v>45593</v>
      </c>
      <c r="M8" s="42">
        <v>45594</v>
      </c>
      <c r="N8" s="42">
        <v>45595</v>
      </c>
      <c r="O8" s="42">
        <v>45596</v>
      </c>
      <c r="P8" s="42">
        <v>45597</v>
      </c>
      <c r="Q8" s="42">
        <v>45598</v>
      </c>
      <c r="R8" s="42">
        <v>45599</v>
      </c>
      <c r="S8" s="42">
        <v>45600</v>
      </c>
      <c r="T8" s="42">
        <v>45601</v>
      </c>
      <c r="U8" s="42">
        <v>45602</v>
      </c>
      <c r="V8" s="42">
        <v>45603</v>
      </c>
      <c r="W8" s="42">
        <v>45604</v>
      </c>
      <c r="X8" s="42">
        <v>45605</v>
      </c>
      <c r="Y8" s="42">
        <v>45606</v>
      </c>
      <c r="Z8" s="42">
        <v>45607</v>
      </c>
      <c r="AA8" s="42">
        <v>45608</v>
      </c>
      <c r="AB8" s="42">
        <v>45609</v>
      </c>
      <c r="AC8" s="42">
        <v>45610</v>
      </c>
      <c r="AD8" s="42">
        <v>45611</v>
      </c>
      <c r="AE8" s="42">
        <v>45612</v>
      </c>
      <c r="AF8" s="42">
        <v>45613</v>
      </c>
      <c r="AG8" s="42">
        <v>45614</v>
      </c>
      <c r="AH8" s="42">
        <v>45615</v>
      </c>
      <c r="AI8" s="42">
        <v>45616</v>
      </c>
      <c r="AJ8" s="42">
        <v>45617</v>
      </c>
      <c r="AK8" s="42">
        <v>45618</v>
      </c>
      <c r="AL8" s="42">
        <v>45619</v>
      </c>
      <c r="AM8" s="42">
        <v>45620</v>
      </c>
      <c r="AN8" s="42">
        <v>45621</v>
      </c>
      <c r="AO8" s="42">
        <v>45622</v>
      </c>
      <c r="AP8" s="42">
        <v>45623</v>
      </c>
      <c r="AQ8" s="42">
        <v>45624</v>
      </c>
      <c r="AR8" s="42">
        <v>45625</v>
      </c>
      <c r="AS8" s="42"/>
      <c r="AT8" s="42"/>
      <c r="AU8" s="42"/>
      <c r="AV8" s="42"/>
      <c r="AW8" s="42"/>
      <c r="AX8" s="42"/>
      <c r="AY8" s="42"/>
      <c r="AZ8" s="42"/>
    </row>
    <row r="9" spans="2:52">
      <c r="B9" s="46" t="s">
        <v>7</v>
      </c>
      <c r="C9" s="47" t="s">
        <v>8</v>
      </c>
      <c r="D9" s="71">
        <f>SUM(E9:N9)</f>
        <v>74</v>
      </c>
      <c r="E9" s="114">
        <v>0</v>
      </c>
      <c r="F9" s="114">
        <v>0</v>
      </c>
      <c r="G9" s="114">
        <v>0</v>
      </c>
      <c r="H9" s="114">
        <v>10</v>
      </c>
      <c r="I9" s="114">
        <v>0</v>
      </c>
      <c r="J9" s="114">
        <v>12</v>
      </c>
      <c r="K9" s="114">
        <v>9</v>
      </c>
      <c r="L9" s="114">
        <v>20</v>
      </c>
      <c r="M9" s="114">
        <v>11</v>
      </c>
      <c r="N9" s="114">
        <v>12</v>
      </c>
      <c r="O9" s="114">
        <v>23</v>
      </c>
      <c r="P9" s="114">
        <v>15</v>
      </c>
      <c r="Q9" s="114">
        <v>15</v>
      </c>
      <c r="R9" s="114">
        <v>21</v>
      </c>
      <c r="S9" s="114">
        <v>16</v>
      </c>
      <c r="T9" s="114">
        <v>2</v>
      </c>
      <c r="U9" s="114">
        <v>21</v>
      </c>
      <c r="V9" s="114">
        <v>14</v>
      </c>
      <c r="W9" s="114">
        <v>3</v>
      </c>
      <c r="X9" s="114">
        <v>6</v>
      </c>
      <c r="Y9" s="114">
        <v>19</v>
      </c>
      <c r="Z9" s="114">
        <v>17</v>
      </c>
      <c r="AA9" s="114">
        <v>11</v>
      </c>
      <c r="AB9" s="114">
        <v>18</v>
      </c>
      <c r="AC9" s="114">
        <v>14</v>
      </c>
      <c r="AD9" s="114">
        <v>21</v>
      </c>
      <c r="AE9" s="114">
        <v>2</v>
      </c>
      <c r="AF9" s="114">
        <v>1</v>
      </c>
      <c r="AG9" s="114">
        <v>13</v>
      </c>
      <c r="AH9" s="114">
        <v>16</v>
      </c>
      <c r="AI9" s="114">
        <v>20</v>
      </c>
      <c r="AJ9" s="114">
        <v>7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</row>
    <row r="10" spans="2:52">
      <c r="B10" s="48" t="s">
        <v>9</v>
      </c>
      <c r="C10" s="38" t="s">
        <v>8</v>
      </c>
      <c r="D10" s="71">
        <f t="shared" ref="D10:D16" si="0">SUM(E10:K10)</f>
        <v>82</v>
      </c>
      <c r="E10" s="115">
        <v>0</v>
      </c>
      <c r="F10" s="115">
        <v>0</v>
      </c>
      <c r="G10" s="115">
        <v>20</v>
      </c>
      <c r="H10" s="115">
        <v>14</v>
      </c>
      <c r="I10" s="115">
        <v>24</v>
      </c>
      <c r="J10" s="115">
        <v>12</v>
      </c>
      <c r="K10" s="115">
        <v>12</v>
      </c>
      <c r="L10" s="115">
        <v>0</v>
      </c>
      <c r="M10" s="115">
        <v>11</v>
      </c>
      <c r="N10" s="115">
        <v>10</v>
      </c>
      <c r="O10" s="115">
        <v>1</v>
      </c>
      <c r="P10" s="115">
        <v>7</v>
      </c>
      <c r="Q10" s="115">
        <v>4</v>
      </c>
      <c r="R10" s="115">
        <v>0</v>
      </c>
      <c r="S10" s="115">
        <v>3</v>
      </c>
      <c r="T10" s="115">
        <v>20</v>
      </c>
      <c r="U10" s="115">
        <v>0</v>
      </c>
      <c r="V10" s="115">
        <v>8</v>
      </c>
      <c r="W10" s="115">
        <v>0</v>
      </c>
      <c r="X10" s="115">
        <v>0</v>
      </c>
      <c r="Y10" s="115">
        <v>0</v>
      </c>
      <c r="Z10" s="115">
        <v>5</v>
      </c>
      <c r="AA10" s="115">
        <v>10</v>
      </c>
      <c r="AB10" s="115">
        <v>0</v>
      </c>
      <c r="AC10" s="115">
        <v>0</v>
      </c>
      <c r="AD10" s="115">
        <v>0</v>
      </c>
      <c r="AE10" s="115">
        <v>20</v>
      </c>
      <c r="AF10" s="115">
        <v>22</v>
      </c>
      <c r="AG10" s="115">
        <v>0</v>
      </c>
      <c r="AH10" s="115">
        <v>0</v>
      </c>
      <c r="AI10" s="115">
        <v>0</v>
      </c>
      <c r="AJ10" s="115">
        <v>15</v>
      </c>
      <c r="AK10" s="115">
        <v>24</v>
      </c>
      <c r="AL10" s="115">
        <v>4</v>
      </c>
      <c r="AM10" s="115">
        <v>2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</row>
    <row r="11" spans="2:52">
      <c r="B11" s="48" t="s">
        <v>10</v>
      </c>
      <c r="C11" s="38" t="s">
        <v>8</v>
      </c>
      <c r="D11" s="71">
        <f t="shared" si="0"/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1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4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</row>
    <row r="12" spans="2:52">
      <c r="B12" s="48" t="s">
        <v>11</v>
      </c>
      <c r="C12" s="38" t="s">
        <v>8</v>
      </c>
      <c r="D12" s="71">
        <f t="shared" si="0"/>
        <v>24</v>
      </c>
      <c r="E12" s="115">
        <v>24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</row>
    <row r="13" spans="2:52">
      <c r="B13" s="48" t="s">
        <v>12</v>
      </c>
      <c r="C13" s="38" t="s">
        <v>8</v>
      </c>
      <c r="D13" s="71">
        <f t="shared" si="0"/>
        <v>20</v>
      </c>
      <c r="E13" s="115">
        <v>0</v>
      </c>
      <c r="F13" s="115">
        <v>20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20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</row>
    <row r="14" spans="2:52">
      <c r="B14" s="48" t="s">
        <v>13</v>
      </c>
      <c r="C14" s="38" t="s">
        <v>8</v>
      </c>
      <c r="D14" s="71">
        <f t="shared" si="0"/>
        <v>8</v>
      </c>
      <c r="E14" s="115">
        <v>0</v>
      </c>
      <c r="F14" s="115">
        <v>4</v>
      </c>
      <c r="G14" s="115">
        <v>4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</row>
    <row r="15" spans="2:52">
      <c r="B15" s="49" t="s">
        <v>14</v>
      </c>
      <c r="C15" s="40" t="s">
        <v>8</v>
      </c>
      <c r="D15" s="71">
        <f t="shared" si="0"/>
        <v>3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3</v>
      </c>
      <c r="L15" s="116">
        <v>4</v>
      </c>
      <c r="M15" s="116">
        <v>2</v>
      </c>
      <c r="N15" s="116">
        <v>2</v>
      </c>
      <c r="O15" s="116">
        <v>0</v>
      </c>
      <c r="P15" s="116">
        <v>2</v>
      </c>
      <c r="Q15" s="116">
        <v>4</v>
      </c>
      <c r="R15" s="116">
        <v>3</v>
      </c>
      <c r="S15" s="116">
        <v>5</v>
      </c>
      <c r="T15" s="116">
        <v>2</v>
      </c>
      <c r="U15" s="116">
        <v>3</v>
      </c>
      <c r="V15" s="116">
        <v>2</v>
      </c>
      <c r="W15" s="116">
        <v>21</v>
      </c>
      <c r="X15" s="116">
        <v>18</v>
      </c>
      <c r="Y15" s="116">
        <v>5</v>
      </c>
      <c r="Z15" s="116">
        <v>2</v>
      </c>
      <c r="AA15" s="116">
        <v>3</v>
      </c>
      <c r="AB15" s="116">
        <v>2</v>
      </c>
      <c r="AC15" s="116">
        <v>10</v>
      </c>
      <c r="AD15" s="116">
        <v>3</v>
      </c>
      <c r="AE15" s="116">
        <v>2</v>
      </c>
      <c r="AF15" s="116">
        <v>1</v>
      </c>
      <c r="AG15" s="116">
        <v>11</v>
      </c>
      <c r="AH15" s="116">
        <v>8</v>
      </c>
      <c r="AI15" s="116">
        <v>4</v>
      </c>
      <c r="AJ15" s="116">
        <v>2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</row>
    <row r="16" spans="2:52">
      <c r="B16" s="68" t="s">
        <v>15</v>
      </c>
      <c r="C16" s="69" t="s">
        <v>8</v>
      </c>
      <c r="D16" s="70">
        <f t="shared" si="0"/>
        <v>168</v>
      </c>
      <c r="E16" s="117">
        <f t="shared" ref="E16:AR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24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24</v>
      </c>
      <c r="AK16" s="117">
        <f t="shared" si="1"/>
        <v>24</v>
      </c>
      <c r="AL16" s="117">
        <f t="shared" si="1"/>
        <v>24</v>
      </c>
      <c r="AM16" s="117">
        <f t="shared" si="1"/>
        <v>2</v>
      </c>
      <c r="AN16" s="117">
        <f t="shared" si="1"/>
        <v>0</v>
      </c>
      <c r="AO16" s="117">
        <f t="shared" si="1"/>
        <v>0</v>
      </c>
      <c r="AP16" s="117">
        <f t="shared" si="1"/>
        <v>0</v>
      </c>
      <c r="AQ16" s="117">
        <f t="shared" si="1"/>
        <v>0</v>
      </c>
      <c r="AR16" s="117">
        <f t="shared" si="1"/>
        <v>0</v>
      </c>
    </row>
    <row r="18" spans="1:44">
      <c r="B18" s="50" t="s">
        <v>16</v>
      </c>
      <c r="C18" s="50" t="s">
        <v>0</v>
      </c>
      <c r="D18" s="58">
        <f>SUM(E18:K18)</f>
        <v>0</v>
      </c>
      <c r="E18" s="127"/>
      <c r="F18" s="127" t="s">
        <v>203</v>
      </c>
      <c r="G18" s="127" t="s">
        <v>502</v>
      </c>
      <c r="H18" s="127" t="s">
        <v>173</v>
      </c>
      <c r="I18" s="127">
        <v>0</v>
      </c>
      <c r="J18" s="127" t="s">
        <v>512</v>
      </c>
      <c r="K18" s="127" t="s">
        <v>546</v>
      </c>
      <c r="L18" s="127" t="s">
        <v>504</v>
      </c>
      <c r="M18" s="127" t="s">
        <v>504</v>
      </c>
      <c r="N18" s="127" t="s">
        <v>513</v>
      </c>
      <c r="O18" s="127" t="s">
        <v>513</v>
      </c>
      <c r="P18" s="127" t="s">
        <v>547</v>
      </c>
      <c r="Q18" s="127" t="s">
        <v>548</v>
      </c>
      <c r="R18" s="127" t="s">
        <v>547</v>
      </c>
      <c r="S18" s="127" t="s">
        <v>549</v>
      </c>
      <c r="T18" s="127" t="s">
        <v>549</v>
      </c>
      <c r="U18" s="127" t="s">
        <v>547</v>
      </c>
      <c r="V18" s="127" t="s">
        <v>436</v>
      </c>
      <c r="W18" s="127" t="s">
        <v>549</v>
      </c>
      <c r="X18" s="127" t="s">
        <v>547</v>
      </c>
      <c r="Y18" s="127" t="s">
        <v>550</v>
      </c>
      <c r="Z18" s="127" t="s">
        <v>551</v>
      </c>
      <c r="AA18" s="127" t="s">
        <v>178</v>
      </c>
      <c r="AB18" s="127" t="s">
        <v>552</v>
      </c>
      <c r="AC18" s="127" t="s">
        <v>552</v>
      </c>
      <c r="AD18" s="127" t="s">
        <v>552</v>
      </c>
      <c r="AE18" s="127" t="s">
        <v>178</v>
      </c>
      <c r="AF18" s="127" t="s">
        <v>122</v>
      </c>
      <c r="AG18" s="127" t="s">
        <v>423</v>
      </c>
      <c r="AH18" s="127" t="s">
        <v>422</v>
      </c>
      <c r="AI18" s="127" t="s">
        <v>422</v>
      </c>
      <c r="AJ18" s="127" t="s">
        <v>423</v>
      </c>
      <c r="AK18" s="127" t="s">
        <v>553</v>
      </c>
      <c r="AL18" s="127" t="s">
        <v>203</v>
      </c>
      <c r="AM18" s="127" t="s">
        <v>9</v>
      </c>
      <c r="AN18" s="127" t="s">
        <v>9</v>
      </c>
      <c r="AO18" s="127" t="s">
        <v>554</v>
      </c>
      <c r="AP18" s="127"/>
      <c r="AQ18" s="127"/>
      <c r="AR18" s="127"/>
    </row>
    <row r="19" spans="1:44">
      <c r="B19" s="37" t="s">
        <v>31</v>
      </c>
      <c r="C19" s="37" t="s">
        <v>32</v>
      </c>
      <c r="D19" s="131">
        <f>SUM(E19:K19)</f>
        <v>31</v>
      </c>
      <c r="E19" s="162">
        <v>0</v>
      </c>
      <c r="F19" s="162">
        <v>0</v>
      </c>
      <c r="G19" s="162">
        <v>0</v>
      </c>
      <c r="H19" s="162">
        <v>10</v>
      </c>
      <c r="I19" s="162">
        <v>0</v>
      </c>
      <c r="J19" s="162">
        <v>12</v>
      </c>
      <c r="K19" s="162">
        <v>9</v>
      </c>
      <c r="L19" s="162">
        <v>20</v>
      </c>
      <c r="M19" s="162">
        <v>11</v>
      </c>
      <c r="N19" s="162">
        <v>12</v>
      </c>
      <c r="O19" s="162">
        <v>23</v>
      </c>
      <c r="P19" s="162">
        <v>15</v>
      </c>
      <c r="Q19" s="162">
        <v>15</v>
      </c>
      <c r="R19" s="162">
        <v>21</v>
      </c>
      <c r="S19" s="162">
        <v>16</v>
      </c>
      <c r="T19" s="162">
        <v>2</v>
      </c>
      <c r="U19" s="162">
        <v>21</v>
      </c>
      <c r="V19" s="162">
        <v>14</v>
      </c>
      <c r="W19" s="162">
        <v>3</v>
      </c>
      <c r="X19" s="162">
        <v>6</v>
      </c>
      <c r="Y19" s="162">
        <v>19</v>
      </c>
      <c r="Z19" s="162">
        <v>17</v>
      </c>
      <c r="AA19" s="162">
        <v>11</v>
      </c>
      <c r="AB19" s="162">
        <v>18</v>
      </c>
      <c r="AC19" s="162">
        <v>14</v>
      </c>
      <c r="AD19" s="162">
        <v>21</v>
      </c>
      <c r="AE19" s="162">
        <v>2</v>
      </c>
      <c r="AF19" s="162">
        <v>1</v>
      </c>
      <c r="AG19" s="162">
        <v>13</v>
      </c>
      <c r="AH19" s="162">
        <v>16</v>
      </c>
      <c r="AI19" s="162">
        <v>20</v>
      </c>
      <c r="AJ19" s="162">
        <v>7</v>
      </c>
      <c r="AK19" s="162">
        <v>0</v>
      </c>
      <c r="AL19" s="162">
        <v>0</v>
      </c>
      <c r="AM19" s="162">
        <v>0</v>
      </c>
      <c r="AN19" s="162">
        <v>0</v>
      </c>
      <c r="AO19" s="162">
        <v>0</v>
      </c>
      <c r="AP19" s="162"/>
      <c r="AQ19" s="162"/>
      <c r="AR19" s="162"/>
    </row>
    <row r="20" spans="1:44">
      <c r="B20" s="37" t="s">
        <v>35</v>
      </c>
      <c r="C20" s="37" t="s">
        <v>36</v>
      </c>
      <c r="D20" s="131">
        <f>SUM(E20:K20)</f>
        <v>7</v>
      </c>
      <c r="E20" s="162">
        <v>0</v>
      </c>
      <c r="F20" s="162">
        <v>0</v>
      </c>
      <c r="G20" s="162">
        <v>0</v>
      </c>
      <c r="H20" s="162">
        <v>3</v>
      </c>
      <c r="I20" s="162">
        <v>0</v>
      </c>
      <c r="J20" s="162">
        <v>2</v>
      </c>
      <c r="K20" s="162">
        <v>2</v>
      </c>
      <c r="L20" s="162">
        <v>4</v>
      </c>
      <c r="M20" s="162">
        <v>2</v>
      </c>
      <c r="N20" s="162">
        <v>2</v>
      </c>
      <c r="O20" s="162">
        <v>4</v>
      </c>
      <c r="P20" s="162">
        <v>3</v>
      </c>
      <c r="Q20" s="162">
        <v>3</v>
      </c>
      <c r="R20" s="162">
        <v>3</v>
      </c>
      <c r="S20" s="162">
        <v>3</v>
      </c>
      <c r="T20" s="162">
        <v>1</v>
      </c>
      <c r="U20" s="162">
        <v>3</v>
      </c>
      <c r="V20" s="162">
        <v>2</v>
      </c>
      <c r="W20" s="162">
        <v>1</v>
      </c>
      <c r="X20" s="162">
        <v>1</v>
      </c>
      <c r="Y20" s="162">
        <v>4</v>
      </c>
      <c r="Z20" s="162">
        <v>3</v>
      </c>
      <c r="AA20" s="162">
        <v>2</v>
      </c>
      <c r="AB20" s="162">
        <v>3</v>
      </c>
      <c r="AC20" s="162">
        <v>2</v>
      </c>
      <c r="AD20" s="162">
        <v>4</v>
      </c>
      <c r="AE20" s="162">
        <v>1</v>
      </c>
      <c r="AF20" s="162">
        <v>1</v>
      </c>
      <c r="AG20" s="162">
        <v>3</v>
      </c>
      <c r="AH20" s="162">
        <v>4</v>
      </c>
      <c r="AI20" s="162">
        <v>3</v>
      </c>
      <c r="AJ20" s="162">
        <v>2</v>
      </c>
      <c r="AK20" s="162">
        <v>0</v>
      </c>
      <c r="AL20" s="162">
        <v>0</v>
      </c>
      <c r="AM20" s="162">
        <v>0</v>
      </c>
      <c r="AN20" s="162">
        <v>0</v>
      </c>
      <c r="AO20" s="162"/>
      <c r="AP20" s="162"/>
      <c r="AQ20" s="162"/>
      <c r="AR20" s="162"/>
    </row>
    <row r="21" spans="1:44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>
        <v>0</v>
      </c>
      <c r="H21" s="129" t="s">
        <v>399</v>
      </c>
      <c r="I21" s="129" t="s">
        <v>399</v>
      </c>
      <c r="J21" s="129" t="s">
        <v>399</v>
      </c>
      <c r="K21" s="129" t="s">
        <v>399</v>
      </c>
      <c r="L21" s="129" t="s">
        <v>399</v>
      </c>
      <c r="M21" s="129" t="s">
        <v>399</v>
      </c>
      <c r="N21" s="129" t="s">
        <v>399</v>
      </c>
      <c r="O21" s="129" t="s">
        <v>399</v>
      </c>
      <c r="P21" s="129" t="s">
        <v>555</v>
      </c>
      <c r="Q21" s="129" t="s">
        <v>399</v>
      </c>
      <c r="R21" s="129" t="s">
        <v>399</v>
      </c>
      <c r="S21" s="129" t="s">
        <v>399</v>
      </c>
      <c r="T21" s="129" t="s">
        <v>399</v>
      </c>
      <c r="U21" s="129" t="s">
        <v>399</v>
      </c>
      <c r="V21" s="129" t="s">
        <v>399</v>
      </c>
      <c r="W21" s="129" t="s">
        <v>556</v>
      </c>
      <c r="X21" s="129" t="s">
        <v>399</v>
      </c>
      <c r="Y21" s="129" t="s">
        <v>399</v>
      </c>
      <c r="Z21" s="129" t="s">
        <v>399</v>
      </c>
      <c r="AA21" s="129" t="s">
        <v>399</v>
      </c>
      <c r="AB21" s="129" t="s">
        <v>399</v>
      </c>
      <c r="AC21" s="129" t="s">
        <v>399</v>
      </c>
      <c r="AD21" s="129" t="s">
        <v>399</v>
      </c>
      <c r="AE21" s="129" t="s">
        <v>399</v>
      </c>
      <c r="AF21" s="129" t="s">
        <v>399</v>
      </c>
      <c r="AG21" s="129" t="s">
        <v>399</v>
      </c>
      <c r="AH21" s="129" t="s">
        <v>399</v>
      </c>
      <c r="AI21" s="129" t="s">
        <v>399</v>
      </c>
      <c r="AJ21" s="129" t="s">
        <v>399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</row>
    <row r="22" spans="1:44">
      <c r="B22" s="39" t="s">
        <v>41</v>
      </c>
      <c r="C22" s="39" t="s">
        <v>42</v>
      </c>
      <c r="D22" s="130"/>
      <c r="E22" s="57"/>
      <c r="F22" s="57"/>
      <c r="G22" s="57"/>
      <c r="H22" s="57" t="s">
        <v>557</v>
      </c>
      <c r="I22" s="57"/>
      <c r="J22" s="57" t="s">
        <v>558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4" spans="1:44">
      <c r="B24" s="167" t="s">
        <v>43</v>
      </c>
      <c r="C24" s="168">
        <f>D26/D19</f>
        <v>18952.774193548386</v>
      </c>
    </row>
    <row r="25" spans="1:44">
      <c r="D25" s="10"/>
    </row>
    <row r="26" spans="1:44">
      <c r="A26" s="312">
        <v>36</v>
      </c>
      <c r="B26" s="35" t="s">
        <v>45</v>
      </c>
      <c r="C26" s="35"/>
      <c r="D26" s="175">
        <f>SUM(E26:AQ26)</f>
        <v>587536</v>
      </c>
      <c r="E26" s="75">
        <f t="shared" ref="E26:AR26" si="2">SUM(E27:E38)</f>
        <v>0</v>
      </c>
      <c r="F26" s="175">
        <f t="shared" si="2"/>
        <v>0</v>
      </c>
      <c r="G26" s="75">
        <f t="shared" si="2"/>
        <v>0</v>
      </c>
      <c r="H26" s="175">
        <f t="shared" si="2"/>
        <v>46161</v>
      </c>
      <c r="I26" s="75">
        <f t="shared" si="2"/>
        <v>0</v>
      </c>
      <c r="J26" s="175">
        <f t="shared" si="2"/>
        <v>12082</v>
      </c>
      <c r="K26" s="75">
        <f t="shared" si="2"/>
        <v>13782</v>
      </c>
      <c r="L26" s="175">
        <f t="shared" si="2"/>
        <v>29099</v>
      </c>
      <c r="M26" s="75">
        <f t="shared" si="2"/>
        <v>39073</v>
      </c>
      <c r="N26" s="175">
        <f t="shared" si="2"/>
        <v>16540</v>
      </c>
      <c r="O26" s="75">
        <f t="shared" si="2"/>
        <v>34785</v>
      </c>
      <c r="P26" s="175">
        <f t="shared" si="2"/>
        <v>42613</v>
      </c>
      <c r="Q26" s="75">
        <f t="shared" si="2"/>
        <v>24550</v>
      </c>
      <c r="R26" s="175">
        <f t="shared" si="2"/>
        <v>32610</v>
      </c>
      <c r="S26" s="75">
        <f t="shared" si="2"/>
        <v>22376</v>
      </c>
      <c r="T26" s="175">
        <f t="shared" si="2"/>
        <v>3673</v>
      </c>
      <c r="U26" s="75">
        <f t="shared" si="2"/>
        <v>23664</v>
      </c>
      <c r="V26" s="175">
        <f t="shared" si="2"/>
        <v>12117</v>
      </c>
      <c r="W26" s="75">
        <f t="shared" si="2"/>
        <v>3687</v>
      </c>
      <c r="X26" s="175">
        <f t="shared" si="2"/>
        <v>6268</v>
      </c>
      <c r="Y26" s="75">
        <f t="shared" si="2"/>
        <v>11586</v>
      </c>
      <c r="Z26" s="175">
        <f t="shared" si="2"/>
        <v>16573</v>
      </c>
      <c r="AA26" s="75">
        <f t="shared" si="2"/>
        <v>10736</v>
      </c>
      <c r="AB26" s="175">
        <f t="shared" si="2"/>
        <v>17546</v>
      </c>
      <c r="AC26" s="75">
        <f t="shared" si="2"/>
        <v>12927</v>
      </c>
      <c r="AD26" s="175">
        <f t="shared" si="2"/>
        <v>23567</v>
      </c>
      <c r="AE26" s="75">
        <f t="shared" si="2"/>
        <v>24292</v>
      </c>
      <c r="AF26" s="175">
        <f t="shared" si="2"/>
        <v>6035</v>
      </c>
      <c r="AG26" s="75">
        <f t="shared" si="2"/>
        <v>36730</v>
      </c>
      <c r="AH26" s="175">
        <f t="shared" si="2"/>
        <v>37147</v>
      </c>
      <c r="AI26" s="75">
        <f t="shared" si="2"/>
        <v>20825</v>
      </c>
      <c r="AJ26" s="175">
        <f t="shared" si="2"/>
        <v>6492</v>
      </c>
      <c r="AK26" s="75">
        <f t="shared" si="2"/>
        <v>0</v>
      </c>
      <c r="AL26" s="175">
        <f t="shared" si="2"/>
        <v>0</v>
      </c>
      <c r="AM26" s="75">
        <f t="shared" si="2"/>
        <v>0</v>
      </c>
      <c r="AN26" s="175">
        <f t="shared" si="2"/>
        <v>0</v>
      </c>
      <c r="AO26" s="75">
        <f t="shared" si="2"/>
        <v>0</v>
      </c>
      <c r="AP26" s="175">
        <f t="shared" si="2"/>
        <v>0</v>
      </c>
      <c r="AQ26" s="75">
        <f t="shared" si="2"/>
        <v>0</v>
      </c>
      <c r="AR26" s="175">
        <f t="shared" si="2"/>
        <v>0</v>
      </c>
    </row>
    <row r="27" spans="1:44">
      <c r="A27" s="313"/>
      <c r="B27" s="37" t="s">
        <v>47</v>
      </c>
      <c r="C27" s="38" t="s">
        <v>48</v>
      </c>
      <c r="D27" s="73">
        <f t="shared" ref="D27:D36" si="3">SUM(E27:AR27)</f>
        <v>121403</v>
      </c>
      <c r="E27" s="55">
        <v>0</v>
      </c>
      <c r="F27" s="55">
        <v>0</v>
      </c>
      <c r="G27" s="55">
        <v>0</v>
      </c>
      <c r="H27" s="55">
        <v>13621</v>
      </c>
      <c r="I27" s="55">
        <v>0</v>
      </c>
      <c r="J27" s="55">
        <v>5058</v>
      </c>
      <c r="K27" s="55">
        <v>6627</v>
      </c>
      <c r="L27" s="55">
        <v>14089</v>
      </c>
      <c r="M27" s="55">
        <v>4521</v>
      </c>
      <c r="N27" s="55">
        <v>2448</v>
      </c>
      <c r="O27" s="55">
        <v>4179</v>
      </c>
      <c r="P27" s="55">
        <v>1575</v>
      </c>
      <c r="Q27" s="55">
        <v>1550</v>
      </c>
      <c r="R27" s="55">
        <v>1046</v>
      </c>
      <c r="S27" s="55">
        <v>2552</v>
      </c>
      <c r="T27" s="55">
        <v>524</v>
      </c>
      <c r="U27" s="55">
        <v>2698</v>
      </c>
      <c r="V27" s="55">
        <v>2453</v>
      </c>
      <c r="W27" s="55">
        <v>146</v>
      </c>
      <c r="X27" s="55">
        <v>432</v>
      </c>
      <c r="Y27" s="55">
        <v>1483</v>
      </c>
      <c r="Z27" s="55">
        <v>1277</v>
      </c>
      <c r="AA27" s="55">
        <v>6739</v>
      </c>
      <c r="AB27" s="55">
        <v>14667</v>
      </c>
      <c r="AC27" s="55">
        <v>9269</v>
      </c>
      <c r="AD27" s="55">
        <v>21376</v>
      </c>
      <c r="AE27" s="55">
        <v>1070</v>
      </c>
      <c r="AF27" s="55">
        <v>0</v>
      </c>
      <c r="AG27" s="55">
        <v>260</v>
      </c>
      <c r="AH27" s="55">
        <v>836</v>
      </c>
      <c r="AI27" s="55">
        <v>669</v>
      </c>
      <c r="AJ27" s="55">
        <v>238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</row>
    <row r="28" spans="1:44">
      <c r="A28" s="313"/>
      <c r="B28" s="37" t="s">
        <v>49</v>
      </c>
      <c r="C28" s="38" t="s">
        <v>48</v>
      </c>
      <c r="D28" s="73">
        <f t="shared" si="3"/>
        <v>38952</v>
      </c>
      <c r="E28" s="55">
        <v>0</v>
      </c>
      <c r="F28" s="55">
        <v>0</v>
      </c>
      <c r="G28" s="55">
        <v>0</v>
      </c>
      <c r="H28" s="55">
        <v>31440</v>
      </c>
      <c r="I28" s="55">
        <v>0</v>
      </c>
      <c r="J28" s="55">
        <v>1488</v>
      </c>
      <c r="K28" s="55">
        <v>528</v>
      </c>
      <c r="L28" s="55">
        <v>336</v>
      </c>
      <c r="M28" s="55">
        <v>0</v>
      </c>
      <c r="N28" s="55">
        <v>672</v>
      </c>
      <c r="O28" s="55">
        <v>552</v>
      </c>
      <c r="P28" s="55">
        <v>48</v>
      </c>
      <c r="Q28" s="55">
        <v>96</v>
      </c>
      <c r="R28" s="55">
        <v>0</v>
      </c>
      <c r="S28" s="55">
        <v>240</v>
      </c>
      <c r="T28" s="55">
        <v>0</v>
      </c>
      <c r="U28" s="55">
        <v>192</v>
      </c>
      <c r="V28" s="55">
        <v>240</v>
      </c>
      <c r="W28" s="55">
        <v>0</v>
      </c>
      <c r="X28" s="55">
        <v>72</v>
      </c>
      <c r="Y28" s="55">
        <v>192</v>
      </c>
      <c r="Z28" s="55">
        <v>432</v>
      </c>
      <c r="AA28" s="55">
        <v>48</v>
      </c>
      <c r="AB28" s="55">
        <v>96</v>
      </c>
      <c r="AC28" s="55">
        <v>0</v>
      </c>
      <c r="AD28" s="55">
        <v>432</v>
      </c>
      <c r="AE28" s="55">
        <v>0</v>
      </c>
      <c r="AF28" s="55">
        <v>0</v>
      </c>
      <c r="AG28" s="55">
        <v>144</v>
      </c>
      <c r="AH28" s="55">
        <v>936</v>
      </c>
      <c r="AI28" s="55">
        <v>624</v>
      </c>
      <c r="AJ28" s="55">
        <v>144</v>
      </c>
      <c r="AK28" s="55">
        <v>0</v>
      </c>
      <c r="AL28" s="55">
        <v>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</row>
    <row r="29" spans="1:44">
      <c r="A29" s="313"/>
      <c r="B29" s="37" t="s">
        <v>50</v>
      </c>
      <c r="C29" s="38" t="s">
        <v>48</v>
      </c>
      <c r="D29" s="73">
        <f t="shared" si="3"/>
        <v>313478</v>
      </c>
      <c r="E29" s="55">
        <v>0</v>
      </c>
      <c r="F29" s="55">
        <v>0</v>
      </c>
      <c r="G29" s="55"/>
      <c r="H29" s="55">
        <v>0</v>
      </c>
      <c r="I29" s="55"/>
      <c r="J29" s="55">
        <v>1362</v>
      </c>
      <c r="K29" s="55">
        <v>3919</v>
      </c>
      <c r="L29" s="55">
        <v>4709</v>
      </c>
      <c r="M29" s="55">
        <v>1686</v>
      </c>
      <c r="N29" s="55">
        <v>12074</v>
      </c>
      <c r="O29" s="55">
        <v>26478</v>
      </c>
      <c r="P29" s="55">
        <v>40550</v>
      </c>
      <c r="Q29" s="55">
        <v>22542</v>
      </c>
      <c r="R29" s="55">
        <v>31272</v>
      </c>
      <c r="S29" s="55">
        <v>18828</v>
      </c>
      <c r="T29" s="55">
        <v>3065</v>
      </c>
      <c r="U29" s="55">
        <v>20294</v>
      </c>
      <c r="V29" s="55">
        <v>9034</v>
      </c>
      <c r="W29" s="55">
        <v>3541</v>
      </c>
      <c r="X29" s="55">
        <v>5692</v>
      </c>
      <c r="Y29" s="55">
        <v>9018</v>
      </c>
      <c r="Z29" s="55">
        <v>13850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36077</v>
      </c>
      <c r="AH29" s="55">
        <v>24970</v>
      </c>
      <c r="AI29" s="55">
        <v>18977</v>
      </c>
      <c r="AJ29" s="55">
        <v>5540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</row>
    <row r="30" spans="1:44">
      <c r="A30" s="313"/>
      <c r="B30" s="37" t="s">
        <v>51</v>
      </c>
      <c r="C30" s="38" t="s">
        <v>48</v>
      </c>
      <c r="D30" s="73">
        <f t="shared" si="3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</row>
    <row r="31" spans="1:44">
      <c r="A31" s="313"/>
      <c r="B31" s="37" t="s">
        <v>52</v>
      </c>
      <c r="C31" s="38" t="s">
        <v>48</v>
      </c>
      <c r="D31" s="73">
        <f t="shared" si="3"/>
        <v>28614</v>
      </c>
      <c r="E31" s="55">
        <v>0</v>
      </c>
      <c r="F31" s="55">
        <v>0</v>
      </c>
      <c r="G31" s="55"/>
      <c r="H31" s="55"/>
      <c r="I31" s="55"/>
      <c r="J31" s="55">
        <v>3574</v>
      </c>
      <c r="K31" s="55">
        <v>2508</v>
      </c>
      <c r="L31" s="55">
        <v>9562</v>
      </c>
      <c r="M31" s="55">
        <v>450</v>
      </c>
      <c r="N31" s="55">
        <v>1166</v>
      </c>
      <c r="O31" s="55">
        <v>1134</v>
      </c>
      <c r="P31" s="55">
        <v>0</v>
      </c>
      <c r="Q31" s="55">
        <v>342</v>
      </c>
      <c r="R31" s="55">
        <v>252</v>
      </c>
      <c r="S31" s="55">
        <v>576</v>
      </c>
      <c r="T31" s="55">
        <v>36</v>
      </c>
      <c r="U31" s="55">
        <v>450</v>
      </c>
      <c r="V31" s="55">
        <v>306</v>
      </c>
      <c r="W31" s="55">
        <v>0</v>
      </c>
      <c r="X31" s="55">
        <v>72</v>
      </c>
      <c r="Y31" s="55">
        <v>774</v>
      </c>
      <c r="Z31" s="55">
        <v>702</v>
      </c>
      <c r="AA31" s="55">
        <v>2416</v>
      </c>
      <c r="AB31" s="55">
        <v>980</v>
      </c>
      <c r="AC31" s="55">
        <v>1776</v>
      </c>
      <c r="AD31" s="55">
        <v>458</v>
      </c>
      <c r="AE31" s="55">
        <v>0</v>
      </c>
      <c r="AF31" s="55">
        <v>0</v>
      </c>
      <c r="AG31" s="55">
        <v>180</v>
      </c>
      <c r="AH31" s="55">
        <v>342</v>
      </c>
      <c r="AI31" s="55">
        <v>144</v>
      </c>
      <c r="AJ31" s="55">
        <v>414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</row>
    <row r="32" spans="1:44">
      <c r="A32" s="313"/>
      <c r="B32" s="37" t="s">
        <v>53</v>
      </c>
      <c r="C32" s="38" t="s">
        <v>48</v>
      </c>
      <c r="D32" s="73">
        <f t="shared" si="3"/>
        <v>34548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32316</v>
      </c>
      <c r="N32" s="55">
        <v>0</v>
      </c>
      <c r="O32" s="55">
        <v>2232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</row>
    <row r="33" spans="1:44">
      <c r="A33" s="313"/>
      <c r="B33" s="37" t="s">
        <v>54</v>
      </c>
      <c r="C33" s="38" t="s">
        <v>48</v>
      </c>
      <c r="D33" s="73">
        <f t="shared" si="3"/>
        <v>258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258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</row>
    <row r="34" spans="1:44">
      <c r="A34" s="313"/>
      <c r="B34" s="37" t="s">
        <v>55</v>
      </c>
      <c r="C34" s="38" t="s">
        <v>48</v>
      </c>
      <c r="D34" s="73">
        <f t="shared" si="3"/>
        <v>34820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128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1353</v>
      </c>
      <c r="AB34" s="55">
        <v>1443</v>
      </c>
      <c r="AC34" s="55">
        <v>1222</v>
      </c>
      <c r="AD34" s="55">
        <v>831</v>
      </c>
      <c r="AE34" s="55">
        <v>17324</v>
      </c>
      <c r="AF34" s="55">
        <v>4795</v>
      </c>
      <c r="AG34" s="55">
        <v>0</v>
      </c>
      <c r="AH34" s="55">
        <v>7724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</row>
    <row r="35" spans="1:44">
      <c r="A35" s="313"/>
      <c r="B35" s="37" t="s">
        <v>56</v>
      </c>
      <c r="C35" s="38" t="s">
        <v>48</v>
      </c>
      <c r="D35" s="73">
        <f t="shared" si="3"/>
        <v>10290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180</v>
      </c>
      <c r="AB35" s="55">
        <v>260</v>
      </c>
      <c r="AC35" s="55">
        <v>560</v>
      </c>
      <c r="AD35" s="55">
        <v>220</v>
      </c>
      <c r="AE35" s="55">
        <v>5590</v>
      </c>
      <c r="AF35" s="55">
        <v>1240</v>
      </c>
      <c r="AG35" s="55">
        <v>0</v>
      </c>
      <c r="AH35" s="55">
        <v>2240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</row>
    <row r="36" spans="1:44">
      <c r="A36" s="313"/>
      <c r="B36" s="37" t="s">
        <v>57</v>
      </c>
      <c r="C36" s="38" t="s">
        <v>48</v>
      </c>
      <c r="D36" s="73">
        <f t="shared" si="3"/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v>0</v>
      </c>
      <c r="AK36" s="55">
        <v>0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</row>
    <row r="37" spans="1:44">
      <c r="A37" s="313"/>
      <c r="B37" s="37" t="s">
        <v>58</v>
      </c>
      <c r="C37" s="38" t="s">
        <v>48</v>
      </c>
      <c r="D37" s="73">
        <f>SUM(E37:AR37)</f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55">
        <v>0</v>
      </c>
      <c r="AK37" s="55">
        <v>0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0</v>
      </c>
    </row>
    <row r="38" spans="1:44">
      <c r="A38" s="314"/>
      <c r="B38" s="39" t="s">
        <v>59</v>
      </c>
      <c r="C38" s="40" t="s">
        <v>48</v>
      </c>
      <c r="D38" s="74">
        <f>SUM(E38:AR38)</f>
        <v>5173</v>
      </c>
      <c r="E38" s="55">
        <v>0</v>
      </c>
      <c r="F38" s="55">
        <v>0</v>
      </c>
      <c r="G38" s="55">
        <v>0</v>
      </c>
      <c r="H38" s="55">
        <v>1100</v>
      </c>
      <c r="I38" s="55"/>
      <c r="J38" s="55">
        <v>600</v>
      </c>
      <c r="K38" s="55">
        <v>200</v>
      </c>
      <c r="L38" s="55">
        <v>275</v>
      </c>
      <c r="M38" s="55">
        <v>100</v>
      </c>
      <c r="N38" s="55">
        <v>180</v>
      </c>
      <c r="O38" s="55">
        <v>210</v>
      </c>
      <c r="P38" s="55">
        <v>440</v>
      </c>
      <c r="Q38" s="55">
        <v>20</v>
      </c>
      <c r="R38" s="55">
        <v>40</v>
      </c>
      <c r="S38" s="55">
        <v>180</v>
      </c>
      <c r="T38" s="55">
        <v>48</v>
      </c>
      <c r="U38" s="55">
        <v>30</v>
      </c>
      <c r="V38" s="55">
        <v>84</v>
      </c>
      <c r="W38" s="55">
        <v>0</v>
      </c>
      <c r="X38" s="55">
        <v>0</v>
      </c>
      <c r="Y38" s="55">
        <v>119</v>
      </c>
      <c r="Z38" s="55">
        <v>312</v>
      </c>
      <c r="AA38" s="55">
        <v>0</v>
      </c>
      <c r="AB38" s="55">
        <v>100</v>
      </c>
      <c r="AC38" s="55">
        <v>100</v>
      </c>
      <c r="AD38" s="55">
        <v>250</v>
      </c>
      <c r="AE38" s="55">
        <v>50</v>
      </c>
      <c r="AF38" s="55">
        <v>0</v>
      </c>
      <c r="AG38" s="55">
        <v>69</v>
      </c>
      <c r="AH38" s="55">
        <v>99</v>
      </c>
      <c r="AI38" s="55">
        <v>411</v>
      </c>
      <c r="AJ38" s="55">
        <v>156</v>
      </c>
      <c r="AK38" s="55">
        <v>0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</row>
    <row r="39" spans="1:44">
      <c r="A39" s="164"/>
      <c r="B39" s="94" t="s">
        <v>149</v>
      </c>
      <c r="C39" s="166"/>
      <c r="D39" s="180">
        <f t="shared" ref="D39:AR39" si="4">D37/D26</f>
        <v>0</v>
      </c>
      <c r="E39" s="170" t="e">
        <f t="shared" si="4"/>
        <v>#DIV/0!</v>
      </c>
      <c r="F39" s="170" t="e">
        <f t="shared" si="4"/>
        <v>#DIV/0!</v>
      </c>
      <c r="G39" s="170" t="e">
        <f t="shared" si="4"/>
        <v>#DIV/0!</v>
      </c>
      <c r="H39" s="170">
        <f t="shared" si="4"/>
        <v>0</v>
      </c>
      <c r="I39" s="170" t="e">
        <f t="shared" si="4"/>
        <v>#DIV/0!</v>
      </c>
      <c r="J39" s="170">
        <f t="shared" si="4"/>
        <v>0</v>
      </c>
      <c r="K39" s="170">
        <f t="shared" si="4"/>
        <v>0</v>
      </c>
      <c r="L39" s="170">
        <f t="shared" si="4"/>
        <v>0</v>
      </c>
      <c r="M39" s="170">
        <f t="shared" si="4"/>
        <v>0</v>
      </c>
      <c r="N39" s="170">
        <f t="shared" si="4"/>
        <v>0</v>
      </c>
      <c r="O39" s="170">
        <f t="shared" si="4"/>
        <v>0</v>
      </c>
      <c r="P39" s="170">
        <f t="shared" si="4"/>
        <v>0</v>
      </c>
      <c r="Q39" s="170">
        <f t="shared" si="4"/>
        <v>0</v>
      </c>
      <c r="R39" s="170">
        <f t="shared" si="4"/>
        <v>0</v>
      </c>
      <c r="S39" s="170">
        <f t="shared" si="4"/>
        <v>0</v>
      </c>
      <c r="T39" s="170">
        <f t="shared" si="4"/>
        <v>0</v>
      </c>
      <c r="U39" s="170">
        <f t="shared" si="4"/>
        <v>0</v>
      </c>
      <c r="V39" s="170">
        <f t="shared" si="4"/>
        <v>0</v>
      </c>
      <c r="W39" s="170">
        <f t="shared" si="4"/>
        <v>0</v>
      </c>
      <c r="X39" s="170">
        <f t="shared" si="4"/>
        <v>0</v>
      </c>
      <c r="Y39" s="170">
        <f t="shared" si="4"/>
        <v>0</v>
      </c>
      <c r="Z39" s="170">
        <f t="shared" si="4"/>
        <v>0</v>
      </c>
      <c r="AA39" s="170">
        <f t="shared" si="4"/>
        <v>0</v>
      </c>
      <c r="AB39" s="170">
        <f t="shared" si="4"/>
        <v>0</v>
      </c>
      <c r="AC39" s="170">
        <f t="shared" si="4"/>
        <v>0</v>
      </c>
      <c r="AD39" s="170">
        <f t="shared" si="4"/>
        <v>0</v>
      </c>
      <c r="AE39" s="170">
        <f t="shared" si="4"/>
        <v>0</v>
      </c>
      <c r="AF39" s="170">
        <f t="shared" si="4"/>
        <v>0</v>
      </c>
      <c r="AG39" s="170">
        <f t="shared" si="4"/>
        <v>0</v>
      </c>
      <c r="AH39" s="170">
        <f t="shared" si="4"/>
        <v>0</v>
      </c>
      <c r="AI39" s="170">
        <f t="shared" si="4"/>
        <v>0</v>
      </c>
      <c r="AJ39" s="170">
        <f t="shared" si="4"/>
        <v>0</v>
      </c>
      <c r="AK39" s="170" t="e">
        <f t="shared" si="4"/>
        <v>#DIV/0!</v>
      </c>
      <c r="AL39" s="170" t="e">
        <f t="shared" si="4"/>
        <v>#DIV/0!</v>
      </c>
      <c r="AM39" s="170" t="e">
        <f t="shared" si="4"/>
        <v>#DIV/0!</v>
      </c>
      <c r="AN39" s="170" t="e">
        <f t="shared" si="4"/>
        <v>#DIV/0!</v>
      </c>
      <c r="AO39" s="170" t="e">
        <f t="shared" si="4"/>
        <v>#DIV/0!</v>
      </c>
      <c r="AP39" s="170" t="e">
        <f t="shared" si="4"/>
        <v>#DIV/0!</v>
      </c>
      <c r="AQ39" s="170" t="e">
        <f t="shared" si="4"/>
        <v>#DIV/0!</v>
      </c>
      <c r="AR39" s="170" t="e">
        <f t="shared" si="4"/>
        <v>#DIV/0!</v>
      </c>
    </row>
    <row r="40" spans="1:44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</row>
    <row r="41" spans="1:44">
      <c r="A41" s="324" t="s">
        <v>60</v>
      </c>
      <c r="B41" s="50" t="s">
        <v>61</v>
      </c>
      <c r="C41" s="91" t="s">
        <v>62</v>
      </c>
      <c r="D41" s="81">
        <f>SUM(E41:AR41)</f>
        <v>438000</v>
      </c>
      <c r="E41" s="86"/>
      <c r="F41" s="86">
        <v>4000</v>
      </c>
      <c r="G41" s="86">
        <v>12000</v>
      </c>
      <c r="H41" s="86">
        <v>14000</v>
      </c>
      <c r="I41" s="86">
        <v>10000</v>
      </c>
      <c r="J41" s="86">
        <v>10000</v>
      </c>
      <c r="K41" s="86">
        <v>14000</v>
      </c>
      <c r="L41" s="86">
        <v>14000</v>
      </c>
      <c r="M41" s="86">
        <v>15000</v>
      </c>
      <c r="N41" s="86">
        <v>15000</v>
      </c>
      <c r="O41" s="86">
        <v>16000</v>
      </c>
      <c r="P41" s="86">
        <v>18000</v>
      </c>
      <c r="Q41" s="86">
        <v>16000</v>
      </c>
      <c r="R41" s="86">
        <v>17000</v>
      </c>
      <c r="S41" s="86">
        <v>15000</v>
      </c>
      <c r="T41" s="86">
        <v>14000</v>
      </c>
      <c r="U41" s="86">
        <v>16000</v>
      </c>
      <c r="V41" s="86">
        <v>16000</v>
      </c>
      <c r="W41" s="86">
        <v>8000</v>
      </c>
      <c r="X41" s="86">
        <v>12000</v>
      </c>
      <c r="Y41" s="86">
        <v>16000</v>
      </c>
      <c r="Z41" s="86">
        <v>15000</v>
      </c>
      <c r="AA41" s="86">
        <v>15000</v>
      </c>
      <c r="AB41" s="86">
        <v>16000</v>
      </c>
      <c r="AC41" s="86">
        <v>14000</v>
      </c>
      <c r="AD41" s="86">
        <v>16000</v>
      </c>
      <c r="AE41" s="86">
        <v>13000</v>
      </c>
      <c r="AF41" s="86">
        <v>9000</v>
      </c>
      <c r="AG41" s="86">
        <v>16000</v>
      </c>
      <c r="AH41" s="86">
        <v>16000</v>
      </c>
      <c r="AI41" s="86">
        <v>15000</v>
      </c>
      <c r="AJ41" s="86">
        <v>12000</v>
      </c>
      <c r="AK41" s="86">
        <v>9000</v>
      </c>
      <c r="AL41" s="86">
        <v>0</v>
      </c>
      <c r="AM41" s="86">
        <v>0</v>
      </c>
      <c r="AN41" s="86">
        <v>0</v>
      </c>
      <c r="AO41" s="86">
        <v>0</v>
      </c>
      <c r="AP41" s="86">
        <v>0</v>
      </c>
      <c r="AQ41" s="86">
        <v>0</v>
      </c>
      <c r="AR41" s="86">
        <v>0</v>
      </c>
    </row>
    <row r="42" spans="1:44">
      <c r="A42" s="325"/>
      <c r="B42" s="39" t="s">
        <v>63</v>
      </c>
      <c r="C42" s="92" t="s">
        <v>62</v>
      </c>
      <c r="D42" s="82">
        <f>SUM(E42:AR42)</f>
        <v>600</v>
      </c>
      <c r="E42" s="87">
        <v>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100</v>
      </c>
      <c r="M42" s="87">
        <v>0</v>
      </c>
      <c r="N42" s="87">
        <v>0</v>
      </c>
      <c r="O42" s="87">
        <v>0</v>
      </c>
      <c r="P42" s="87">
        <v>0</v>
      </c>
      <c r="Q42" s="87">
        <v>100</v>
      </c>
      <c r="R42" s="87">
        <v>0</v>
      </c>
      <c r="S42" s="87">
        <v>0</v>
      </c>
      <c r="T42" s="87">
        <v>0</v>
      </c>
      <c r="U42" s="87">
        <v>0</v>
      </c>
      <c r="V42" s="87">
        <v>100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100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200</v>
      </c>
      <c r="AI42" s="87">
        <v>0</v>
      </c>
      <c r="AJ42" s="87"/>
      <c r="AK42" s="87">
        <v>0</v>
      </c>
      <c r="AL42" s="87"/>
      <c r="AM42" s="87">
        <v>0</v>
      </c>
      <c r="AN42" s="87">
        <v>0</v>
      </c>
      <c r="AO42" s="87">
        <v>0</v>
      </c>
      <c r="AP42" s="87">
        <v>0</v>
      </c>
      <c r="AQ42" s="87">
        <v>0</v>
      </c>
      <c r="AR42" s="87">
        <v>0</v>
      </c>
    </row>
    <row r="44" spans="1:44">
      <c r="B44" s="167" t="s">
        <v>240</v>
      </c>
      <c r="C44" s="184" t="s">
        <v>241</v>
      </c>
      <c r="D44" s="187">
        <f>D41/D26</f>
        <v>0.74548623403502079</v>
      </c>
      <c r="E44" s="185" t="e">
        <f t="shared" ref="E44:AR44" si="5">E41/E26</f>
        <v>#DIV/0!</v>
      </c>
      <c r="F44" s="188" t="e">
        <f t="shared" si="5"/>
        <v>#DIV/0!</v>
      </c>
      <c r="G44" s="186" t="e">
        <f t="shared" si="5"/>
        <v>#DIV/0!</v>
      </c>
      <c r="H44" s="188">
        <f t="shared" si="5"/>
        <v>0.30328632395312061</v>
      </c>
      <c r="I44" s="186" t="e">
        <f t="shared" si="5"/>
        <v>#DIV/0!</v>
      </c>
      <c r="J44" s="188">
        <f t="shared" si="5"/>
        <v>0.82767753683165035</v>
      </c>
      <c r="K44" s="186">
        <f t="shared" si="5"/>
        <v>1.0158177332752867</v>
      </c>
      <c r="L44" s="188">
        <f t="shared" si="5"/>
        <v>0.4811161895597787</v>
      </c>
      <c r="M44" s="186">
        <f t="shared" si="5"/>
        <v>0.38389680853786501</v>
      </c>
      <c r="N44" s="188">
        <f t="shared" si="5"/>
        <v>0.90689238210399037</v>
      </c>
      <c r="O44" s="186">
        <f t="shared" si="5"/>
        <v>0.4599683771740693</v>
      </c>
      <c r="P44" s="188">
        <f t="shared" si="5"/>
        <v>0.42240630793419848</v>
      </c>
      <c r="Q44" s="186">
        <f t="shared" si="5"/>
        <v>0.65173116089613037</v>
      </c>
      <c r="R44" s="188">
        <f t="shared" si="5"/>
        <v>0.52131248083409998</v>
      </c>
      <c r="S44" s="186">
        <f t="shared" si="5"/>
        <v>0.67036110117983549</v>
      </c>
      <c r="T44" s="188">
        <f t="shared" si="5"/>
        <v>3.8115981486523278</v>
      </c>
      <c r="U44" s="186">
        <f t="shared" si="5"/>
        <v>0.67613252197430695</v>
      </c>
      <c r="V44" s="188">
        <f t="shared" si="5"/>
        <v>1.3204588594536601</v>
      </c>
      <c r="W44" s="186">
        <f t="shared" si="5"/>
        <v>2.1697857336588013</v>
      </c>
      <c r="X44" s="188">
        <f t="shared" si="5"/>
        <v>1.9144862795149968</v>
      </c>
      <c r="Y44" s="186">
        <f t="shared" si="5"/>
        <v>1.3809770412566891</v>
      </c>
      <c r="Z44" s="188">
        <f t="shared" si="5"/>
        <v>0.90508658661678631</v>
      </c>
      <c r="AA44" s="186">
        <f t="shared" si="5"/>
        <v>1.3971684053651268</v>
      </c>
      <c r="AB44" s="188">
        <f t="shared" si="5"/>
        <v>0.91188874957255217</v>
      </c>
      <c r="AC44" s="186">
        <f t="shared" si="5"/>
        <v>1.0830045640906629</v>
      </c>
      <c r="AD44" s="188">
        <f t="shared" si="5"/>
        <v>0.67891543259642717</v>
      </c>
      <c r="AE44" s="186">
        <f t="shared" si="5"/>
        <v>0.53515560678412644</v>
      </c>
      <c r="AF44" s="188">
        <f t="shared" si="5"/>
        <v>1.4913007456503728</v>
      </c>
      <c r="AG44" s="186">
        <f t="shared" si="5"/>
        <v>0.43561121698883748</v>
      </c>
      <c r="AH44" s="188">
        <f t="shared" si="5"/>
        <v>0.43072118879048105</v>
      </c>
      <c r="AI44" s="186">
        <f t="shared" si="5"/>
        <v>0.72028811524609848</v>
      </c>
      <c r="AJ44" s="188">
        <f t="shared" si="5"/>
        <v>1.8484288354898337</v>
      </c>
      <c r="AK44" s="186" t="e">
        <f t="shared" si="5"/>
        <v>#DIV/0!</v>
      </c>
      <c r="AL44" s="188" t="e">
        <f t="shared" si="5"/>
        <v>#DIV/0!</v>
      </c>
      <c r="AM44" s="186" t="e">
        <f t="shared" si="5"/>
        <v>#DIV/0!</v>
      </c>
      <c r="AN44" s="188" t="e">
        <f t="shared" si="5"/>
        <v>#DIV/0!</v>
      </c>
      <c r="AO44" s="186" t="e">
        <f t="shared" si="5"/>
        <v>#DIV/0!</v>
      </c>
      <c r="AP44" s="188" t="e">
        <f t="shared" si="5"/>
        <v>#DIV/0!</v>
      </c>
      <c r="AQ44" s="186" t="e">
        <f t="shared" si="5"/>
        <v>#DIV/0!</v>
      </c>
      <c r="AR44" s="188" t="e">
        <f t="shared" si="5"/>
        <v>#DIV/0!</v>
      </c>
    </row>
    <row r="46" spans="1:44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</row>
    <row r="47" spans="1:44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</row>
    <row r="48" spans="1:44">
      <c r="A48" s="313"/>
      <c r="B48" s="94" t="s">
        <v>67</v>
      </c>
      <c r="C48" s="38" t="s">
        <v>8</v>
      </c>
      <c r="D48" s="182">
        <f t="shared" ref="D48:D51" si="6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</row>
    <row r="49" spans="1:44">
      <c r="A49" s="313"/>
      <c r="B49" s="95" t="s">
        <v>68</v>
      </c>
      <c r="C49" s="40" t="s">
        <v>8</v>
      </c>
      <c r="D49" s="182">
        <f t="shared" si="6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</row>
    <row r="50" spans="1:44">
      <c r="A50" s="313"/>
      <c r="B50" s="93" t="s">
        <v>69</v>
      </c>
      <c r="C50" s="91" t="s">
        <v>48</v>
      </c>
      <c r="D50" s="181">
        <f t="shared" si="6"/>
        <v>230000</v>
      </c>
      <c r="E50" s="86">
        <v>0</v>
      </c>
      <c r="F50" s="86"/>
      <c r="G50" s="86"/>
      <c r="H50" s="86"/>
      <c r="I50" s="86"/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40000</v>
      </c>
      <c r="Q50" s="86">
        <v>0</v>
      </c>
      <c r="R50" s="86">
        <v>0</v>
      </c>
      <c r="S50" s="86">
        <v>45000</v>
      </c>
      <c r="T50" s="86">
        <v>20000</v>
      </c>
      <c r="U50" s="86">
        <v>40000</v>
      </c>
      <c r="V50" s="86">
        <v>20000</v>
      </c>
      <c r="W50" s="86">
        <v>0</v>
      </c>
      <c r="X50" s="86">
        <v>0</v>
      </c>
      <c r="Y50" s="86">
        <v>5000</v>
      </c>
      <c r="Z50" s="86">
        <v>0</v>
      </c>
      <c r="AA50" s="86">
        <v>0</v>
      </c>
      <c r="AB50" s="86">
        <v>30000</v>
      </c>
      <c r="AC50" s="86"/>
      <c r="AD50" s="86">
        <v>0</v>
      </c>
      <c r="AE50" s="86">
        <v>0</v>
      </c>
      <c r="AF50" s="86">
        <v>0</v>
      </c>
      <c r="AG50" s="86">
        <v>0</v>
      </c>
      <c r="AH50" s="86">
        <v>30000</v>
      </c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</row>
    <row r="51" spans="1:44">
      <c r="A51" s="314"/>
      <c r="B51" s="95" t="s">
        <v>70</v>
      </c>
      <c r="C51" s="92" t="s">
        <v>559</v>
      </c>
      <c r="D51" s="183">
        <f t="shared" si="6"/>
        <v>11000</v>
      </c>
      <c r="E51" s="87">
        <v>0</v>
      </c>
      <c r="F51" s="87"/>
      <c r="G51" s="87"/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6000</v>
      </c>
      <c r="Q51" s="87">
        <v>0</v>
      </c>
      <c r="R51" s="87">
        <v>0</v>
      </c>
      <c r="S51" s="87">
        <v>2000</v>
      </c>
      <c r="T51" s="87">
        <v>0</v>
      </c>
      <c r="U51" s="87">
        <v>0</v>
      </c>
      <c r="V51" s="87">
        <v>1000</v>
      </c>
      <c r="W51" s="87">
        <v>0</v>
      </c>
      <c r="X51" s="87">
        <v>0</v>
      </c>
      <c r="Y51" s="87">
        <v>500</v>
      </c>
      <c r="Z51" s="87">
        <v>0</v>
      </c>
      <c r="AA51" s="87">
        <v>0</v>
      </c>
      <c r="AB51" s="87">
        <v>1500</v>
      </c>
      <c r="AC51" s="87"/>
      <c r="AD51" s="87">
        <v>0</v>
      </c>
      <c r="AE51" s="87">
        <v>0</v>
      </c>
      <c r="AF51" s="87">
        <v>0</v>
      </c>
      <c r="AG51" s="87">
        <v>0</v>
      </c>
      <c r="AH51" s="87"/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</row>
    <row r="52" spans="1:44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</row>
    <row r="54" spans="1:44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</row>
    <row r="55" spans="1:44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</row>
    <row r="56" spans="1:44">
      <c r="A56" s="316"/>
      <c r="B56" s="37" t="s">
        <v>76</v>
      </c>
      <c r="C56" s="51" t="s">
        <v>75</v>
      </c>
      <c r="D56" s="8" t="s">
        <v>75</v>
      </c>
      <c r="E56" s="8" t="s">
        <v>560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</row>
    <row r="57" spans="1:44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75</v>
      </c>
      <c r="AQ57" s="9" t="s">
        <v>75</v>
      </c>
      <c r="AR57" s="9" t="s">
        <v>75</v>
      </c>
    </row>
    <row r="59" spans="1:44" ht="15.75">
      <c r="B59" s="53" t="s">
        <v>83</v>
      </c>
      <c r="C59" s="99" t="s">
        <v>84</v>
      </c>
      <c r="D59" s="100">
        <f>SUM(D60:D72)</f>
        <v>18705176.100000001</v>
      </c>
      <c r="E59" s="101">
        <f>SUM(E60:E72)</f>
        <v>0</v>
      </c>
      <c r="F59" s="101">
        <f t="shared" ref="F59:AR59" si="7">SUM(F60:F72)</f>
        <v>0</v>
      </c>
      <c r="G59" s="101">
        <f t="shared" si="7"/>
        <v>0</v>
      </c>
      <c r="H59" s="101">
        <f t="shared" si="7"/>
        <v>1736793</v>
      </c>
      <c r="I59" s="101">
        <f t="shared" si="7"/>
        <v>0</v>
      </c>
      <c r="J59" s="101">
        <f t="shared" si="7"/>
        <v>387556</v>
      </c>
      <c r="K59" s="101">
        <f t="shared" si="7"/>
        <v>484944</v>
      </c>
      <c r="L59" s="101">
        <f t="shared" si="7"/>
        <v>969996</v>
      </c>
      <c r="M59" s="101">
        <f t="shared" si="7"/>
        <v>897695</v>
      </c>
      <c r="N59" s="101">
        <f t="shared" si="7"/>
        <v>442050</v>
      </c>
      <c r="O59" s="101">
        <f t="shared" si="7"/>
        <v>903573</v>
      </c>
      <c r="P59" s="101">
        <f t="shared" si="7"/>
        <v>1021181</v>
      </c>
      <c r="Q59" s="101">
        <f t="shared" si="7"/>
        <v>607268</v>
      </c>
      <c r="R59" s="101">
        <f t="shared" si="7"/>
        <v>777534</v>
      </c>
      <c r="S59" s="101">
        <f t="shared" si="7"/>
        <v>583180</v>
      </c>
      <c r="T59" s="101">
        <f t="shared" si="7"/>
        <v>99011</v>
      </c>
      <c r="U59" s="101">
        <f t="shared" si="7"/>
        <v>620640</v>
      </c>
      <c r="V59" s="101">
        <f t="shared" si="7"/>
        <v>349203</v>
      </c>
      <c r="W59" s="101">
        <f t="shared" si="7"/>
        <v>89181</v>
      </c>
      <c r="X59" s="101">
        <f t="shared" si="7"/>
        <v>156836</v>
      </c>
      <c r="Y59" s="101">
        <f t="shared" si="7"/>
        <v>300849</v>
      </c>
      <c r="Z59" s="101">
        <f t="shared" si="7"/>
        <v>409571</v>
      </c>
      <c r="AA59" s="101">
        <f t="shared" si="7"/>
        <v>455443.20000000001</v>
      </c>
      <c r="AB59" s="101">
        <f t="shared" si="7"/>
        <v>870294.4</v>
      </c>
      <c r="AC59" s="101">
        <f t="shared" si="7"/>
        <v>586255.4</v>
      </c>
      <c r="AD59" s="101">
        <f t="shared" si="7"/>
        <v>1200907.8</v>
      </c>
      <c r="AE59" s="101">
        <f t="shared" si="7"/>
        <v>1079000.1000000001</v>
      </c>
      <c r="AF59" s="101">
        <f t="shared" si="7"/>
        <v>273713.59999999998</v>
      </c>
      <c r="AG59" s="101">
        <f t="shared" si="7"/>
        <v>850511</v>
      </c>
      <c r="AH59" s="101">
        <f t="shared" si="7"/>
        <v>1100335.6000000001</v>
      </c>
      <c r="AI59" s="101">
        <f t="shared" si="7"/>
        <v>496624</v>
      </c>
      <c r="AJ59" s="101">
        <f t="shared" si="7"/>
        <v>150030</v>
      </c>
      <c r="AK59" s="101">
        <f t="shared" si="7"/>
        <v>0</v>
      </c>
      <c r="AL59" s="101">
        <f t="shared" si="7"/>
        <v>0</v>
      </c>
      <c r="AM59" s="101">
        <f t="shared" si="7"/>
        <v>0</v>
      </c>
      <c r="AN59" s="101">
        <f t="shared" si="7"/>
        <v>0</v>
      </c>
      <c r="AO59" s="101">
        <f t="shared" si="7"/>
        <v>0</v>
      </c>
      <c r="AP59" s="101">
        <f t="shared" si="7"/>
        <v>0</v>
      </c>
      <c r="AQ59" s="101">
        <f t="shared" si="7"/>
        <v>0</v>
      </c>
      <c r="AR59" s="101">
        <f t="shared" si="7"/>
        <v>0</v>
      </c>
    </row>
    <row r="60" spans="1:44">
      <c r="B60" s="96" t="s">
        <v>47</v>
      </c>
      <c r="C60" s="111">
        <v>53</v>
      </c>
      <c r="D60" s="97">
        <f>D27*$C60</f>
        <v>6434359</v>
      </c>
      <c r="E60" s="104">
        <f t="shared" ref="E60:AR71" si="8">E27*$C60</f>
        <v>0</v>
      </c>
      <c r="F60" s="104">
        <f t="shared" si="8"/>
        <v>0</v>
      </c>
      <c r="G60" s="104">
        <f t="shared" si="8"/>
        <v>0</v>
      </c>
      <c r="H60" s="104">
        <f t="shared" si="8"/>
        <v>721913</v>
      </c>
      <c r="I60" s="104">
        <f t="shared" si="8"/>
        <v>0</v>
      </c>
      <c r="J60" s="104">
        <f t="shared" si="8"/>
        <v>268074</v>
      </c>
      <c r="K60" s="104">
        <f t="shared" si="8"/>
        <v>351231</v>
      </c>
      <c r="L60" s="104">
        <f t="shared" si="8"/>
        <v>746717</v>
      </c>
      <c r="M60" s="104">
        <f t="shared" si="8"/>
        <v>239613</v>
      </c>
      <c r="N60" s="104">
        <f t="shared" si="8"/>
        <v>129744</v>
      </c>
      <c r="O60" s="104">
        <f t="shared" si="8"/>
        <v>221487</v>
      </c>
      <c r="P60" s="104">
        <f t="shared" si="8"/>
        <v>83475</v>
      </c>
      <c r="Q60" s="104">
        <f t="shared" si="8"/>
        <v>82150</v>
      </c>
      <c r="R60" s="104">
        <f t="shared" si="8"/>
        <v>55438</v>
      </c>
      <c r="S60" s="104">
        <f t="shared" si="8"/>
        <v>135256</v>
      </c>
      <c r="T60" s="104">
        <f t="shared" si="8"/>
        <v>27772</v>
      </c>
      <c r="U60" s="104">
        <f t="shared" si="8"/>
        <v>142994</v>
      </c>
      <c r="V60" s="104">
        <f t="shared" si="8"/>
        <v>130009</v>
      </c>
      <c r="W60" s="104">
        <f t="shared" si="8"/>
        <v>7738</v>
      </c>
      <c r="X60" s="104">
        <f t="shared" si="8"/>
        <v>22896</v>
      </c>
      <c r="Y60" s="104">
        <f t="shared" si="8"/>
        <v>78599</v>
      </c>
      <c r="Z60" s="104">
        <f t="shared" si="8"/>
        <v>67681</v>
      </c>
      <c r="AA60" s="104">
        <f t="shared" si="8"/>
        <v>357167</v>
      </c>
      <c r="AB60" s="104">
        <f t="shared" si="8"/>
        <v>777351</v>
      </c>
      <c r="AC60" s="104">
        <f t="shared" si="8"/>
        <v>491257</v>
      </c>
      <c r="AD60" s="104">
        <f t="shared" si="8"/>
        <v>1132928</v>
      </c>
      <c r="AE60" s="104">
        <f t="shared" si="8"/>
        <v>56710</v>
      </c>
      <c r="AF60" s="104">
        <f t="shared" si="8"/>
        <v>0</v>
      </c>
      <c r="AG60" s="104">
        <f t="shared" si="8"/>
        <v>13780</v>
      </c>
      <c r="AH60" s="104">
        <f t="shared" si="8"/>
        <v>44308</v>
      </c>
      <c r="AI60" s="104">
        <f t="shared" si="8"/>
        <v>35457</v>
      </c>
      <c r="AJ60" s="104">
        <f t="shared" si="8"/>
        <v>12614</v>
      </c>
      <c r="AK60" s="104">
        <f t="shared" si="8"/>
        <v>0</v>
      </c>
      <c r="AL60" s="104">
        <f t="shared" si="8"/>
        <v>0</v>
      </c>
      <c r="AM60" s="104">
        <f t="shared" si="8"/>
        <v>0</v>
      </c>
      <c r="AN60" s="104">
        <f t="shared" si="8"/>
        <v>0</v>
      </c>
      <c r="AO60" s="104">
        <f t="shared" si="8"/>
        <v>0</v>
      </c>
      <c r="AP60" s="104">
        <f t="shared" si="8"/>
        <v>0</v>
      </c>
      <c r="AQ60" s="104">
        <f t="shared" si="8"/>
        <v>0</v>
      </c>
      <c r="AR60" s="104">
        <f t="shared" si="8"/>
        <v>0</v>
      </c>
    </row>
    <row r="61" spans="1:44">
      <c r="B61" s="96" t="s">
        <v>49</v>
      </c>
      <c r="C61" s="111">
        <v>32</v>
      </c>
      <c r="D61" s="97">
        <f t="shared" ref="D61:AJ68" si="9">D28*$C61</f>
        <v>1246464</v>
      </c>
      <c r="E61" s="104">
        <f t="shared" si="9"/>
        <v>0</v>
      </c>
      <c r="F61" s="104">
        <f t="shared" si="9"/>
        <v>0</v>
      </c>
      <c r="G61" s="104">
        <f t="shared" si="9"/>
        <v>0</v>
      </c>
      <c r="H61" s="104">
        <f t="shared" si="9"/>
        <v>1006080</v>
      </c>
      <c r="I61" s="104">
        <f t="shared" si="9"/>
        <v>0</v>
      </c>
      <c r="J61" s="104">
        <f t="shared" si="9"/>
        <v>47616</v>
      </c>
      <c r="K61" s="104">
        <f t="shared" si="9"/>
        <v>16896</v>
      </c>
      <c r="L61" s="104">
        <f t="shared" si="9"/>
        <v>10752</v>
      </c>
      <c r="M61" s="104">
        <f t="shared" si="9"/>
        <v>0</v>
      </c>
      <c r="N61" s="104">
        <f t="shared" si="9"/>
        <v>21504</v>
      </c>
      <c r="O61" s="104">
        <f t="shared" si="9"/>
        <v>17664</v>
      </c>
      <c r="P61" s="104">
        <f t="shared" si="9"/>
        <v>1536</v>
      </c>
      <c r="Q61" s="104">
        <f t="shared" si="9"/>
        <v>3072</v>
      </c>
      <c r="R61" s="104">
        <f t="shared" si="9"/>
        <v>0</v>
      </c>
      <c r="S61" s="104">
        <f t="shared" si="9"/>
        <v>7680</v>
      </c>
      <c r="T61" s="104">
        <f t="shared" si="9"/>
        <v>0</v>
      </c>
      <c r="U61" s="104">
        <f t="shared" si="9"/>
        <v>6144</v>
      </c>
      <c r="V61" s="104">
        <f t="shared" si="9"/>
        <v>7680</v>
      </c>
      <c r="W61" s="104">
        <f t="shared" si="9"/>
        <v>0</v>
      </c>
      <c r="X61" s="104">
        <f t="shared" si="9"/>
        <v>2304</v>
      </c>
      <c r="Y61" s="104">
        <f t="shared" si="9"/>
        <v>6144</v>
      </c>
      <c r="Z61" s="104">
        <f t="shared" si="9"/>
        <v>13824</v>
      </c>
      <c r="AA61" s="104">
        <f t="shared" si="9"/>
        <v>1536</v>
      </c>
      <c r="AB61" s="104">
        <f t="shared" si="9"/>
        <v>3072</v>
      </c>
      <c r="AC61" s="104">
        <f t="shared" si="9"/>
        <v>0</v>
      </c>
      <c r="AD61" s="104">
        <f t="shared" si="9"/>
        <v>13824</v>
      </c>
      <c r="AE61" s="104">
        <f t="shared" si="9"/>
        <v>0</v>
      </c>
      <c r="AF61" s="104">
        <f t="shared" si="9"/>
        <v>0</v>
      </c>
      <c r="AG61" s="104">
        <f t="shared" si="9"/>
        <v>4608</v>
      </c>
      <c r="AH61" s="104">
        <f t="shared" si="9"/>
        <v>29952</v>
      </c>
      <c r="AI61" s="104">
        <f t="shared" si="9"/>
        <v>19968</v>
      </c>
      <c r="AJ61" s="104">
        <f t="shared" si="9"/>
        <v>4608</v>
      </c>
      <c r="AK61" s="104">
        <f t="shared" si="8"/>
        <v>0</v>
      </c>
      <c r="AL61" s="104">
        <f t="shared" si="8"/>
        <v>0</v>
      </c>
      <c r="AM61" s="104">
        <f t="shared" si="8"/>
        <v>0</v>
      </c>
      <c r="AN61" s="104">
        <f t="shared" si="8"/>
        <v>0</v>
      </c>
      <c r="AO61" s="104">
        <f t="shared" si="8"/>
        <v>0</v>
      </c>
      <c r="AP61" s="104">
        <f t="shared" si="8"/>
        <v>0</v>
      </c>
      <c r="AQ61" s="104">
        <f t="shared" si="8"/>
        <v>0</v>
      </c>
      <c r="AR61" s="104">
        <f t="shared" si="8"/>
        <v>0</v>
      </c>
    </row>
    <row r="62" spans="1:44">
      <c r="B62" s="96" t="s">
        <v>50</v>
      </c>
      <c r="C62" s="111">
        <v>23</v>
      </c>
      <c r="D62" s="97">
        <f t="shared" si="9"/>
        <v>7209994</v>
      </c>
      <c r="E62" s="104">
        <f t="shared" si="9"/>
        <v>0</v>
      </c>
      <c r="F62" s="104">
        <f t="shared" si="9"/>
        <v>0</v>
      </c>
      <c r="G62" s="104">
        <f t="shared" si="9"/>
        <v>0</v>
      </c>
      <c r="H62" s="104">
        <f t="shared" si="9"/>
        <v>0</v>
      </c>
      <c r="I62" s="104">
        <f t="shared" si="9"/>
        <v>0</v>
      </c>
      <c r="J62" s="104">
        <f t="shared" si="9"/>
        <v>31326</v>
      </c>
      <c r="K62" s="104">
        <f t="shared" si="9"/>
        <v>90137</v>
      </c>
      <c r="L62" s="104">
        <f t="shared" si="9"/>
        <v>108307</v>
      </c>
      <c r="M62" s="104">
        <f t="shared" si="9"/>
        <v>38778</v>
      </c>
      <c r="N62" s="104">
        <f t="shared" si="9"/>
        <v>277702</v>
      </c>
      <c r="O62" s="104">
        <f t="shared" si="9"/>
        <v>608994</v>
      </c>
      <c r="P62" s="104">
        <f t="shared" si="9"/>
        <v>932650</v>
      </c>
      <c r="Q62" s="104">
        <f t="shared" si="9"/>
        <v>518466</v>
      </c>
      <c r="R62" s="104">
        <f t="shared" si="9"/>
        <v>719256</v>
      </c>
      <c r="S62" s="104">
        <f t="shared" si="9"/>
        <v>433044</v>
      </c>
      <c r="T62" s="104">
        <f t="shared" si="9"/>
        <v>70495</v>
      </c>
      <c r="U62" s="104">
        <f t="shared" si="9"/>
        <v>466762</v>
      </c>
      <c r="V62" s="104">
        <f t="shared" si="9"/>
        <v>207782</v>
      </c>
      <c r="W62" s="104">
        <f t="shared" si="9"/>
        <v>81443</v>
      </c>
      <c r="X62" s="104">
        <f t="shared" si="9"/>
        <v>130916</v>
      </c>
      <c r="Y62" s="104">
        <f t="shared" si="9"/>
        <v>207414</v>
      </c>
      <c r="Z62" s="104">
        <f t="shared" si="9"/>
        <v>318550</v>
      </c>
      <c r="AA62" s="104">
        <f t="shared" si="9"/>
        <v>0</v>
      </c>
      <c r="AB62" s="104">
        <f t="shared" si="9"/>
        <v>0</v>
      </c>
      <c r="AC62" s="104">
        <f t="shared" si="9"/>
        <v>0</v>
      </c>
      <c r="AD62" s="104">
        <f t="shared" si="9"/>
        <v>0</v>
      </c>
      <c r="AE62" s="104">
        <f t="shared" si="9"/>
        <v>0</v>
      </c>
      <c r="AF62" s="104">
        <f t="shared" si="9"/>
        <v>0</v>
      </c>
      <c r="AG62" s="104">
        <f t="shared" si="9"/>
        <v>829771</v>
      </c>
      <c r="AH62" s="104">
        <f t="shared" si="9"/>
        <v>574310</v>
      </c>
      <c r="AI62" s="104">
        <f t="shared" si="9"/>
        <v>436471</v>
      </c>
      <c r="AJ62" s="104">
        <f t="shared" si="9"/>
        <v>127420</v>
      </c>
      <c r="AK62" s="104">
        <f t="shared" si="8"/>
        <v>0</v>
      </c>
      <c r="AL62" s="104">
        <f t="shared" si="8"/>
        <v>0</v>
      </c>
      <c r="AM62" s="104">
        <f t="shared" si="8"/>
        <v>0</v>
      </c>
      <c r="AN62" s="104">
        <f t="shared" si="8"/>
        <v>0</v>
      </c>
      <c r="AO62" s="104">
        <f t="shared" si="8"/>
        <v>0</v>
      </c>
      <c r="AP62" s="104">
        <f t="shared" si="8"/>
        <v>0</v>
      </c>
      <c r="AQ62" s="104">
        <f t="shared" si="8"/>
        <v>0</v>
      </c>
      <c r="AR62" s="104">
        <f t="shared" si="8"/>
        <v>0</v>
      </c>
    </row>
    <row r="63" spans="1:44">
      <c r="B63" s="96" t="s">
        <v>51</v>
      </c>
      <c r="C63" s="111">
        <v>15</v>
      </c>
      <c r="D63" s="97">
        <f t="shared" si="9"/>
        <v>0</v>
      </c>
      <c r="E63" s="104">
        <f t="shared" si="9"/>
        <v>0</v>
      </c>
      <c r="F63" s="104">
        <f t="shared" si="9"/>
        <v>0</v>
      </c>
      <c r="G63" s="104">
        <f t="shared" si="9"/>
        <v>0</v>
      </c>
      <c r="H63" s="104">
        <f t="shared" si="9"/>
        <v>0</v>
      </c>
      <c r="I63" s="104">
        <f t="shared" si="9"/>
        <v>0</v>
      </c>
      <c r="J63" s="104">
        <f t="shared" si="9"/>
        <v>0</v>
      </c>
      <c r="K63" s="104">
        <f t="shared" si="9"/>
        <v>0</v>
      </c>
      <c r="L63" s="104">
        <f t="shared" si="9"/>
        <v>0</v>
      </c>
      <c r="M63" s="104">
        <f t="shared" si="9"/>
        <v>0</v>
      </c>
      <c r="N63" s="104">
        <f t="shared" si="9"/>
        <v>0</v>
      </c>
      <c r="O63" s="104">
        <f t="shared" si="9"/>
        <v>0</v>
      </c>
      <c r="P63" s="104">
        <f t="shared" si="9"/>
        <v>0</v>
      </c>
      <c r="Q63" s="104">
        <f t="shared" si="9"/>
        <v>0</v>
      </c>
      <c r="R63" s="104">
        <f t="shared" si="9"/>
        <v>0</v>
      </c>
      <c r="S63" s="104">
        <f t="shared" si="9"/>
        <v>0</v>
      </c>
      <c r="T63" s="104">
        <f t="shared" si="9"/>
        <v>0</v>
      </c>
      <c r="U63" s="104">
        <f t="shared" si="9"/>
        <v>0</v>
      </c>
      <c r="V63" s="104">
        <f t="shared" si="9"/>
        <v>0</v>
      </c>
      <c r="W63" s="104">
        <f t="shared" si="9"/>
        <v>0</v>
      </c>
      <c r="X63" s="104">
        <f t="shared" si="9"/>
        <v>0</v>
      </c>
      <c r="Y63" s="104">
        <f t="shared" si="9"/>
        <v>0</v>
      </c>
      <c r="Z63" s="104">
        <f t="shared" si="9"/>
        <v>0</v>
      </c>
      <c r="AA63" s="104">
        <f t="shared" si="9"/>
        <v>0</v>
      </c>
      <c r="AB63" s="104">
        <f t="shared" si="9"/>
        <v>0</v>
      </c>
      <c r="AC63" s="104">
        <f t="shared" si="9"/>
        <v>0</v>
      </c>
      <c r="AD63" s="104">
        <f t="shared" si="9"/>
        <v>0</v>
      </c>
      <c r="AE63" s="104">
        <f t="shared" si="9"/>
        <v>0</v>
      </c>
      <c r="AF63" s="104">
        <f t="shared" si="9"/>
        <v>0</v>
      </c>
      <c r="AG63" s="104">
        <f t="shared" si="9"/>
        <v>0</v>
      </c>
      <c r="AH63" s="104">
        <f t="shared" si="9"/>
        <v>0</v>
      </c>
      <c r="AI63" s="104">
        <f t="shared" si="9"/>
        <v>0</v>
      </c>
      <c r="AJ63" s="104">
        <f t="shared" si="9"/>
        <v>0</v>
      </c>
      <c r="AK63" s="104">
        <f t="shared" si="8"/>
        <v>0</v>
      </c>
      <c r="AL63" s="104">
        <f t="shared" si="8"/>
        <v>0</v>
      </c>
      <c r="AM63" s="104">
        <f t="shared" si="8"/>
        <v>0</v>
      </c>
      <c r="AN63" s="104">
        <f t="shared" si="8"/>
        <v>0</v>
      </c>
      <c r="AO63" s="104">
        <f t="shared" si="8"/>
        <v>0</v>
      </c>
      <c r="AP63" s="104">
        <f t="shared" si="8"/>
        <v>0</v>
      </c>
      <c r="AQ63" s="104">
        <f t="shared" si="8"/>
        <v>0</v>
      </c>
      <c r="AR63" s="104">
        <f t="shared" si="8"/>
        <v>0</v>
      </c>
    </row>
    <row r="64" spans="1:44">
      <c r="B64" s="96" t="s">
        <v>52</v>
      </c>
      <c r="C64" s="111">
        <v>10</v>
      </c>
      <c r="D64" s="97">
        <f t="shared" si="9"/>
        <v>286140</v>
      </c>
      <c r="E64" s="104">
        <f t="shared" si="9"/>
        <v>0</v>
      </c>
      <c r="F64" s="104">
        <f t="shared" si="9"/>
        <v>0</v>
      </c>
      <c r="G64" s="104">
        <f t="shared" si="9"/>
        <v>0</v>
      </c>
      <c r="H64" s="104">
        <f t="shared" si="9"/>
        <v>0</v>
      </c>
      <c r="I64" s="104">
        <f t="shared" si="9"/>
        <v>0</v>
      </c>
      <c r="J64" s="104">
        <f t="shared" si="9"/>
        <v>35740</v>
      </c>
      <c r="K64" s="104">
        <f t="shared" si="9"/>
        <v>25080</v>
      </c>
      <c r="L64" s="104">
        <f t="shared" si="9"/>
        <v>95620</v>
      </c>
      <c r="M64" s="104">
        <f t="shared" si="9"/>
        <v>4500</v>
      </c>
      <c r="N64" s="104">
        <f t="shared" si="9"/>
        <v>11660</v>
      </c>
      <c r="O64" s="104">
        <f t="shared" si="9"/>
        <v>11340</v>
      </c>
      <c r="P64" s="104">
        <f t="shared" si="9"/>
        <v>0</v>
      </c>
      <c r="Q64" s="104">
        <f t="shared" si="9"/>
        <v>3420</v>
      </c>
      <c r="R64" s="104">
        <f t="shared" si="9"/>
        <v>2520</v>
      </c>
      <c r="S64" s="104">
        <f t="shared" si="9"/>
        <v>5760</v>
      </c>
      <c r="T64" s="104">
        <f t="shared" si="9"/>
        <v>360</v>
      </c>
      <c r="U64" s="104">
        <f t="shared" si="9"/>
        <v>4500</v>
      </c>
      <c r="V64" s="104">
        <f t="shared" si="9"/>
        <v>3060</v>
      </c>
      <c r="W64" s="104">
        <f t="shared" si="9"/>
        <v>0</v>
      </c>
      <c r="X64" s="104">
        <f t="shared" si="9"/>
        <v>720</v>
      </c>
      <c r="Y64" s="104">
        <f t="shared" si="9"/>
        <v>7740</v>
      </c>
      <c r="Z64" s="104">
        <f t="shared" si="9"/>
        <v>7020</v>
      </c>
      <c r="AA64" s="104">
        <f t="shared" si="9"/>
        <v>24160</v>
      </c>
      <c r="AB64" s="104">
        <f t="shared" si="9"/>
        <v>9800</v>
      </c>
      <c r="AC64" s="104">
        <f t="shared" si="9"/>
        <v>17760</v>
      </c>
      <c r="AD64" s="104">
        <f t="shared" si="9"/>
        <v>4580</v>
      </c>
      <c r="AE64" s="104">
        <f t="shared" si="9"/>
        <v>0</v>
      </c>
      <c r="AF64" s="104">
        <f t="shared" si="9"/>
        <v>0</v>
      </c>
      <c r="AG64" s="104">
        <f t="shared" si="9"/>
        <v>1800</v>
      </c>
      <c r="AH64" s="104">
        <f t="shared" si="9"/>
        <v>3420</v>
      </c>
      <c r="AI64" s="104">
        <f t="shared" si="9"/>
        <v>1440</v>
      </c>
      <c r="AJ64" s="104">
        <f t="shared" si="9"/>
        <v>4140</v>
      </c>
      <c r="AK64" s="104">
        <f t="shared" si="8"/>
        <v>0</v>
      </c>
      <c r="AL64" s="104">
        <f t="shared" si="8"/>
        <v>0</v>
      </c>
      <c r="AM64" s="104">
        <f t="shared" si="8"/>
        <v>0</v>
      </c>
      <c r="AN64" s="104">
        <f t="shared" si="8"/>
        <v>0</v>
      </c>
      <c r="AO64" s="104">
        <f t="shared" si="8"/>
        <v>0</v>
      </c>
      <c r="AP64" s="104">
        <f t="shared" si="8"/>
        <v>0</v>
      </c>
      <c r="AQ64" s="104">
        <f t="shared" si="8"/>
        <v>0</v>
      </c>
      <c r="AR64" s="104">
        <f t="shared" si="8"/>
        <v>0</v>
      </c>
    </row>
    <row r="65" spans="2:44">
      <c r="B65" s="96" t="s">
        <v>53</v>
      </c>
      <c r="C65" s="111">
        <v>19</v>
      </c>
      <c r="D65" s="97">
        <f t="shared" si="9"/>
        <v>656412</v>
      </c>
      <c r="E65" s="104">
        <f t="shared" si="9"/>
        <v>0</v>
      </c>
      <c r="F65" s="104">
        <f t="shared" si="9"/>
        <v>0</v>
      </c>
      <c r="G65" s="104">
        <f t="shared" si="9"/>
        <v>0</v>
      </c>
      <c r="H65" s="104">
        <f t="shared" si="9"/>
        <v>0</v>
      </c>
      <c r="I65" s="104">
        <f t="shared" si="9"/>
        <v>0</v>
      </c>
      <c r="J65" s="104">
        <f t="shared" si="9"/>
        <v>0</v>
      </c>
      <c r="K65" s="104">
        <f t="shared" si="9"/>
        <v>0</v>
      </c>
      <c r="L65" s="104">
        <f t="shared" si="9"/>
        <v>0</v>
      </c>
      <c r="M65" s="104">
        <f t="shared" si="9"/>
        <v>614004</v>
      </c>
      <c r="N65" s="104">
        <f t="shared" si="9"/>
        <v>0</v>
      </c>
      <c r="O65" s="104">
        <f t="shared" si="9"/>
        <v>42408</v>
      </c>
      <c r="P65" s="104">
        <f t="shared" si="9"/>
        <v>0</v>
      </c>
      <c r="Q65" s="104">
        <f t="shared" si="9"/>
        <v>0</v>
      </c>
      <c r="R65" s="104">
        <f t="shared" si="9"/>
        <v>0</v>
      </c>
      <c r="S65" s="104">
        <f t="shared" si="9"/>
        <v>0</v>
      </c>
      <c r="T65" s="104">
        <f t="shared" si="9"/>
        <v>0</v>
      </c>
      <c r="U65" s="104">
        <f t="shared" si="9"/>
        <v>0</v>
      </c>
      <c r="V65" s="104">
        <f t="shared" si="9"/>
        <v>0</v>
      </c>
      <c r="W65" s="104">
        <f t="shared" si="9"/>
        <v>0</v>
      </c>
      <c r="X65" s="104">
        <f t="shared" si="9"/>
        <v>0</v>
      </c>
      <c r="Y65" s="104">
        <f t="shared" si="9"/>
        <v>0</v>
      </c>
      <c r="Z65" s="104">
        <f t="shared" si="9"/>
        <v>0</v>
      </c>
      <c r="AA65" s="104">
        <f t="shared" si="9"/>
        <v>0</v>
      </c>
      <c r="AB65" s="104">
        <f t="shared" si="9"/>
        <v>0</v>
      </c>
      <c r="AC65" s="104">
        <f t="shared" si="9"/>
        <v>0</v>
      </c>
      <c r="AD65" s="104">
        <f t="shared" si="9"/>
        <v>0</v>
      </c>
      <c r="AE65" s="104">
        <f t="shared" si="9"/>
        <v>0</v>
      </c>
      <c r="AF65" s="104">
        <f t="shared" si="9"/>
        <v>0</v>
      </c>
      <c r="AG65" s="104">
        <f t="shared" si="9"/>
        <v>0</v>
      </c>
      <c r="AH65" s="104">
        <f t="shared" si="9"/>
        <v>0</v>
      </c>
      <c r="AI65" s="104">
        <f t="shared" si="9"/>
        <v>0</v>
      </c>
      <c r="AJ65" s="104">
        <f t="shared" si="9"/>
        <v>0</v>
      </c>
      <c r="AK65" s="104">
        <f t="shared" si="8"/>
        <v>0</v>
      </c>
      <c r="AL65" s="104">
        <f t="shared" si="8"/>
        <v>0</v>
      </c>
      <c r="AM65" s="104">
        <f t="shared" si="8"/>
        <v>0</v>
      </c>
      <c r="AN65" s="104">
        <f t="shared" si="8"/>
        <v>0</v>
      </c>
      <c r="AO65" s="104">
        <f t="shared" si="8"/>
        <v>0</v>
      </c>
      <c r="AP65" s="104">
        <f t="shared" si="8"/>
        <v>0</v>
      </c>
      <c r="AQ65" s="104">
        <f t="shared" si="8"/>
        <v>0</v>
      </c>
      <c r="AR65" s="104">
        <f t="shared" si="8"/>
        <v>0</v>
      </c>
    </row>
    <row r="66" spans="2:44">
      <c r="B66" s="96" t="s">
        <v>54</v>
      </c>
      <c r="C66" s="111">
        <v>10</v>
      </c>
      <c r="D66" s="97">
        <f t="shared" si="9"/>
        <v>2580</v>
      </c>
      <c r="E66" s="104">
        <f t="shared" si="9"/>
        <v>0</v>
      </c>
      <c r="F66" s="104">
        <f t="shared" si="9"/>
        <v>0</v>
      </c>
      <c r="G66" s="104">
        <f t="shared" si="9"/>
        <v>0</v>
      </c>
      <c r="H66" s="104">
        <f t="shared" si="9"/>
        <v>0</v>
      </c>
      <c r="I66" s="104">
        <f t="shared" si="9"/>
        <v>0</v>
      </c>
      <c r="J66" s="104">
        <f t="shared" si="9"/>
        <v>0</v>
      </c>
      <c r="K66" s="104">
        <f t="shared" si="9"/>
        <v>0</v>
      </c>
      <c r="L66" s="104">
        <f t="shared" si="9"/>
        <v>0</v>
      </c>
      <c r="M66" s="104">
        <f t="shared" si="9"/>
        <v>0</v>
      </c>
      <c r="N66" s="104">
        <f t="shared" si="9"/>
        <v>0</v>
      </c>
      <c r="O66" s="104">
        <f t="shared" si="9"/>
        <v>0</v>
      </c>
      <c r="P66" s="104">
        <f t="shared" si="9"/>
        <v>0</v>
      </c>
      <c r="Q66" s="104">
        <f t="shared" si="9"/>
        <v>0</v>
      </c>
      <c r="R66" s="104">
        <f t="shared" si="9"/>
        <v>0</v>
      </c>
      <c r="S66" s="104">
        <f t="shared" si="9"/>
        <v>0</v>
      </c>
      <c r="T66" s="104">
        <f t="shared" si="9"/>
        <v>0</v>
      </c>
      <c r="U66" s="104">
        <f t="shared" si="9"/>
        <v>0</v>
      </c>
      <c r="V66" s="104">
        <f t="shared" si="9"/>
        <v>0</v>
      </c>
      <c r="W66" s="104">
        <f t="shared" si="9"/>
        <v>0</v>
      </c>
      <c r="X66" s="104">
        <f t="shared" si="9"/>
        <v>0</v>
      </c>
      <c r="Y66" s="104">
        <f t="shared" si="9"/>
        <v>0</v>
      </c>
      <c r="Z66" s="104">
        <f t="shared" si="9"/>
        <v>0</v>
      </c>
      <c r="AA66" s="104">
        <f t="shared" si="9"/>
        <v>0</v>
      </c>
      <c r="AB66" s="104">
        <f t="shared" si="9"/>
        <v>0</v>
      </c>
      <c r="AC66" s="104">
        <f t="shared" si="9"/>
        <v>0</v>
      </c>
      <c r="AD66" s="104">
        <f t="shared" si="9"/>
        <v>0</v>
      </c>
      <c r="AE66" s="104">
        <f t="shared" si="9"/>
        <v>2580</v>
      </c>
      <c r="AF66" s="104">
        <f t="shared" si="9"/>
        <v>0</v>
      </c>
      <c r="AG66" s="104">
        <f t="shared" si="9"/>
        <v>0</v>
      </c>
      <c r="AH66" s="104">
        <f t="shared" si="9"/>
        <v>0</v>
      </c>
      <c r="AI66" s="104">
        <f t="shared" si="9"/>
        <v>0</v>
      </c>
      <c r="AJ66" s="104">
        <f t="shared" si="9"/>
        <v>0</v>
      </c>
      <c r="AK66" s="104">
        <f t="shared" si="8"/>
        <v>0</v>
      </c>
      <c r="AL66" s="104">
        <f t="shared" si="8"/>
        <v>0</v>
      </c>
      <c r="AM66" s="104">
        <f t="shared" si="8"/>
        <v>0</v>
      </c>
      <c r="AN66" s="104">
        <f t="shared" si="8"/>
        <v>0</v>
      </c>
      <c r="AO66" s="104">
        <f t="shared" si="8"/>
        <v>0</v>
      </c>
      <c r="AP66" s="104">
        <f t="shared" si="8"/>
        <v>0</v>
      </c>
      <c r="AQ66" s="104">
        <f t="shared" si="8"/>
        <v>0</v>
      </c>
      <c r="AR66" s="104">
        <f t="shared" si="8"/>
        <v>0</v>
      </c>
    </row>
    <row r="67" spans="2:44">
      <c r="B67" s="96" t="s">
        <v>55</v>
      </c>
      <c r="C67" s="111">
        <v>50</v>
      </c>
      <c r="D67" s="97">
        <f t="shared" si="9"/>
        <v>1741000</v>
      </c>
      <c r="E67" s="104">
        <f t="shared" si="9"/>
        <v>0</v>
      </c>
      <c r="F67" s="104">
        <f t="shared" si="9"/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0</v>
      </c>
      <c r="L67" s="104">
        <f t="shared" si="9"/>
        <v>6400</v>
      </c>
      <c r="M67" s="104">
        <f t="shared" si="9"/>
        <v>0</v>
      </c>
      <c r="N67" s="104">
        <f t="shared" si="9"/>
        <v>0</v>
      </c>
      <c r="O67" s="104">
        <f t="shared" si="9"/>
        <v>0</v>
      </c>
      <c r="P67" s="104">
        <f t="shared" si="9"/>
        <v>0</v>
      </c>
      <c r="Q67" s="104">
        <f t="shared" si="9"/>
        <v>0</v>
      </c>
      <c r="R67" s="104">
        <f t="shared" si="9"/>
        <v>0</v>
      </c>
      <c r="S67" s="104">
        <f t="shared" si="9"/>
        <v>0</v>
      </c>
      <c r="T67" s="104">
        <f t="shared" si="9"/>
        <v>0</v>
      </c>
      <c r="U67" s="104">
        <f t="shared" si="9"/>
        <v>0</v>
      </c>
      <c r="V67" s="104">
        <f t="shared" si="9"/>
        <v>0</v>
      </c>
      <c r="W67" s="104">
        <f t="shared" si="9"/>
        <v>0</v>
      </c>
      <c r="X67" s="104">
        <f t="shared" si="9"/>
        <v>0</v>
      </c>
      <c r="Y67" s="104">
        <f t="shared" si="9"/>
        <v>0</v>
      </c>
      <c r="Z67" s="104">
        <f t="shared" si="9"/>
        <v>0</v>
      </c>
      <c r="AA67" s="104">
        <f t="shared" si="9"/>
        <v>67650</v>
      </c>
      <c r="AB67" s="104">
        <f t="shared" si="9"/>
        <v>72150</v>
      </c>
      <c r="AC67" s="104">
        <f t="shared" si="9"/>
        <v>61100</v>
      </c>
      <c r="AD67" s="104">
        <f t="shared" si="9"/>
        <v>41550</v>
      </c>
      <c r="AE67" s="104">
        <f t="shared" si="9"/>
        <v>866200</v>
      </c>
      <c r="AF67" s="104">
        <f t="shared" si="9"/>
        <v>239750</v>
      </c>
      <c r="AG67" s="104">
        <f t="shared" si="9"/>
        <v>0</v>
      </c>
      <c r="AH67" s="104">
        <f t="shared" si="9"/>
        <v>386200</v>
      </c>
      <c r="AI67" s="104">
        <f t="shared" si="9"/>
        <v>0</v>
      </c>
      <c r="AJ67" s="104">
        <f t="shared" si="9"/>
        <v>0</v>
      </c>
      <c r="AK67" s="104">
        <f t="shared" si="8"/>
        <v>0</v>
      </c>
      <c r="AL67" s="104">
        <f t="shared" si="8"/>
        <v>0</v>
      </c>
      <c r="AM67" s="104">
        <f t="shared" si="8"/>
        <v>0</v>
      </c>
      <c r="AN67" s="104">
        <f t="shared" si="8"/>
        <v>0</v>
      </c>
      <c r="AO67" s="104">
        <f t="shared" si="8"/>
        <v>0</v>
      </c>
      <c r="AP67" s="104">
        <f t="shared" si="8"/>
        <v>0</v>
      </c>
      <c r="AQ67" s="104">
        <f t="shared" si="8"/>
        <v>0</v>
      </c>
      <c r="AR67" s="104">
        <f t="shared" si="8"/>
        <v>0</v>
      </c>
    </row>
    <row r="68" spans="2:44">
      <c r="B68" s="96" t="s">
        <v>56</v>
      </c>
      <c r="C68" s="111">
        <v>27.39</v>
      </c>
      <c r="D68" s="97">
        <f t="shared" si="9"/>
        <v>281843.10000000003</v>
      </c>
      <c r="E68" s="104">
        <f t="shared" si="9"/>
        <v>0</v>
      </c>
      <c r="F68" s="104">
        <f t="shared" si="9"/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0</v>
      </c>
      <c r="L68" s="104">
        <f t="shared" si="9"/>
        <v>0</v>
      </c>
      <c r="M68" s="104">
        <f t="shared" si="9"/>
        <v>0</v>
      </c>
      <c r="N68" s="104">
        <f t="shared" si="9"/>
        <v>0</v>
      </c>
      <c r="O68" s="104">
        <f t="shared" si="9"/>
        <v>0</v>
      </c>
      <c r="P68" s="104">
        <f t="shared" si="9"/>
        <v>0</v>
      </c>
      <c r="Q68" s="104">
        <f t="shared" si="9"/>
        <v>0</v>
      </c>
      <c r="R68" s="104">
        <f t="shared" si="9"/>
        <v>0</v>
      </c>
      <c r="S68" s="104">
        <f t="shared" si="9"/>
        <v>0</v>
      </c>
      <c r="T68" s="104">
        <f t="shared" si="9"/>
        <v>0</v>
      </c>
      <c r="U68" s="104">
        <f t="shared" si="9"/>
        <v>0</v>
      </c>
      <c r="V68" s="104">
        <f t="shared" si="9"/>
        <v>0</v>
      </c>
      <c r="W68" s="104">
        <f t="shared" si="9"/>
        <v>0</v>
      </c>
      <c r="X68" s="104">
        <f t="shared" si="9"/>
        <v>0</v>
      </c>
      <c r="Y68" s="104">
        <f t="shared" si="9"/>
        <v>0</v>
      </c>
      <c r="Z68" s="104">
        <f t="shared" si="9"/>
        <v>0</v>
      </c>
      <c r="AA68" s="104">
        <f t="shared" si="9"/>
        <v>4930.2</v>
      </c>
      <c r="AB68" s="104">
        <f t="shared" ref="AB68:AJ68" si="10">AB35*$C68</f>
        <v>7121.4000000000005</v>
      </c>
      <c r="AC68" s="104">
        <f t="shared" si="10"/>
        <v>15338.4</v>
      </c>
      <c r="AD68" s="104">
        <f t="shared" si="10"/>
        <v>6025.8</v>
      </c>
      <c r="AE68" s="104">
        <f t="shared" si="10"/>
        <v>153110.1</v>
      </c>
      <c r="AF68" s="104">
        <f t="shared" si="10"/>
        <v>33963.599999999999</v>
      </c>
      <c r="AG68" s="104">
        <f t="shared" si="10"/>
        <v>0</v>
      </c>
      <c r="AH68" s="104">
        <f t="shared" si="10"/>
        <v>61353.599999999999</v>
      </c>
      <c r="AI68" s="104">
        <f t="shared" si="10"/>
        <v>0</v>
      </c>
      <c r="AJ68" s="104">
        <f t="shared" si="10"/>
        <v>0</v>
      </c>
      <c r="AK68" s="104">
        <f t="shared" si="8"/>
        <v>0</v>
      </c>
      <c r="AL68" s="104">
        <f t="shared" si="8"/>
        <v>0</v>
      </c>
      <c r="AM68" s="104">
        <f t="shared" si="8"/>
        <v>0</v>
      </c>
      <c r="AN68" s="104">
        <f t="shared" si="8"/>
        <v>0</v>
      </c>
      <c r="AO68" s="104">
        <f t="shared" si="8"/>
        <v>0</v>
      </c>
      <c r="AP68" s="104">
        <f t="shared" si="8"/>
        <v>0</v>
      </c>
      <c r="AQ68" s="104">
        <f t="shared" si="8"/>
        <v>0</v>
      </c>
      <c r="AR68" s="104">
        <f t="shared" si="8"/>
        <v>0</v>
      </c>
    </row>
    <row r="69" spans="2:44">
      <c r="B69" s="96" t="s">
        <v>57</v>
      </c>
      <c r="C69" s="111">
        <v>26</v>
      </c>
      <c r="D69" s="97">
        <f t="shared" ref="D69:AJ71" si="11">D36*$C69</f>
        <v>0</v>
      </c>
      <c r="E69" s="104">
        <f t="shared" si="11"/>
        <v>0</v>
      </c>
      <c r="F69" s="104">
        <f t="shared" si="11"/>
        <v>0</v>
      </c>
      <c r="G69" s="104">
        <f t="shared" si="11"/>
        <v>0</v>
      </c>
      <c r="H69" s="104">
        <f t="shared" si="11"/>
        <v>0</v>
      </c>
      <c r="I69" s="104">
        <f t="shared" si="11"/>
        <v>0</v>
      </c>
      <c r="J69" s="104">
        <f t="shared" si="11"/>
        <v>0</v>
      </c>
      <c r="K69" s="104">
        <f t="shared" si="11"/>
        <v>0</v>
      </c>
      <c r="L69" s="104">
        <f t="shared" si="11"/>
        <v>0</v>
      </c>
      <c r="M69" s="104">
        <f t="shared" si="11"/>
        <v>0</v>
      </c>
      <c r="N69" s="104">
        <f t="shared" si="11"/>
        <v>0</v>
      </c>
      <c r="O69" s="104">
        <f t="shared" si="11"/>
        <v>0</v>
      </c>
      <c r="P69" s="104">
        <f t="shared" si="11"/>
        <v>0</v>
      </c>
      <c r="Q69" s="104">
        <f t="shared" si="11"/>
        <v>0</v>
      </c>
      <c r="R69" s="104">
        <f t="shared" si="11"/>
        <v>0</v>
      </c>
      <c r="S69" s="104">
        <f t="shared" si="11"/>
        <v>0</v>
      </c>
      <c r="T69" s="104">
        <f t="shared" si="11"/>
        <v>0</v>
      </c>
      <c r="U69" s="104">
        <f t="shared" si="11"/>
        <v>0</v>
      </c>
      <c r="V69" s="104">
        <f t="shared" si="11"/>
        <v>0</v>
      </c>
      <c r="W69" s="104">
        <f t="shared" si="11"/>
        <v>0</v>
      </c>
      <c r="X69" s="104">
        <f t="shared" si="11"/>
        <v>0</v>
      </c>
      <c r="Y69" s="104">
        <f t="shared" si="11"/>
        <v>0</v>
      </c>
      <c r="Z69" s="104">
        <f t="shared" si="11"/>
        <v>0</v>
      </c>
      <c r="AA69" s="104">
        <f t="shared" si="11"/>
        <v>0</v>
      </c>
      <c r="AB69" s="104">
        <f t="shared" si="11"/>
        <v>0</v>
      </c>
      <c r="AC69" s="104">
        <f t="shared" si="11"/>
        <v>0</v>
      </c>
      <c r="AD69" s="104">
        <f t="shared" si="11"/>
        <v>0</v>
      </c>
      <c r="AE69" s="104">
        <f t="shared" si="11"/>
        <v>0</v>
      </c>
      <c r="AF69" s="104">
        <f t="shared" si="11"/>
        <v>0</v>
      </c>
      <c r="AG69" s="104">
        <f t="shared" si="11"/>
        <v>0</v>
      </c>
      <c r="AH69" s="104">
        <f t="shared" si="11"/>
        <v>0</v>
      </c>
      <c r="AI69" s="104">
        <f t="shared" si="11"/>
        <v>0</v>
      </c>
      <c r="AJ69" s="104">
        <f t="shared" si="11"/>
        <v>0</v>
      </c>
      <c r="AK69" s="104">
        <f t="shared" si="8"/>
        <v>0</v>
      </c>
      <c r="AL69" s="104">
        <f t="shared" si="8"/>
        <v>0</v>
      </c>
      <c r="AM69" s="104">
        <f t="shared" si="8"/>
        <v>0</v>
      </c>
      <c r="AN69" s="104">
        <f t="shared" si="8"/>
        <v>0</v>
      </c>
      <c r="AO69" s="104">
        <f t="shared" si="8"/>
        <v>0</v>
      </c>
      <c r="AP69" s="104">
        <f t="shared" si="8"/>
        <v>0</v>
      </c>
      <c r="AQ69" s="104">
        <f t="shared" si="8"/>
        <v>0</v>
      </c>
      <c r="AR69" s="104">
        <f t="shared" si="8"/>
        <v>0</v>
      </c>
    </row>
    <row r="70" spans="2:44">
      <c r="B70" s="96" t="s">
        <v>58</v>
      </c>
      <c r="C70" s="111">
        <v>48</v>
      </c>
      <c r="D70" s="97">
        <f t="shared" si="11"/>
        <v>0</v>
      </c>
      <c r="E70" s="104">
        <f t="shared" si="11"/>
        <v>0</v>
      </c>
      <c r="F70" s="104">
        <f t="shared" si="11"/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0</v>
      </c>
      <c r="L70" s="104">
        <f t="shared" si="11"/>
        <v>0</v>
      </c>
      <c r="M70" s="104">
        <f t="shared" si="11"/>
        <v>0</v>
      </c>
      <c r="N70" s="104">
        <f t="shared" si="11"/>
        <v>0</v>
      </c>
      <c r="O70" s="104">
        <f t="shared" si="11"/>
        <v>0</v>
      </c>
      <c r="P70" s="104">
        <f t="shared" si="11"/>
        <v>0</v>
      </c>
      <c r="Q70" s="104">
        <f t="shared" si="11"/>
        <v>0</v>
      </c>
      <c r="R70" s="104">
        <f t="shared" si="11"/>
        <v>0</v>
      </c>
      <c r="S70" s="104">
        <f t="shared" si="11"/>
        <v>0</v>
      </c>
      <c r="T70" s="104">
        <f t="shared" si="11"/>
        <v>0</v>
      </c>
      <c r="U70" s="104">
        <f t="shared" si="11"/>
        <v>0</v>
      </c>
      <c r="V70" s="104">
        <f t="shared" si="11"/>
        <v>0</v>
      </c>
      <c r="W70" s="104">
        <f t="shared" si="11"/>
        <v>0</v>
      </c>
      <c r="X70" s="104">
        <f t="shared" si="11"/>
        <v>0</v>
      </c>
      <c r="Y70" s="104">
        <f t="shared" si="11"/>
        <v>0</v>
      </c>
      <c r="Z70" s="104">
        <f t="shared" si="11"/>
        <v>0</v>
      </c>
      <c r="AA70" s="104">
        <f t="shared" si="11"/>
        <v>0</v>
      </c>
      <c r="AB70" s="104">
        <f t="shared" si="11"/>
        <v>0</v>
      </c>
      <c r="AC70" s="104">
        <f t="shared" si="11"/>
        <v>0</v>
      </c>
      <c r="AD70" s="104">
        <f t="shared" si="11"/>
        <v>0</v>
      </c>
      <c r="AE70" s="104">
        <f t="shared" si="11"/>
        <v>0</v>
      </c>
      <c r="AF70" s="104">
        <f t="shared" si="11"/>
        <v>0</v>
      </c>
      <c r="AG70" s="104">
        <f t="shared" si="11"/>
        <v>0</v>
      </c>
      <c r="AH70" s="104">
        <f t="shared" si="11"/>
        <v>0</v>
      </c>
      <c r="AI70" s="104">
        <f t="shared" si="11"/>
        <v>0</v>
      </c>
      <c r="AJ70" s="104">
        <f t="shared" si="11"/>
        <v>0</v>
      </c>
      <c r="AK70" s="104">
        <f t="shared" si="8"/>
        <v>0</v>
      </c>
      <c r="AL70" s="104">
        <f t="shared" si="8"/>
        <v>0</v>
      </c>
      <c r="AM70" s="104">
        <f t="shared" si="8"/>
        <v>0</v>
      </c>
      <c r="AN70" s="104">
        <f t="shared" si="8"/>
        <v>0</v>
      </c>
      <c r="AO70" s="104">
        <f t="shared" si="8"/>
        <v>0</v>
      </c>
      <c r="AP70" s="104">
        <f t="shared" si="8"/>
        <v>0</v>
      </c>
      <c r="AQ70" s="104">
        <f t="shared" si="8"/>
        <v>0</v>
      </c>
      <c r="AR70" s="104">
        <f t="shared" si="8"/>
        <v>0</v>
      </c>
    </row>
    <row r="71" spans="2:44">
      <c r="B71" s="96" t="s">
        <v>59</v>
      </c>
      <c r="C71" s="112">
        <v>8</v>
      </c>
      <c r="D71" s="97">
        <f t="shared" si="11"/>
        <v>41384</v>
      </c>
      <c r="E71" s="104">
        <f t="shared" si="11"/>
        <v>0</v>
      </c>
      <c r="F71" s="104">
        <f t="shared" si="11"/>
        <v>0</v>
      </c>
      <c r="G71" s="104">
        <f t="shared" si="11"/>
        <v>0</v>
      </c>
      <c r="H71" s="104">
        <f t="shared" si="11"/>
        <v>8800</v>
      </c>
      <c r="I71" s="104">
        <f t="shared" si="11"/>
        <v>0</v>
      </c>
      <c r="J71" s="104">
        <f t="shared" si="11"/>
        <v>4800</v>
      </c>
      <c r="K71" s="104">
        <f t="shared" si="11"/>
        <v>1600</v>
      </c>
      <c r="L71" s="104">
        <f t="shared" si="11"/>
        <v>2200</v>
      </c>
      <c r="M71" s="104">
        <f t="shared" si="11"/>
        <v>800</v>
      </c>
      <c r="N71" s="104">
        <f t="shared" si="11"/>
        <v>1440</v>
      </c>
      <c r="O71" s="104">
        <f t="shared" si="11"/>
        <v>1680</v>
      </c>
      <c r="P71" s="104">
        <f t="shared" si="11"/>
        <v>3520</v>
      </c>
      <c r="Q71" s="104">
        <f t="shared" si="11"/>
        <v>160</v>
      </c>
      <c r="R71" s="104">
        <f t="shared" si="11"/>
        <v>320</v>
      </c>
      <c r="S71" s="104">
        <f t="shared" si="11"/>
        <v>1440</v>
      </c>
      <c r="T71" s="104">
        <f t="shared" si="11"/>
        <v>384</v>
      </c>
      <c r="U71" s="104">
        <f t="shared" si="11"/>
        <v>240</v>
      </c>
      <c r="V71" s="104">
        <f t="shared" si="11"/>
        <v>672</v>
      </c>
      <c r="W71" s="104">
        <f t="shared" si="11"/>
        <v>0</v>
      </c>
      <c r="X71" s="104">
        <f t="shared" si="11"/>
        <v>0</v>
      </c>
      <c r="Y71" s="104">
        <f t="shared" si="11"/>
        <v>952</v>
      </c>
      <c r="Z71" s="104">
        <f t="shared" si="11"/>
        <v>2496</v>
      </c>
      <c r="AA71" s="104">
        <f t="shared" si="11"/>
        <v>0</v>
      </c>
      <c r="AB71" s="104">
        <f t="shared" si="11"/>
        <v>800</v>
      </c>
      <c r="AC71" s="104">
        <f t="shared" si="11"/>
        <v>800</v>
      </c>
      <c r="AD71" s="104">
        <f t="shared" si="11"/>
        <v>2000</v>
      </c>
      <c r="AE71" s="104">
        <f t="shared" si="11"/>
        <v>400</v>
      </c>
      <c r="AF71" s="104">
        <f t="shared" si="11"/>
        <v>0</v>
      </c>
      <c r="AG71" s="104">
        <f t="shared" si="11"/>
        <v>552</v>
      </c>
      <c r="AH71" s="104">
        <f t="shared" si="11"/>
        <v>792</v>
      </c>
      <c r="AI71" s="104">
        <f t="shared" si="11"/>
        <v>3288</v>
      </c>
      <c r="AJ71" s="104">
        <f t="shared" si="11"/>
        <v>1248</v>
      </c>
      <c r="AK71" s="104">
        <f t="shared" si="8"/>
        <v>0</v>
      </c>
      <c r="AL71" s="104">
        <f t="shared" si="8"/>
        <v>0</v>
      </c>
      <c r="AM71" s="104">
        <f t="shared" si="8"/>
        <v>0</v>
      </c>
      <c r="AN71" s="104">
        <f t="shared" si="8"/>
        <v>0</v>
      </c>
      <c r="AO71" s="104">
        <f t="shared" si="8"/>
        <v>0</v>
      </c>
      <c r="AP71" s="104">
        <f t="shared" si="8"/>
        <v>0</v>
      </c>
      <c r="AQ71" s="104">
        <f t="shared" si="8"/>
        <v>0</v>
      </c>
      <c r="AR71" s="104">
        <f t="shared" si="8"/>
        <v>0</v>
      </c>
    </row>
    <row r="72" spans="2:44">
      <c r="B72" s="35" t="s">
        <v>85</v>
      </c>
      <c r="C72" s="113">
        <v>3.5</v>
      </c>
      <c r="D72" s="98">
        <f t="shared" ref="D72:AR72" si="12">D50*C72</f>
        <v>805000</v>
      </c>
      <c r="E72" s="107">
        <f>E50*$C$72</f>
        <v>0</v>
      </c>
      <c r="F72" s="107">
        <f t="shared" si="12"/>
        <v>0</v>
      </c>
      <c r="G72" s="107">
        <f t="shared" si="12"/>
        <v>0</v>
      </c>
      <c r="H72" s="107">
        <f t="shared" si="12"/>
        <v>0</v>
      </c>
      <c r="I72" s="107">
        <f t="shared" si="12"/>
        <v>0</v>
      </c>
      <c r="J72" s="107">
        <f t="shared" si="12"/>
        <v>0</v>
      </c>
      <c r="K72" s="107">
        <f t="shared" si="12"/>
        <v>0</v>
      </c>
      <c r="L72" s="107">
        <f t="shared" si="12"/>
        <v>0</v>
      </c>
      <c r="M72" s="107">
        <f t="shared" si="12"/>
        <v>0</v>
      </c>
      <c r="N72" s="107">
        <f t="shared" si="12"/>
        <v>0</v>
      </c>
      <c r="O72" s="107">
        <f t="shared" si="12"/>
        <v>0</v>
      </c>
      <c r="P72" s="107">
        <f t="shared" si="12"/>
        <v>0</v>
      </c>
      <c r="Q72" s="107">
        <f t="shared" si="12"/>
        <v>0</v>
      </c>
      <c r="R72" s="107">
        <f t="shared" si="12"/>
        <v>0</v>
      </c>
      <c r="S72" s="107">
        <f t="shared" si="12"/>
        <v>0</v>
      </c>
      <c r="T72" s="107">
        <f t="shared" si="12"/>
        <v>0</v>
      </c>
      <c r="U72" s="107">
        <f t="shared" si="12"/>
        <v>0</v>
      </c>
      <c r="V72" s="107">
        <f t="shared" si="12"/>
        <v>0</v>
      </c>
      <c r="W72" s="107">
        <f t="shared" si="12"/>
        <v>0</v>
      </c>
      <c r="X72" s="107">
        <f t="shared" si="12"/>
        <v>0</v>
      </c>
      <c r="Y72" s="107">
        <f t="shared" si="12"/>
        <v>0</v>
      </c>
      <c r="Z72" s="107">
        <f t="shared" si="12"/>
        <v>0</v>
      </c>
      <c r="AA72" s="107">
        <f t="shared" si="12"/>
        <v>0</v>
      </c>
      <c r="AB72" s="107">
        <f t="shared" si="12"/>
        <v>0</v>
      </c>
      <c r="AC72" s="107">
        <f t="shared" si="12"/>
        <v>0</v>
      </c>
      <c r="AD72" s="107">
        <f t="shared" si="12"/>
        <v>0</v>
      </c>
      <c r="AE72" s="107">
        <f t="shared" si="12"/>
        <v>0</v>
      </c>
      <c r="AF72" s="107">
        <f t="shared" si="12"/>
        <v>0</v>
      </c>
      <c r="AG72" s="107">
        <f t="shared" si="12"/>
        <v>0</v>
      </c>
      <c r="AH72" s="107">
        <f t="shared" si="12"/>
        <v>0</v>
      </c>
      <c r="AI72" s="107">
        <f t="shared" si="12"/>
        <v>0</v>
      </c>
      <c r="AJ72" s="107">
        <f t="shared" si="12"/>
        <v>0</v>
      </c>
      <c r="AK72" s="107">
        <f t="shared" si="12"/>
        <v>0</v>
      </c>
      <c r="AL72" s="107">
        <f t="shared" si="12"/>
        <v>0</v>
      </c>
      <c r="AM72" s="107">
        <f t="shared" si="12"/>
        <v>0</v>
      </c>
      <c r="AN72" s="107">
        <f t="shared" si="12"/>
        <v>0</v>
      </c>
      <c r="AO72" s="107">
        <f t="shared" si="12"/>
        <v>0</v>
      </c>
      <c r="AP72" s="107">
        <f t="shared" si="12"/>
        <v>0</v>
      </c>
      <c r="AQ72" s="107">
        <f t="shared" si="12"/>
        <v>0</v>
      </c>
      <c r="AR72" s="107">
        <f t="shared" si="12"/>
        <v>0</v>
      </c>
    </row>
    <row r="74" spans="2:44">
      <c r="B74" s="318" t="s">
        <v>86</v>
      </c>
      <c r="C74" s="319"/>
      <c r="D74" s="108">
        <f>AVERAGEIF(E59:N59, "&gt;0")</f>
        <v>819839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6" spans="2:44">
      <c r="B76" s="12" t="s">
        <v>87</v>
      </c>
      <c r="C76" s="13">
        <v>0.28999999999999998</v>
      </c>
      <c r="D76" s="14">
        <f>SUM(E76:N76)</f>
        <v>1426519.8599999999</v>
      </c>
      <c r="E76" s="14">
        <f t="shared" ref="E76:AR76" si="13">E59*$C$76</f>
        <v>0</v>
      </c>
      <c r="F76" s="14">
        <f t="shared" si="13"/>
        <v>0</v>
      </c>
      <c r="G76" s="14">
        <f t="shared" si="13"/>
        <v>0</v>
      </c>
      <c r="H76" s="14">
        <f t="shared" si="13"/>
        <v>503669.97</v>
      </c>
      <c r="I76" s="14">
        <f t="shared" si="13"/>
        <v>0</v>
      </c>
      <c r="J76" s="14">
        <f t="shared" si="13"/>
        <v>112391.23999999999</v>
      </c>
      <c r="K76" s="15">
        <f t="shared" si="13"/>
        <v>140633.75999999998</v>
      </c>
      <c r="L76" s="14">
        <f t="shared" si="13"/>
        <v>281298.83999999997</v>
      </c>
      <c r="M76" s="15">
        <f t="shared" si="13"/>
        <v>260331.55</v>
      </c>
      <c r="N76" s="14">
        <f t="shared" si="13"/>
        <v>128194.49999999999</v>
      </c>
      <c r="O76" s="14">
        <f t="shared" si="13"/>
        <v>262036.16999999998</v>
      </c>
      <c r="P76" s="14">
        <f t="shared" si="13"/>
        <v>296142.49</v>
      </c>
      <c r="Q76" s="14">
        <f t="shared" si="13"/>
        <v>176107.72</v>
      </c>
      <c r="R76" s="14">
        <f t="shared" si="13"/>
        <v>225484.86</v>
      </c>
      <c r="S76" s="14">
        <f t="shared" si="13"/>
        <v>169122.19999999998</v>
      </c>
      <c r="T76" s="14">
        <f t="shared" si="13"/>
        <v>28713.19</v>
      </c>
      <c r="U76" s="14">
        <f t="shared" si="13"/>
        <v>179985.59999999998</v>
      </c>
      <c r="V76" s="14">
        <f t="shared" si="13"/>
        <v>101268.87</v>
      </c>
      <c r="W76" s="14">
        <f t="shared" si="13"/>
        <v>25862.489999999998</v>
      </c>
      <c r="X76" s="14">
        <f t="shared" si="13"/>
        <v>45482.439999999995</v>
      </c>
      <c r="Y76" s="14">
        <f t="shared" si="13"/>
        <v>87246.209999999992</v>
      </c>
      <c r="Z76" s="14">
        <f t="shared" si="13"/>
        <v>118775.59</v>
      </c>
      <c r="AA76" s="14">
        <f t="shared" si="13"/>
        <v>132078.52799999999</v>
      </c>
      <c r="AB76" s="14">
        <f t="shared" si="13"/>
        <v>252385.37599999999</v>
      </c>
      <c r="AC76" s="14">
        <f t="shared" si="13"/>
        <v>170014.06599999999</v>
      </c>
      <c r="AD76" s="14">
        <f t="shared" si="13"/>
        <v>348263.26199999999</v>
      </c>
      <c r="AE76" s="14">
        <f t="shared" si="13"/>
        <v>312910.02899999998</v>
      </c>
      <c r="AF76" s="14">
        <f t="shared" si="13"/>
        <v>79376.943999999989</v>
      </c>
      <c r="AG76" s="14">
        <f t="shared" si="13"/>
        <v>246648.18999999997</v>
      </c>
      <c r="AH76" s="14">
        <f t="shared" si="13"/>
        <v>319097.32400000002</v>
      </c>
      <c r="AI76" s="14">
        <f t="shared" si="13"/>
        <v>144020.96</v>
      </c>
      <c r="AJ76" s="14">
        <f t="shared" si="13"/>
        <v>43508.7</v>
      </c>
      <c r="AK76" s="14">
        <f t="shared" si="13"/>
        <v>0</v>
      </c>
      <c r="AL76" s="14">
        <f t="shared" si="13"/>
        <v>0</v>
      </c>
      <c r="AM76" s="14">
        <f t="shared" si="13"/>
        <v>0</v>
      </c>
      <c r="AN76" s="14">
        <f t="shared" si="13"/>
        <v>0</v>
      </c>
      <c r="AO76" s="14">
        <f t="shared" si="13"/>
        <v>0</v>
      </c>
      <c r="AP76" s="14">
        <f t="shared" si="13"/>
        <v>0</v>
      </c>
      <c r="AQ76" s="14">
        <f t="shared" si="13"/>
        <v>0</v>
      </c>
      <c r="AR76" s="14">
        <f t="shared" si="13"/>
        <v>0</v>
      </c>
    </row>
    <row r="77" spans="2:44">
      <c r="B77" s="16" t="s">
        <v>88</v>
      </c>
      <c r="C77" s="17">
        <f>11800000/322</f>
        <v>36645.962732919252</v>
      </c>
      <c r="D77" s="18">
        <f>SUM(E77:N77)</f>
        <v>366459.62732919253</v>
      </c>
      <c r="E77" s="18">
        <f t="shared" ref="E77:AR77" si="14">$C$77</f>
        <v>36645.962732919252</v>
      </c>
      <c r="F77" s="18">
        <f t="shared" si="14"/>
        <v>36645.962732919252</v>
      </c>
      <c r="G77" s="18">
        <f t="shared" si="14"/>
        <v>36645.962732919252</v>
      </c>
      <c r="H77" s="18">
        <f t="shared" si="14"/>
        <v>36645.962732919252</v>
      </c>
      <c r="I77" s="18">
        <f t="shared" si="14"/>
        <v>36645.962732919252</v>
      </c>
      <c r="J77" s="18">
        <f t="shared" si="14"/>
        <v>36645.962732919252</v>
      </c>
      <c r="K77" s="19">
        <f t="shared" si="14"/>
        <v>36645.962732919252</v>
      </c>
      <c r="L77" s="18">
        <f t="shared" si="14"/>
        <v>36645.962732919252</v>
      </c>
      <c r="M77" s="19">
        <f t="shared" si="14"/>
        <v>36645.962732919252</v>
      </c>
      <c r="N77" s="18">
        <f t="shared" si="14"/>
        <v>36645.962732919252</v>
      </c>
      <c r="O77" s="18">
        <f t="shared" si="14"/>
        <v>36645.962732919252</v>
      </c>
      <c r="P77" s="18">
        <f t="shared" si="14"/>
        <v>36645.962732919252</v>
      </c>
      <c r="Q77" s="18">
        <f t="shared" si="14"/>
        <v>36645.962732919252</v>
      </c>
      <c r="R77" s="18">
        <f t="shared" si="14"/>
        <v>36645.962732919252</v>
      </c>
      <c r="S77" s="18">
        <f t="shared" si="14"/>
        <v>36645.962732919252</v>
      </c>
      <c r="T77" s="18">
        <f t="shared" si="14"/>
        <v>36645.962732919252</v>
      </c>
      <c r="U77" s="18">
        <f t="shared" si="14"/>
        <v>36645.962732919252</v>
      </c>
      <c r="V77" s="18">
        <f t="shared" si="14"/>
        <v>36645.962732919252</v>
      </c>
      <c r="W77" s="18">
        <f t="shared" si="14"/>
        <v>36645.962732919252</v>
      </c>
      <c r="X77" s="18">
        <f t="shared" si="14"/>
        <v>36645.962732919252</v>
      </c>
      <c r="Y77" s="18">
        <f t="shared" si="14"/>
        <v>36645.962732919252</v>
      </c>
      <c r="Z77" s="18">
        <f t="shared" si="14"/>
        <v>36645.962732919252</v>
      </c>
      <c r="AA77" s="18">
        <f t="shared" si="14"/>
        <v>36645.962732919252</v>
      </c>
      <c r="AB77" s="18">
        <f t="shared" si="14"/>
        <v>36645.962732919252</v>
      </c>
      <c r="AC77" s="18">
        <f t="shared" si="14"/>
        <v>36645.962732919252</v>
      </c>
      <c r="AD77" s="18">
        <f t="shared" si="14"/>
        <v>36645.962732919252</v>
      </c>
      <c r="AE77" s="18">
        <f t="shared" si="14"/>
        <v>36645.962732919252</v>
      </c>
      <c r="AF77" s="18">
        <f t="shared" si="14"/>
        <v>36645.962732919252</v>
      </c>
      <c r="AG77" s="18">
        <f t="shared" si="14"/>
        <v>36645.962732919252</v>
      </c>
      <c r="AH77" s="18">
        <f t="shared" si="14"/>
        <v>36645.962732919252</v>
      </c>
      <c r="AI77" s="18">
        <f t="shared" si="14"/>
        <v>36645.962732919252</v>
      </c>
      <c r="AJ77" s="18">
        <f t="shared" si="14"/>
        <v>36645.962732919252</v>
      </c>
      <c r="AK77" s="18">
        <f t="shared" si="14"/>
        <v>36645.962732919252</v>
      </c>
      <c r="AL77" s="18">
        <f t="shared" si="14"/>
        <v>36645.962732919252</v>
      </c>
      <c r="AM77" s="18">
        <f t="shared" si="14"/>
        <v>36645.962732919252</v>
      </c>
      <c r="AN77" s="18">
        <f t="shared" si="14"/>
        <v>36645.962732919252</v>
      </c>
      <c r="AO77" s="18">
        <f t="shared" si="14"/>
        <v>36645.962732919252</v>
      </c>
      <c r="AP77" s="18">
        <f t="shared" si="14"/>
        <v>36645.962732919252</v>
      </c>
      <c r="AQ77" s="18">
        <f t="shared" si="14"/>
        <v>36645.962732919252</v>
      </c>
      <c r="AR77" s="18">
        <f t="shared" si="14"/>
        <v>36645.962732919252</v>
      </c>
    </row>
    <row r="78" spans="2:44">
      <c r="B78" s="16" t="s">
        <v>89</v>
      </c>
      <c r="C78" s="17">
        <f>11400000/322</f>
        <v>35403.726708074537</v>
      </c>
      <c r="D78" s="18">
        <f>SUM(E78:N78)</f>
        <v>354037.26708074543</v>
      </c>
      <c r="E78" s="18">
        <f t="shared" ref="E78:AR78" si="15">$C$78</f>
        <v>35403.726708074537</v>
      </c>
      <c r="F78" s="18">
        <f t="shared" si="15"/>
        <v>35403.726708074537</v>
      </c>
      <c r="G78" s="18">
        <f t="shared" si="15"/>
        <v>35403.726708074537</v>
      </c>
      <c r="H78" s="18">
        <f t="shared" si="15"/>
        <v>35403.726708074537</v>
      </c>
      <c r="I78" s="18">
        <f t="shared" si="15"/>
        <v>35403.726708074537</v>
      </c>
      <c r="J78" s="18">
        <f t="shared" si="15"/>
        <v>35403.726708074537</v>
      </c>
      <c r="K78" s="19">
        <f t="shared" si="15"/>
        <v>35403.726708074537</v>
      </c>
      <c r="L78" s="18">
        <f t="shared" si="15"/>
        <v>35403.726708074537</v>
      </c>
      <c r="M78" s="19">
        <f t="shared" si="15"/>
        <v>35403.726708074537</v>
      </c>
      <c r="N78" s="18">
        <f t="shared" si="15"/>
        <v>35403.726708074537</v>
      </c>
      <c r="O78" s="18">
        <f t="shared" si="15"/>
        <v>35403.726708074537</v>
      </c>
      <c r="P78" s="18">
        <f t="shared" si="15"/>
        <v>35403.726708074537</v>
      </c>
      <c r="Q78" s="18">
        <f t="shared" si="15"/>
        <v>35403.726708074537</v>
      </c>
      <c r="R78" s="18">
        <f t="shared" si="15"/>
        <v>35403.726708074537</v>
      </c>
      <c r="S78" s="18">
        <f t="shared" si="15"/>
        <v>35403.726708074537</v>
      </c>
      <c r="T78" s="18">
        <f t="shared" si="15"/>
        <v>35403.726708074537</v>
      </c>
      <c r="U78" s="18">
        <f t="shared" si="15"/>
        <v>35403.726708074537</v>
      </c>
      <c r="V78" s="18">
        <f t="shared" si="15"/>
        <v>35403.726708074537</v>
      </c>
      <c r="W78" s="18">
        <f t="shared" si="15"/>
        <v>35403.726708074537</v>
      </c>
      <c r="X78" s="18">
        <f t="shared" si="15"/>
        <v>35403.726708074537</v>
      </c>
      <c r="Y78" s="18">
        <f t="shared" si="15"/>
        <v>35403.726708074537</v>
      </c>
      <c r="Z78" s="18">
        <f t="shared" si="15"/>
        <v>35403.726708074537</v>
      </c>
      <c r="AA78" s="18">
        <f t="shared" si="15"/>
        <v>35403.726708074537</v>
      </c>
      <c r="AB78" s="18">
        <f t="shared" si="15"/>
        <v>35403.726708074537</v>
      </c>
      <c r="AC78" s="18">
        <f t="shared" si="15"/>
        <v>35403.726708074537</v>
      </c>
      <c r="AD78" s="18">
        <f t="shared" si="15"/>
        <v>35403.726708074537</v>
      </c>
      <c r="AE78" s="18">
        <f t="shared" si="15"/>
        <v>35403.726708074537</v>
      </c>
      <c r="AF78" s="18">
        <f t="shared" si="15"/>
        <v>35403.726708074537</v>
      </c>
      <c r="AG78" s="18">
        <f t="shared" si="15"/>
        <v>35403.726708074537</v>
      </c>
      <c r="AH78" s="18">
        <f t="shared" si="15"/>
        <v>35403.726708074537</v>
      </c>
      <c r="AI78" s="18">
        <f t="shared" si="15"/>
        <v>35403.726708074537</v>
      </c>
      <c r="AJ78" s="18">
        <f t="shared" si="15"/>
        <v>35403.726708074537</v>
      </c>
      <c r="AK78" s="18">
        <f t="shared" si="15"/>
        <v>35403.726708074537</v>
      </c>
      <c r="AL78" s="18">
        <f t="shared" si="15"/>
        <v>35403.726708074537</v>
      </c>
      <c r="AM78" s="18">
        <f t="shared" si="15"/>
        <v>35403.726708074537</v>
      </c>
      <c r="AN78" s="18">
        <f t="shared" si="15"/>
        <v>35403.726708074537</v>
      </c>
      <c r="AO78" s="18">
        <f t="shared" si="15"/>
        <v>35403.726708074537</v>
      </c>
      <c r="AP78" s="18">
        <f t="shared" si="15"/>
        <v>35403.726708074537</v>
      </c>
      <c r="AQ78" s="18">
        <f t="shared" si="15"/>
        <v>35403.726708074537</v>
      </c>
      <c r="AR78" s="18">
        <f t="shared" si="15"/>
        <v>35403.726708074537</v>
      </c>
    </row>
    <row r="79" spans="2:44">
      <c r="B79" s="20" t="s">
        <v>90</v>
      </c>
      <c r="C79" s="21">
        <v>9.67</v>
      </c>
      <c r="D79" s="23">
        <f>SUM(E79:N79)</f>
        <v>1044360</v>
      </c>
      <c r="E79" s="23">
        <f t="shared" ref="E79:AR79" si="16">$C$79*E41</f>
        <v>0</v>
      </c>
      <c r="F79" s="23">
        <f t="shared" si="16"/>
        <v>38680</v>
      </c>
      <c r="G79" s="23">
        <f t="shared" si="16"/>
        <v>116040</v>
      </c>
      <c r="H79" s="23">
        <f t="shared" si="16"/>
        <v>135380</v>
      </c>
      <c r="I79" s="23">
        <f t="shared" si="16"/>
        <v>96700</v>
      </c>
      <c r="J79" s="23">
        <f t="shared" si="16"/>
        <v>96700</v>
      </c>
      <c r="K79" s="22">
        <f t="shared" si="16"/>
        <v>135380</v>
      </c>
      <c r="L79" s="23">
        <f t="shared" si="16"/>
        <v>135380</v>
      </c>
      <c r="M79" s="22">
        <f t="shared" si="16"/>
        <v>145050</v>
      </c>
      <c r="N79" s="23">
        <f t="shared" si="16"/>
        <v>145050</v>
      </c>
      <c r="O79" s="23">
        <f t="shared" si="16"/>
        <v>154720</v>
      </c>
      <c r="P79" s="23">
        <f t="shared" si="16"/>
        <v>174060</v>
      </c>
      <c r="Q79" s="23">
        <f t="shared" si="16"/>
        <v>154720</v>
      </c>
      <c r="R79" s="23">
        <f t="shared" si="16"/>
        <v>164390</v>
      </c>
      <c r="S79" s="23">
        <f t="shared" si="16"/>
        <v>145050</v>
      </c>
      <c r="T79" s="23">
        <f t="shared" si="16"/>
        <v>135380</v>
      </c>
      <c r="U79" s="23">
        <f t="shared" si="16"/>
        <v>154720</v>
      </c>
      <c r="V79" s="23">
        <f t="shared" si="16"/>
        <v>154720</v>
      </c>
      <c r="W79" s="23">
        <f t="shared" si="16"/>
        <v>77360</v>
      </c>
      <c r="X79" s="23">
        <f t="shared" si="16"/>
        <v>116040</v>
      </c>
      <c r="Y79" s="23">
        <f t="shared" si="16"/>
        <v>154720</v>
      </c>
      <c r="Z79" s="23">
        <f t="shared" si="16"/>
        <v>145050</v>
      </c>
      <c r="AA79" s="23">
        <f t="shared" si="16"/>
        <v>145050</v>
      </c>
      <c r="AB79" s="23">
        <f t="shared" si="16"/>
        <v>154720</v>
      </c>
      <c r="AC79" s="23">
        <f t="shared" si="16"/>
        <v>135380</v>
      </c>
      <c r="AD79" s="23">
        <f t="shared" si="16"/>
        <v>154720</v>
      </c>
      <c r="AE79" s="23">
        <f t="shared" si="16"/>
        <v>125710</v>
      </c>
      <c r="AF79" s="23">
        <f t="shared" si="16"/>
        <v>87030</v>
      </c>
      <c r="AG79" s="23">
        <f t="shared" si="16"/>
        <v>154720</v>
      </c>
      <c r="AH79" s="23">
        <f t="shared" si="16"/>
        <v>154720</v>
      </c>
      <c r="AI79" s="23">
        <f t="shared" si="16"/>
        <v>145050</v>
      </c>
      <c r="AJ79" s="23">
        <f t="shared" si="16"/>
        <v>116040</v>
      </c>
      <c r="AK79" s="23">
        <f t="shared" si="16"/>
        <v>87030</v>
      </c>
      <c r="AL79" s="23">
        <f t="shared" si="16"/>
        <v>0</v>
      </c>
      <c r="AM79" s="23">
        <f t="shared" si="16"/>
        <v>0</v>
      </c>
      <c r="AN79" s="23">
        <f t="shared" si="16"/>
        <v>0</v>
      </c>
      <c r="AO79" s="23">
        <f t="shared" si="16"/>
        <v>0</v>
      </c>
      <c r="AP79" s="23">
        <f t="shared" si="16"/>
        <v>0</v>
      </c>
      <c r="AQ79" s="23">
        <f t="shared" si="16"/>
        <v>0</v>
      </c>
      <c r="AR79" s="23">
        <f t="shared" si="16"/>
        <v>0</v>
      </c>
    </row>
    <row r="80" spans="2:44">
      <c r="B80" s="24" t="s">
        <v>91</v>
      </c>
      <c r="C80" s="25">
        <f>SUM(E80:N80)</f>
        <v>1727657.2455900619</v>
      </c>
      <c r="D80" s="174">
        <f>D59-D76-D77-D78-D79</f>
        <v>15513799.345590064</v>
      </c>
      <c r="E80" s="26">
        <f t="shared" ref="E80:AR80" si="17">E59-E76-E77-E78-E79</f>
        <v>-72049.689440993796</v>
      </c>
      <c r="F80" s="26">
        <f t="shared" si="17"/>
        <v>-110729.6894409938</v>
      </c>
      <c r="G80" s="26">
        <f t="shared" si="17"/>
        <v>-188089.6894409938</v>
      </c>
      <c r="H80" s="26">
        <f t="shared" si="17"/>
        <v>1025693.3405590062</v>
      </c>
      <c r="I80" s="26">
        <f t="shared" si="17"/>
        <v>-168749.6894409938</v>
      </c>
      <c r="J80" s="26">
        <f t="shared" si="17"/>
        <v>106415.07055900621</v>
      </c>
      <c r="K80" s="27">
        <f t="shared" si="17"/>
        <v>136880.55055900617</v>
      </c>
      <c r="L80" s="26">
        <f t="shared" si="17"/>
        <v>481267.47055900621</v>
      </c>
      <c r="M80" s="27">
        <f t="shared" si="17"/>
        <v>420263.76055900613</v>
      </c>
      <c r="N80" s="26">
        <f t="shared" si="17"/>
        <v>96755.810559006204</v>
      </c>
      <c r="O80" s="26">
        <f t="shared" si="17"/>
        <v>414767.14055900625</v>
      </c>
      <c r="P80" s="26">
        <f t="shared" si="17"/>
        <v>478928.82055900618</v>
      </c>
      <c r="Q80" s="26">
        <f t="shared" si="17"/>
        <v>204390.5905590062</v>
      </c>
      <c r="R80" s="26">
        <f t="shared" si="17"/>
        <v>315609.45055900619</v>
      </c>
      <c r="S80" s="26">
        <f t="shared" si="17"/>
        <v>196958.11055900622</v>
      </c>
      <c r="T80" s="26">
        <f t="shared" si="17"/>
        <v>-137131.8794409938</v>
      </c>
      <c r="U80" s="26">
        <f t="shared" si="17"/>
        <v>213884.7105590062</v>
      </c>
      <c r="V80" s="26">
        <f t="shared" si="17"/>
        <v>21164.440559006209</v>
      </c>
      <c r="W80" s="26">
        <f t="shared" si="17"/>
        <v>-86091.179440993787</v>
      </c>
      <c r="X80" s="26">
        <f t="shared" si="17"/>
        <v>-76736.129440993798</v>
      </c>
      <c r="Y80" s="26">
        <f t="shared" si="17"/>
        <v>-13166.899440993788</v>
      </c>
      <c r="Z80" s="26">
        <f t="shared" si="17"/>
        <v>73695.720559006237</v>
      </c>
      <c r="AA80" s="26">
        <f t="shared" si="17"/>
        <v>106264.98255900622</v>
      </c>
      <c r="AB80" s="26">
        <f t="shared" si="17"/>
        <v>391139.33455900615</v>
      </c>
      <c r="AC80" s="26">
        <f t="shared" si="17"/>
        <v>208811.64455900621</v>
      </c>
      <c r="AD80" s="26">
        <f t="shared" si="17"/>
        <v>625874.84855900623</v>
      </c>
      <c r="AE80" s="26">
        <f t="shared" si="17"/>
        <v>568330.38155900629</v>
      </c>
      <c r="AF80" s="26">
        <f t="shared" si="17"/>
        <v>35256.966559006192</v>
      </c>
      <c r="AG80" s="26">
        <f t="shared" si="17"/>
        <v>377093.12055900623</v>
      </c>
      <c r="AH80" s="26">
        <f t="shared" si="17"/>
        <v>554468.58655900625</v>
      </c>
      <c r="AI80" s="26">
        <f t="shared" si="17"/>
        <v>135503.35055900621</v>
      </c>
      <c r="AJ80" s="26">
        <f t="shared" si="17"/>
        <v>-81568.389440993778</v>
      </c>
      <c r="AK80" s="26">
        <f t="shared" si="17"/>
        <v>-159079.6894409938</v>
      </c>
      <c r="AL80" s="26">
        <f t="shared" si="17"/>
        <v>-72049.689440993796</v>
      </c>
      <c r="AM80" s="26">
        <f t="shared" si="17"/>
        <v>-72049.689440993796</v>
      </c>
      <c r="AN80" s="26">
        <f t="shared" si="17"/>
        <v>-72049.689440993796</v>
      </c>
      <c r="AO80" s="26">
        <f t="shared" si="17"/>
        <v>-72049.689440993796</v>
      </c>
      <c r="AP80" s="26">
        <f t="shared" si="17"/>
        <v>-72049.689440993796</v>
      </c>
      <c r="AQ80" s="26">
        <f t="shared" si="17"/>
        <v>-72049.689440993796</v>
      </c>
      <c r="AR80" s="26">
        <f t="shared" si="17"/>
        <v>-72049.689440993796</v>
      </c>
    </row>
    <row r="81" spans="2:44">
      <c r="B81" s="320" t="s">
        <v>92</v>
      </c>
      <c r="C81" s="321"/>
      <c r="D81" s="326"/>
      <c r="E81" s="29" t="e">
        <f>E80+#REF!</f>
        <v>#REF!</v>
      </c>
      <c r="F81" s="29" t="e">
        <f t="shared" ref="F81:AR81" si="18">F80+E81</f>
        <v>#REF!</v>
      </c>
      <c r="G81" s="29" t="e">
        <f t="shared" si="18"/>
        <v>#REF!</v>
      </c>
      <c r="H81" s="29" t="e">
        <f t="shared" si="18"/>
        <v>#REF!</v>
      </c>
      <c r="I81" s="29" t="e">
        <f t="shared" si="18"/>
        <v>#REF!</v>
      </c>
      <c r="J81" s="29" t="e">
        <f t="shared" si="18"/>
        <v>#REF!</v>
      </c>
      <c r="K81" s="28" t="e">
        <f t="shared" si="18"/>
        <v>#REF!</v>
      </c>
      <c r="L81" s="29" t="e">
        <f t="shared" si="18"/>
        <v>#REF!</v>
      </c>
      <c r="M81" s="28" t="e">
        <f t="shared" si="18"/>
        <v>#REF!</v>
      </c>
      <c r="N81" s="29" t="e">
        <f t="shared" si="18"/>
        <v>#REF!</v>
      </c>
      <c r="O81" s="29" t="e">
        <f t="shared" si="18"/>
        <v>#REF!</v>
      </c>
      <c r="P81" s="29" t="e">
        <f t="shared" si="18"/>
        <v>#REF!</v>
      </c>
      <c r="Q81" s="29" t="e">
        <f t="shared" si="18"/>
        <v>#REF!</v>
      </c>
      <c r="R81" s="29" t="e">
        <f t="shared" si="18"/>
        <v>#REF!</v>
      </c>
      <c r="S81" s="29" t="e">
        <f t="shared" si="18"/>
        <v>#REF!</v>
      </c>
      <c r="T81" s="29" t="e">
        <f t="shared" si="18"/>
        <v>#REF!</v>
      </c>
      <c r="U81" s="29" t="e">
        <f t="shared" si="18"/>
        <v>#REF!</v>
      </c>
      <c r="V81" s="29" t="e">
        <f t="shared" si="18"/>
        <v>#REF!</v>
      </c>
      <c r="W81" s="29" t="e">
        <f t="shared" si="18"/>
        <v>#REF!</v>
      </c>
      <c r="X81" s="29" t="e">
        <f t="shared" si="18"/>
        <v>#REF!</v>
      </c>
      <c r="Y81" s="29" t="e">
        <f t="shared" si="18"/>
        <v>#REF!</v>
      </c>
      <c r="Z81" s="29" t="e">
        <f t="shared" si="18"/>
        <v>#REF!</v>
      </c>
      <c r="AA81" s="29" t="e">
        <f t="shared" si="18"/>
        <v>#REF!</v>
      </c>
      <c r="AB81" s="29" t="e">
        <f t="shared" si="18"/>
        <v>#REF!</v>
      </c>
      <c r="AC81" s="29" t="e">
        <f t="shared" si="18"/>
        <v>#REF!</v>
      </c>
      <c r="AD81" s="29" t="e">
        <f t="shared" si="18"/>
        <v>#REF!</v>
      </c>
      <c r="AE81" s="29" t="e">
        <f t="shared" si="18"/>
        <v>#REF!</v>
      </c>
      <c r="AF81" s="29" t="e">
        <f t="shared" si="18"/>
        <v>#REF!</v>
      </c>
      <c r="AG81" s="29" t="e">
        <f t="shared" si="18"/>
        <v>#REF!</v>
      </c>
      <c r="AH81" s="29" t="e">
        <f t="shared" si="18"/>
        <v>#REF!</v>
      </c>
      <c r="AI81" s="29" t="e">
        <f t="shared" si="18"/>
        <v>#REF!</v>
      </c>
      <c r="AJ81" s="29" t="e">
        <f t="shared" si="18"/>
        <v>#REF!</v>
      </c>
      <c r="AK81" s="29" t="e">
        <f t="shared" si="18"/>
        <v>#REF!</v>
      </c>
      <c r="AL81" s="29" t="e">
        <f t="shared" si="18"/>
        <v>#REF!</v>
      </c>
      <c r="AM81" s="29" t="e">
        <f t="shared" si="18"/>
        <v>#REF!</v>
      </c>
      <c r="AN81" s="29" t="e">
        <f t="shared" si="18"/>
        <v>#REF!</v>
      </c>
      <c r="AO81" s="29" t="e">
        <f t="shared" si="18"/>
        <v>#REF!</v>
      </c>
      <c r="AP81" s="29" t="e">
        <f t="shared" si="18"/>
        <v>#REF!</v>
      </c>
      <c r="AQ81" s="29" t="e">
        <f t="shared" si="18"/>
        <v>#REF!</v>
      </c>
      <c r="AR81" s="29" t="e">
        <f t="shared" si="18"/>
        <v>#REF!</v>
      </c>
    </row>
    <row r="82" spans="2:44">
      <c r="D82">
        <f>D80/D59</f>
        <v>0.82938536705837607</v>
      </c>
    </row>
    <row r="84" spans="2:44">
      <c r="B84" s="30" t="s">
        <v>93</v>
      </c>
      <c r="C84" s="31">
        <f>D41/D26</f>
        <v>0.74548623403502079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R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5ABA-4FF6-46B9-A613-2CC0E5FB7CA8}">
  <dimension ref="A2:AZ102"/>
  <sheetViews>
    <sheetView zoomScale="70" zoomScaleNormal="70" workbookViewId="0">
      <selection activeCell="AY42" sqref="AY42"/>
    </sheetView>
  </sheetViews>
  <sheetFormatPr defaultColWidth="11.42578125" defaultRowHeight="15"/>
  <cols>
    <col min="2" max="2" width="22.85546875" customWidth="1"/>
    <col min="3" max="3" width="24.85546875" bestFit="1" customWidth="1"/>
    <col min="4" max="4" width="14.85546875" customWidth="1"/>
    <col min="5" max="5" width="10.140625" bestFit="1" customWidth="1"/>
    <col min="6" max="6" width="12.42578125" bestFit="1" customWidth="1"/>
    <col min="7" max="7" width="13.140625" bestFit="1" customWidth="1"/>
    <col min="8" max="8" width="11.28515625" bestFit="1" customWidth="1"/>
  </cols>
  <sheetData>
    <row r="2" spans="2:52" ht="15.75">
      <c r="B2" s="54" t="s">
        <v>0</v>
      </c>
      <c r="C2" s="109" t="s">
        <v>1</v>
      </c>
    </row>
    <row r="3" spans="2:52" ht="15.75">
      <c r="B3" s="54" t="s">
        <v>2</v>
      </c>
      <c r="C3" s="109" t="s">
        <v>561</v>
      </c>
    </row>
    <row r="4" spans="2:52" ht="15.75">
      <c r="B4" s="54" t="s">
        <v>3</v>
      </c>
      <c r="C4" s="110">
        <v>45652</v>
      </c>
    </row>
    <row r="5" spans="2:52" ht="15.75">
      <c r="B5" s="54" t="s">
        <v>4</v>
      </c>
      <c r="C5" s="110"/>
    </row>
    <row r="6" spans="2:52" ht="15.75">
      <c r="B6" s="179" t="s">
        <v>230</v>
      </c>
      <c r="C6" s="110" t="s">
        <v>421</v>
      </c>
    </row>
    <row r="7" spans="2:52" ht="15.75">
      <c r="B7" s="2"/>
      <c r="C7" s="2"/>
    </row>
    <row r="8" spans="2:52" ht="15.75">
      <c r="B8" s="54" t="s">
        <v>5</v>
      </c>
      <c r="D8" s="41" t="s">
        <v>6</v>
      </c>
      <c r="E8" s="42">
        <v>45652</v>
      </c>
      <c r="F8" s="42">
        <v>45653</v>
      </c>
      <c r="G8" s="42">
        <v>45654</v>
      </c>
      <c r="H8" s="42">
        <v>45655</v>
      </c>
      <c r="I8" s="42">
        <v>45656</v>
      </c>
      <c r="J8" s="42">
        <v>45657</v>
      </c>
      <c r="K8" s="42">
        <v>45658</v>
      </c>
      <c r="L8" s="42">
        <v>45659</v>
      </c>
      <c r="M8" s="42">
        <v>45660</v>
      </c>
      <c r="N8" s="42">
        <v>45661</v>
      </c>
      <c r="O8" s="42">
        <v>45662</v>
      </c>
      <c r="P8" s="42">
        <v>45663</v>
      </c>
      <c r="Q8" s="42">
        <v>45664</v>
      </c>
      <c r="R8" s="42">
        <v>45665</v>
      </c>
      <c r="S8" s="42">
        <v>45666</v>
      </c>
      <c r="T8" s="42">
        <v>45667</v>
      </c>
      <c r="U8" s="42">
        <v>45668</v>
      </c>
      <c r="V8" s="42">
        <v>45669</v>
      </c>
      <c r="W8" s="42">
        <v>45670</v>
      </c>
      <c r="X8" s="42">
        <v>45671</v>
      </c>
      <c r="Y8" s="42">
        <v>45672</v>
      </c>
      <c r="Z8" s="42">
        <v>45673</v>
      </c>
      <c r="AA8" s="42">
        <v>45674</v>
      </c>
      <c r="AB8" s="42">
        <v>45675</v>
      </c>
      <c r="AC8" s="42">
        <v>45676</v>
      </c>
      <c r="AD8" s="42">
        <v>45677</v>
      </c>
      <c r="AE8" s="42">
        <v>45678</v>
      </c>
      <c r="AF8" s="42">
        <v>45679</v>
      </c>
      <c r="AG8" s="42">
        <v>45680</v>
      </c>
      <c r="AH8" s="42">
        <v>45681</v>
      </c>
      <c r="AI8" s="42">
        <v>45682</v>
      </c>
      <c r="AJ8" s="42">
        <v>45683</v>
      </c>
      <c r="AK8" s="42">
        <v>45684</v>
      </c>
      <c r="AL8" s="42">
        <v>45685</v>
      </c>
      <c r="AM8" s="42">
        <v>45686</v>
      </c>
      <c r="AN8" s="42">
        <v>45687</v>
      </c>
      <c r="AO8" s="42">
        <v>45688</v>
      </c>
      <c r="AP8" s="42">
        <v>45689</v>
      </c>
      <c r="AQ8" s="42">
        <v>45690</v>
      </c>
      <c r="AR8" s="42">
        <v>45691</v>
      </c>
      <c r="AS8" s="42">
        <v>45692</v>
      </c>
      <c r="AT8" s="42">
        <v>45693</v>
      </c>
      <c r="AU8" s="42">
        <v>45694</v>
      </c>
      <c r="AV8" s="42">
        <v>45695</v>
      </c>
      <c r="AW8" s="42">
        <v>45696</v>
      </c>
      <c r="AX8" s="42">
        <v>45697</v>
      </c>
      <c r="AY8" s="42">
        <v>45698</v>
      </c>
      <c r="AZ8" s="42">
        <v>45699</v>
      </c>
    </row>
    <row r="9" spans="2:52">
      <c r="B9" s="46" t="s">
        <v>7</v>
      </c>
      <c r="C9" s="47" t="s">
        <v>8</v>
      </c>
      <c r="D9" s="71">
        <f>SUM(E9:N9)</f>
        <v>63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4</v>
      </c>
      <c r="L9" s="114">
        <v>15</v>
      </c>
      <c r="M9" s="114">
        <v>23</v>
      </c>
      <c r="N9" s="114">
        <v>21</v>
      </c>
      <c r="O9" s="114">
        <v>17</v>
      </c>
      <c r="P9" s="114">
        <v>18</v>
      </c>
      <c r="Q9" s="114">
        <v>14</v>
      </c>
      <c r="R9" s="114">
        <v>19</v>
      </c>
      <c r="S9" s="114">
        <v>10</v>
      </c>
      <c r="T9" s="114">
        <v>18</v>
      </c>
      <c r="U9" s="114">
        <v>27</v>
      </c>
      <c r="V9" s="114">
        <v>17</v>
      </c>
      <c r="W9" s="114">
        <v>23</v>
      </c>
      <c r="X9" s="114">
        <v>18</v>
      </c>
      <c r="Y9" s="114">
        <v>18</v>
      </c>
      <c r="Z9" s="114">
        <v>21</v>
      </c>
      <c r="AA9" s="114">
        <v>20</v>
      </c>
      <c r="AB9" s="114">
        <v>21</v>
      </c>
      <c r="AC9" s="114">
        <v>20</v>
      </c>
      <c r="AD9" s="114">
        <v>15</v>
      </c>
      <c r="AE9" s="114">
        <v>24</v>
      </c>
      <c r="AF9" s="114">
        <v>19</v>
      </c>
      <c r="AG9" s="114">
        <v>20</v>
      </c>
      <c r="AH9" s="114">
        <v>4</v>
      </c>
      <c r="AI9" s="114">
        <v>19</v>
      </c>
      <c r="AJ9" s="114">
        <v>27</v>
      </c>
      <c r="AK9" s="114">
        <v>19</v>
      </c>
      <c r="AL9" s="114">
        <v>19</v>
      </c>
      <c r="AM9" s="114">
        <v>17</v>
      </c>
      <c r="AN9" s="114">
        <v>19</v>
      </c>
      <c r="AO9" s="114">
        <v>23</v>
      </c>
      <c r="AP9" s="114">
        <v>4</v>
      </c>
      <c r="AQ9" s="114">
        <v>23</v>
      </c>
      <c r="AR9" s="114">
        <v>24</v>
      </c>
      <c r="AS9" s="114">
        <v>19</v>
      </c>
      <c r="AT9" s="114">
        <v>15</v>
      </c>
      <c r="AU9" s="114">
        <v>20</v>
      </c>
      <c r="AV9" s="114">
        <v>11</v>
      </c>
      <c r="AW9" s="114">
        <v>0</v>
      </c>
      <c r="AX9" s="114">
        <v>0</v>
      </c>
      <c r="AY9" s="114">
        <v>0</v>
      </c>
      <c r="AZ9" s="114">
        <v>0</v>
      </c>
    </row>
    <row r="10" spans="2:52">
      <c r="B10" s="48" t="s">
        <v>9</v>
      </c>
      <c r="C10" s="38" t="s">
        <v>8</v>
      </c>
      <c r="D10" s="71">
        <f t="shared" ref="D10:D16" si="0">SUM(E10:K10)</f>
        <v>79</v>
      </c>
      <c r="E10" s="115">
        <v>0</v>
      </c>
      <c r="F10" s="115">
        <v>0</v>
      </c>
      <c r="G10" s="115">
        <v>0</v>
      </c>
      <c r="H10" s="115">
        <v>11</v>
      </c>
      <c r="I10" s="115">
        <v>24</v>
      </c>
      <c r="J10" s="115">
        <v>24</v>
      </c>
      <c r="K10" s="115">
        <v>20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11</v>
      </c>
      <c r="AW10" s="115">
        <v>24</v>
      </c>
      <c r="AX10" s="115">
        <v>24</v>
      </c>
      <c r="AY10" s="115">
        <v>24</v>
      </c>
      <c r="AZ10" s="115">
        <v>0</v>
      </c>
    </row>
    <row r="11" spans="2:52">
      <c r="B11" s="48" t="s">
        <v>10</v>
      </c>
      <c r="C11" s="38" t="s">
        <v>8</v>
      </c>
      <c r="D11" s="71">
        <f t="shared" si="0"/>
        <v>48</v>
      </c>
      <c r="E11" s="115">
        <v>24</v>
      </c>
      <c r="F11" s="115">
        <v>24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5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  <c r="AZ11" s="115">
        <v>0</v>
      </c>
    </row>
    <row r="12" spans="2:52">
      <c r="B12" s="48" t="s">
        <v>11</v>
      </c>
      <c r="C12" s="38" t="s">
        <v>8</v>
      </c>
      <c r="D12" s="71">
        <f t="shared" si="0"/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5">
        <v>0</v>
      </c>
      <c r="AB12" s="115">
        <v>0</v>
      </c>
      <c r="AC12" s="115">
        <v>0</v>
      </c>
      <c r="AD12" s="115">
        <v>0</v>
      </c>
      <c r="AE12" s="115">
        <v>0</v>
      </c>
      <c r="AF12" s="115">
        <v>0</v>
      </c>
      <c r="AG12" s="115">
        <v>0</v>
      </c>
      <c r="AH12" s="115">
        <v>0</v>
      </c>
      <c r="AI12" s="115">
        <v>0</v>
      </c>
      <c r="AJ12" s="115">
        <v>0</v>
      </c>
      <c r="AK12" s="115">
        <v>0</v>
      </c>
      <c r="AL12" s="115">
        <v>0</v>
      </c>
      <c r="AM12" s="115">
        <v>0</v>
      </c>
      <c r="AN12" s="115">
        <v>0</v>
      </c>
      <c r="AO12" s="115">
        <v>0</v>
      </c>
      <c r="AP12" s="115">
        <v>0</v>
      </c>
      <c r="AQ12" s="115">
        <v>0</v>
      </c>
      <c r="AR12" s="115">
        <v>0</v>
      </c>
      <c r="AS12" s="115">
        <v>0</v>
      </c>
      <c r="AT12" s="115">
        <v>0</v>
      </c>
      <c r="AU12" s="115">
        <v>0</v>
      </c>
      <c r="AV12" s="115">
        <v>0</v>
      </c>
      <c r="AW12" s="115">
        <v>0</v>
      </c>
      <c r="AX12" s="115">
        <v>0</v>
      </c>
      <c r="AY12" s="115">
        <v>0</v>
      </c>
      <c r="AZ12" s="115">
        <v>0</v>
      </c>
    </row>
    <row r="13" spans="2:52">
      <c r="B13" s="48" t="s">
        <v>12</v>
      </c>
      <c r="C13" s="38" t="s">
        <v>8</v>
      </c>
      <c r="D13" s="71">
        <f t="shared" si="0"/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  <c r="AS13" s="115">
        <v>0</v>
      </c>
      <c r="AT13" s="115">
        <v>0</v>
      </c>
      <c r="AU13" s="115">
        <v>0</v>
      </c>
      <c r="AV13" s="115">
        <v>0</v>
      </c>
      <c r="AW13" s="115">
        <v>0</v>
      </c>
      <c r="AX13" s="115">
        <v>0</v>
      </c>
      <c r="AY13" s="115">
        <v>0</v>
      </c>
      <c r="AZ13" s="115">
        <v>0</v>
      </c>
    </row>
    <row r="14" spans="2:52">
      <c r="B14" s="48" t="s">
        <v>13</v>
      </c>
      <c r="C14" s="38" t="s">
        <v>8</v>
      </c>
      <c r="D14" s="71">
        <f t="shared" si="0"/>
        <v>4</v>
      </c>
      <c r="E14" s="115">
        <v>0</v>
      </c>
      <c r="F14" s="115">
        <v>0</v>
      </c>
      <c r="G14" s="115">
        <v>4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5">
        <v>0</v>
      </c>
      <c r="Q14" s="115">
        <v>0</v>
      </c>
      <c r="R14" s="115">
        <v>0</v>
      </c>
      <c r="S14" s="115">
        <v>0</v>
      </c>
      <c r="T14" s="115">
        <v>0</v>
      </c>
      <c r="U14" s="115">
        <v>0</v>
      </c>
      <c r="V14" s="115">
        <v>0</v>
      </c>
      <c r="W14" s="115">
        <v>0</v>
      </c>
      <c r="X14" s="115">
        <v>0</v>
      </c>
      <c r="Y14" s="115">
        <v>0</v>
      </c>
      <c r="Z14" s="115">
        <v>0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6</v>
      </c>
      <c r="AI14" s="115">
        <v>0</v>
      </c>
      <c r="AJ14" s="115">
        <v>0</v>
      </c>
      <c r="AK14" s="115">
        <v>0</v>
      </c>
      <c r="AL14" s="115">
        <v>0</v>
      </c>
      <c r="AM14" s="115">
        <v>0</v>
      </c>
      <c r="AN14" s="115">
        <v>0</v>
      </c>
      <c r="AO14" s="115">
        <v>0</v>
      </c>
      <c r="AP14" s="115">
        <v>0</v>
      </c>
      <c r="AQ14" s="115">
        <v>0</v>
      </c>
      <c r="AR14" s="115">
        <v>0</v>
      </c>
      <c r="AS14" s="115">
        <v>0</v>
      </c>
      <c r="AT14" s="115">
        <v>0</v>
      </c>
      <c r="AU14" s="115">
        <v>0</v>
      </c>
      <c r="AV14" s="115">
        <v>0</v>
      </c>
      <c r="AW14" s="115">
        <v>0</v>
      </c>
      <c r="AX14" s="115">
        <v>0</v>
      </c>
      <c r="AY14" s="115">
        <v>0</v>
      </c>
      <c r="AZ14" s="115">
        <v>0</v>
      </c>
    </row>
    <row r="15" spans="2:52">
      <c r="B15" s="49" t="s">
        <v>14</v>
      </c>
      <c r="C15" s="40" t="s">
        <v>8</v>
      </c>
      <c r="D15" s="71">
        <f t="shared" si="0"/>
        <v>33</v>
      </c>
      <c r="E15" s="116">
        <v>0</v>
      </c>
      <c r="F15" s="116">
        <v>0</v>
      </c>
      <c r="G15" s="116">
        <v>20</v>
      </c>
      <c r="H15" s="116">
        <v>13</v>
      </c>
      <c r="I15" s="116">
        <v>0</v>
      </c>
      <c r="J15" s="116">
        <v>0</v>
      </c>
      <c r="K15" s="116">
        <v>0</v>
      </c>
      <c r="L15" s="116">
        <v>9</v>
      </c>
      <c r="M15" s="116">
        <v>1</v>
      </c>
      <c r="N15" s="116">
        <v>3</v>
      </c>
      <c r="O15" s="116">
        <v>7</v>
      </c>
      <c r="P15" s="116">
        <v>6</v>
      </c>
      <c r="Q15" s="116">
        <v>10</v>
      </c>
      <c r="R15" s="116">
        <v>5</v>
      </c>
      <c r="S15" s="116">
        <v>14</v>
      </c>
      <c r="T15" s="116">
        <v>6</v>
      </c>
      <c r="U15" s="116">
        <v>0</v>
      </c>
      <c r="V15" s="116">
        <v>7</v>
      </c>
      <c r="W15" s="116">
        <v>1</v>
      </c>
      <c r="X15" s="116">
        <v>6</v>
      </c>
      <c r="Y15" s="116">
        <v>1</v>
      </c>
      <c r="Z15" s="116">
        <v>3</v>
      </c>
      <c r="AA15" s="116">
        <v>4</v>
      </c>
      <c r="AB15" s="116">
        <v>3</v>
      </c>
      <c r="AC15" s="116">
        <v>4</v>
      </c>
      <c r="AD15" s="116">
        <v>9</v>
      </c>
      <c r="AE15" s="116">
        <v>0</v>
      </c>
      <c r="AF15" s="116">
        <v>5</v>
      </c>
      <c r="AG15" s="116">
        <v>4</v>
      </c>
      <c r="AH15" s="116">
        <v>14</v>
      </c>
      <c r="AI15" s="116">
        <v>5</v>
      </c>
      <c r="AJ15" s="116">
        <v>0</v>
      </c>
      <c r="AK15" s="116">
        <v>5</v>
      </c>
      <c r="AL15" s="116">
        <v>5</v>
      </c>
      <c r="AM15" s="116">
        <v>7</v>
      </c>
      <c r="AN15" s="116">
        <v>5</v>
      </c>
      <c r="AO15" s="116">
        <v>1</v>
      </c>
      <c r="AP15" s="116">
        <v>20</v>
      </c>
      <c r="AQ15" s="116">
        <v>1</v>
      </c>
      <c r="AR15" s="116">
        <v>0</v>
      </c>
      <c r="AS15" s="116">
        <v>5</v>
      </c>
      <c r="AT15" s="116">
        <v>9</v>
      </c>
      <c r="AU15" s="116">
        <v>4</v>
      </c>
      <c r="AV15" s="116">
        <v>2</v>
      </c>
      <c r="AW15" s="116">
        <v>0</v>
      </c>
      <c r="AX15" s="116">
        <v>0</v>
      </c>
      <c r="AY15" s="116">
        <v>0</v>
      </c>
      <c r="AZ15" s="116">
        <v>0</v>
      </c>
    </row>
    <row r="16" spans="2:52">
      <c r="B16" s="68" t="s">
        <v>15</v>
      </c>
      <c r="C16" s="69" t="s">
        <v>8</v>
      </c>
      <c r="D16" s="70">
        <f t="shared" si="0"/>
        <v>168</v>
      </c>
      <c r="E16" s="117">
        <f t="shared" ref="E16:AR16" si="1">SUM(E9:E15)</f>
        <v>24</v>
      </c>
      <c r="F16" s="117">
        <f t="shared" si="1"/>
        <v>24</v>
      </c>
      <c r="G16" s="117">
        <f t="shared" si="1"/>
        <v>24</v>
      </c>
      <c r="H16" s="117">
        <f t="shared" si="1"/>
        <v>24</v>
      </c>
      <c r="I16" s="117">
        <f t="shared" si="1"/>
        <v>24</v>
      </c>
      <c r="J16" s="117">
        <f t="shared" si="1"/>
        <v>24</v>
      </c>
      <c r="K16" s="117">
        <f t="shared" si="1"/>
        <v>24</v>
      </c>
      <c r="L16" s="117">
        <f t="shared" si="1"/>
        <v>24</v>
      </c>
      <c r="M16" s="117">
        <f t="shared" si="1"/>
        <v>24</v>
      </c>
      <c r="N16" s="117">
        <f t="shared" si="1"/>
        <v>24</v>
      </c>
      <c r="O16" s="117">
        <f t="shared" si="1"/>
        <v>24</v>
      </c>
      <c r="P16" s="117">
        <f t="shared" si="1"/>
        <v>24</v>
      </c>
      <c r="Q16" s="117">
        <f t="shared" si="1"/>
        <v>24</v>
      </c>
      <c r="R16" s="117">
        <f t="shared" si="1"/>
        <v>24</v>
      </c>
      <c r="S16" s="117">
        <f t="shared" si="1"/>
        <v>24</v>
      </c>
      <c r="T16" s="117">
        <f t="shared" si="1"/>
        <v>24</v>
      </c>
      <c r="U16" s="117">
        <f t="shared" si="1"/>
        <v>27</v>
      </c>
      <c r="V16" s="117">
        <f t="shared" si="1"/>
        <v>24</v>
      </c>
      <c r="W16" s="117">
        <f t="shared" si="1"/>
        <v>24</v>
      </c>
      <c r="X16" s="117">
        <f t="shared" si="1"/>
        <v>24</v>
      </c>
      <c r="Y16" s="117">
        <f t="shared" si="1"/>
        <v>24</v>
      </c>
      <c r="Z16" s="117">
        <f t="shared" si="1"/>
        <v>24</v>
      </c>
      <c r="AA16" s="117">
        <f t="shared" si="1"/>
        <v>24</v>
      </c>
      <c r="AB16" s="117">
        <f t="shared" si="1"/>
        <v>24</v>
      </c>
      <c r="AC16" s="117">
        <f t="shared" si="1"/>
        <v>24</v>
      </c>
      <c r="AD16" s="117">
        <f t="shared" si="1"/>
        <v>24</v>
      </c>
      <c r="AE16" s="117">
        <f t="shared" si="1"/>
        <v>24</v>
      </c>
      <c r="AF16" s="117">
        <f t="shared" si="1"/>
        <v>24</v>
      </c>
      <c r="AG16" s="117">
        <f t="shared" si="1"/>
        <v>24</v>
      </c>
      <c r="AH16" s="117">
        <f t="shared" si="1"/>
        <v>24</v>
      </c>
      <c r="AI16" s="117">
        <f t="shared" si="1"/>
        <v>24</v>
      </c>
      <c r="AJ16" s="117">
        <f t="shared" si="1"/>
        <v>27</v>
      </c>
      <c r="AK16" s="117">
        <f t="shared" si="1"/>
        <v>24</v>
      </c>
      <c r="AL16" s="117">
        <f t="shared" si="1"/>
        <v>24</v>
      </c>
      <c r="AM16" s="117">
        <f t="shared" si="1"/>
        <v>24</v>
      </c>
      <c r="AN16" s="117">
        <f t="shared" si="1"/>
        <v>24</v>
      </c>
      <c r="AO16" s="117">
        <f t="shared" si="1"/>
        <v>24</v>
      </c>
      <c r="AP16" s="117">
        <f t="shared" si="1"/>
        <v>24</v>
      </c>
      <c r="AQ16" s="117">
        <f t="shared" si="1"/>
        <v>24</v>
      </c>
      <c r="AR16" s="117">
        <f t="shared" si="1"/>
        <v>24</v>
      </c>
      <c r="AS16" s="117">
        <f t="shared" ref="AS16:AY16" si="2">SUM(AS9:AS15)</f>
        <v>24</v>
      </c>
      <c r="AT16" s="117">
        <f t="shared" si="2"/>
        <v>24</v>
      </c>
      <c r="AU16" s="117">
        <f t="shared" si="2"/>
        <v>24</v>
      </c>
      <c r="AV16" s="117">
        <f t="shared" si="2"/>
        <v>24</v>
      </c>
      <c r="AW16" s="117">
        <f t="shared" si="2"/>
        <v>24</v>
      </c>
      <c r="AX16" s="117">
        <f t="shared" si="2"/>
        <v>24</v>
      </c>
      <c r="AY16" s="117">
        <f t="shared" si="2"/>
        <v>24</v>
      </c>
      <c r="AZ16" s="117">
        <f t="shared" ref="AZ16" si="3">SUM(AZ9:AZ15)</f>
        <v>0</v>
      </c>
    </row>
    <row r="18" spans="1:52">
      <c r="B18" s="50" t="s">
        <v>16</v>
      </c>
      <c r="C18" s="50" t="s">
        <v>0</v>
      </c>
      <c r="D18" s="58">
        <f>SUM(E18:K18)</f>
        <v>0</v>
      </c>
      <c r="E18" s="127" t="s">
        <v>562</v>
      </c>
      <c r="F18" s="127" t="s">
        <v>563</v>
      </c>
      <c r="G18" s="127" t="s">
        <v>564</v>
      </c>
      <c r="H18" s="127" t="s">
        <v>564</v>
      </c>
      <c r="I18" s="127" t="s">
        <v>565</v>
      </c>
      <c r="J18" s="127" t="s">
        <v>566</v>
      </c>
      <c r="K18" s="127" t="s">
        <v>567</v>
      </c>
      <c r="L18" s="127" t="s">
        <v>567</v>
      </c>
      <c r="M18" s="127" t="s">
        <v>567</v>
      </c>
      <c r="N18" s="127" t="s">
        <v>567</v>
      </c>
      <c r="O18" s="127" t="s">
        <v>567</v>
      </c>
      <c r="P18" s="127" t="s">
        <v>567</v>
      </c>
      <c r="Q18" s="127" t="s">
        <v>567</v>
      </c>
      <c r="R18" s="127" t="s">
        <v>567</v>
      </c>
      <c r="S18" s="127" t="s">
        <v>567</v>
      </c>
      <c r="T18" s="127" t="s">
        <v>567</v>
      </c>
      <c r="U18" s="127" t="s">
        <v>567</v>
      </c>
      <c r="V18" s="127" t="s">
        <v>567</v>
      </c>
      <c r="W18" s="127" t="s">
        <v>567</v>
      </c>
      <c r="X18" s="127" t="s">
        <v>567</v>
      </c>
      <c r="Y18" s="127" t="s">
        <v>567</v>
      </c>
      <c r="Z18" s="127" t="s">
        <v>568</v>
      </c>
      <c r="AA18" s="127" t="s">
        <v>568</v>
      </c>
      <c r="AB18" s="127" t="s">
        <v>568</v>
      </c>
      <c r="AC18" s="127" t="s">
        <v>568</v>
      </c>
      <c r="AD18" s="127" t="s">
        <v>568</v>
      </c>
      <c r="AE18" s="127" t="s">
        <v>568</v>
      </c>
      <c r="AF18" s="127" t="s">
        <v>568</v>
      </c>
      <c r="AG18" s="127" t="s">
        <v>568</v>
      </c>
      <c r="AH18" s="127" t="s">
        <v>568</v>
      </c>
      <c r="AI18" s="127" t="s">
        <v>568</v>
      </c>
      <c r="AJ18" s="127" t="s">
        <v>568</v>
      </c>
      <c r="AK18" s="127" t="s">
        <v>568</v>
      </c>
      <c r="AL18" s="127" t="s">
        <v>568</v>
      </c>
      <c r="AM18" s="127" t="s">
        <v>568</v>
      </c>
      <c r="AN18" s="127" t="s">
        <v>568</v>
      </c>
      <c r="AO18" s="127" t="s">
        <v>568</v>
      </c>
      <c r="AP18" s="127" t="s">
        <v>568</v>
      </c>
      <c r="AQ18" s="127" t="s">
        <v>568</v>
      </c>
      <c r="AR18" s="127" t="s">
        <v>568</v>
      </c>
      <c r="AS18" s="127" t="s">
        <v>568</v>
      </c>
      <c r="AT18" s="127" t="s">
        <v>568</v>
      </c>
      <c r="AU18" s="127" t="s">
        <v>568</v>
      </c>
      <c r="AV18" s="127" t="s">
        <v>568</v>
      </c>
      <c r="AW18" s="127" t="s">
        <v>569</v>
      </c>
      <c r="AX18" s="127" t="s">
        <v>565</v>
      </c>
      <c r="AY18" s="127" t="s">
        <v>565</v>
      </c>
      <c r="AZ18" s="127" t="s">
        <v>499</v>
      </c>
    </row>
    <row r="19" spans="1:52">
      <c r="B19" s="37" t="s">
        <v>31</v>
      </c>
      <c r="C19" s="37" t="s">
        <v>32</v>
      </c>
      <c r="D19" s="131">
        <f>SUM(E19:K19)</f>
        <v>0</v>
      </c>
      <c r="E19" s="162">
        <v>0</v>
      </c>
      <c r="F19" s="162">
        <v>0</v>
      </c>
      <c r="G19" s="162">
        <v>0</v>
      </c>
      <c r="H19" s="162">
        <v>0</v>
      </c>
      <c r="I19" s="162">
        <v>0</v>
      </c>
      <c r="J19" s="162">
        <v>0</v>
      </c>
      <c r="K19" s="162">
        <v>0</v>
      </c>
      <c r="L19" s="162">
        <v>15</v>
      </c>
      <c r="M19" s="162">
        <v>23</v>
      </c>
      <c r="N19" s="162">
        <v>21</v>
      </c>
      <c r="O19" s="162">
        <v>17</v>
      </c>
      <c r="P19" s="162">
        <v>18</v>
      </c>
      <c r="Q19" s="162">
        <v>14</v>
      </c>
      <c r="R19" s="162">
        <v>19</v>
      </c>
      <c r="S19" s="162">
        <v>10</v>
      </c>
      <c r="T19" s="162">
        <v>18</v>
      </c>
      <c r="U19" s="162">
        <v>27</v>
      </c>
      <c r="V19" s="162">
        <v>17</v>
      </c>
      <c r="W19" s="162">
        <v>23</v>
      </c>
      <c r="X19" s="162">
        <v>18</v>
      </c>
      <c r="Y19" s="162">
        <v>18</v>
      </c>
      <c r="Z19" s="162">
        <v>21</v>
      </c>
      <c r="AA19" s="162">
        <v>20</v>
      </c>
      <c r="AB19" s="162">
        <v>21</v>
      </c>
      <c r="AC19" s="162">
        <v>20</v>
      </c>
      <c r="AD19" s="162">
        <v>15</v>
      </c>
      <c r="AE19" s="162">
        <v>24</v>
      </c>
      <c r="AF19" s="162">
        <v>19</v>
      </c>
      <c r="AG19" s="162">
        <v>20</v>
      </c>
      <c r="AH19" s="162">
        <v>4</v>
      </c>
      <c r="AI19" s="162">
        <v>19</v>
      </c>
      <c r="AJ19" s="162">
        <v>27</v>
      </c>
      <c r="AK19" s="162">
        <v>19</v>
      </c>
      <c r="AL19" s="162">
        <v>19</v>
      </c>
      <c r="AM19" s="162">
        <v>17</v>
      </c>
      <c r="AN19" s="162">
        <v>19</v>
      </c>
      <c r="AO19" s="162">
        <v>23</v>
      </c>
      <c r="AP19" s="162">
        <v>4</v>
      </c>
      <c r="AQ19" s="162">
        <v>23</v>
      </c>
      <c r="AR19" s="162">
        <v>24</v>
      </c>
      <c r="AS19" s="162">
        <v>19</v>
      </c>
      <c r="AT19" s="162">
        <v>15</v>
      </c>
      <c r="AU19" s="162">
        <v>20</v>
      </c>
      <c r="AV19" s="162">
        <v>11</v>
      </c>
      <c r="AW19" s="162">
        <v>0</v>
      </c>
      <c r="AX19" s="162">
        <v>0</v>
      </c>
      <c r="AY19" s="162">
        <v>0</v>
      </c>
      <c r="AZ19" s="162">
        <v>0</v>
      </c>
    </row>
    <row r="20" spans="1:52">
      <c r="B20" s="37" t="s">
        <v>35</v>
      </c>
      <c r="C20" s="37" t="s">
        <v>36</v>
      </c>
      <c r="D20" s="131">
        <f>SUM(E20:K20)</f>
        <v>0</v>
      </c>
      <c r="E20" s="162">
        <v>0</v>
      </c>
      <c r="F20" s="162">
        <v>0</v>
      </c>
      <c r="G20" s="162">
        <v>0</v>
      </c>
      <c r="H20" s="162">
        <v>0</v>
      </c>
      <c r="I20" s="162">
        <v>0</v>
      </c>
      <c r="J20" s="162">
        <v>0</v>
      </c>
      <c r="K20" s="162">
        <v>0</v>
      </c>
      <c r="L20" s="162">
        <v>2</v>
      </c>
      <c r="M20" s="162">
        <v>3</v>
      </c>
      <c r="N20" s="162">
        <v>2</v>
      </c>
      <c r="O20" s="162">
        <v>2</v>
      </c>
      <c r="P20" s="162">
        <v>2</v>
      </c>
      <c r="Q20" s="162">
        <v>2</v>
      </c>
      <c r="R20" s="162">
        <v>3</v>
      </c>
      <c r="S20" s="162">
        <v>1</v>
      </c>
      <c r="T20" s="162">
        <v>2</v>
      </c>
      <c r="U20" s="162">
        <v>3</v>
      </c>
      <c r="V20" s="162">
        <v>2</v>
      </c>
      <c r="W20" s="162">
        <v>3</v>
      </c>
      <c r="X20" s="162">
        <v>2</v>
      </c>
      <c r="Y20" s="162">
        <v>2</v>
      </c>
      <c r="Z20" s="162">
        <v>3</v>
      </c>
      <c r="AA20" s="162">
        <v>2</v>
      </c>
      <c r="AB20" s="162">
        <v>3</v>
      </c>
      <c r="AC20" s="162">
        <v>2</v>
      </c>
      <c r="AD20" s="162">
        <v>2</v>
      </c>
      <c r="AE20" s="162">
        <v>3</v>
      </c>
      <c r="AF20" s="162">
        <v>2</v>
      </c>
      <c r="AG20" s="162">
        <v>2</v>
      </c>
      <c r="AH20" s="162">
        <v>1</v>
      </c>
      <c r="AI20" s="162">
        <v>2</v>
      </c>
      <c r="AJ20" s="162">
        <v>3</v>
      </c>
      <c r="AK20" s="162">
        <v>3</v>
      </c>
      <c r="AL20" s="162">
        <v>3</v>
      </c>
      <c r="AM20" s="162">
        <v>2</v>
      </c>
      <c r="AN20" s="162">
        <v>2</v>
      </c>
      <c r="AO20" s="162">
        <v>2</v>
      </c>
      <c r="AP20" s="162">
        <v>1</v>
      </c>
      <c r="AQ20" s="162">
        <v>3</v>
      </c>
      <c r="AR20" s="162">
        <v>3</v>
      </c>
      <c r="AS20" s="162">
        <v>2</v>
      </c>
      <c r="AT20" s="162">
        <v>2</v>
      </c>
      <c r="AU20" s="162">
        <v>2</v>
      </c>
      <c r="AV20" s="162">
        <v>1</v>
      </c>
      <c r="AW20" s="162">
        <v>0</v>
      </c>
      <c r="AX20" s="162">
        <v>0</v>
      </c>
      <c r="AY20" s="162">
        <v>0</v>
      </c>
      <c r="AZ20" s="162">
        <v>0</v>
      </c>
    </row>
    <row r="21" spans="1:52">
      <c r="B21" s="39" t="s">
        <v>37</v>
      </c>
      <c r="C21" s="39" t="s">
        <v>38</v>
      </c>
      <c r="D21" s="67">
        <f>SUM(E21:K21)</f>
        <v>0</v>
      </c>
      <c r="E21" s="129">
        <v>0</v>
      </c>
      <c r="F21" s="129">
        <v>0</v>
      </c>
      <c r="G21" s="129">
        <v>0</v>
      </c>
      <c r="H21" s="129">
        <v>0</v>
      </c>
      <c r="I21" s="129">
        <v>0</v>
      </c>
      <c r="J21" s="129">
        <v>0</v>
      </c>
      <c r="K21" s="129" t="s">
        <v>570</v>
      </c>
      <c r="L21" s="129" t="s">
        <v>570</v>
      </c>
      <c r="M21" s="129" t="s">
        <v>570</v>
      </c>
      <c r="N21" s="129" t="s">
        <v>570</v>
      </c>
      <c r="O21" s="129" t="s">
        <v>570</v>
      </c>
      <c r="P21" s="129" t="s">
        <v>570</v>
      </c>
      <c r="Q21" s="129" t="s">
        <v>570</v>
      </c>
      <c r="R21" s="129" t="s">
        <v>570</v>
      </c>
      <c r="S21" s="129" t="s">
        <v>570</v>
      </c>
      <c r="T21" s="129" t="s">
        <v>570</v>
      </c>
      <c r="U21" s="129" t="s">
        <v>570</v>
      </c>
      <c r="V21" s="129" t="s">
        <v>570</v>
      </c>
      <c r="W21" s="129" t="s">
        <v>570</v>
      </c>
      <c r="X21" s="129" t="s">
        <v>570</v>
      </c>
      <c r="Y21" s="129" t="s">
        <v>571</v>
      </c>
      <c r="Z21" s="129" t="s">
        <v>570</v>
      </c>
      <c r="AA21" s="129" t="s">
        <v>570</v>
      </c>
      <c r="AB21" s="129" t="s">
        <v>571</v>
      </c>
      <c r="AC21" s="129" t="s">
        <v>571</v>
      </c>
      <c r="AD21" s="129" t="s">
        <v>570</v>
      </c>
      <c r="AE21" s="129" t="s">
        <v>570</v>
      </c>
      <c r="AF21" s="129" t="s">
        <v>570</v>
      </c>
      <c r="AG21" s="129" t="s">
        <v>572</v>
      </c>
      <c r="AH21" s="129" t="s">
        <v>573</v>
      </c>
      <c r="AI21" s="129" t="s">
        <v>570</v>
      </c>
      <c r="AJ21" s="129" t="s">
        <v>570</v>
      </c>
      <c r="AK21" s="129" t="s">
        <v>574</v>
      </c>
      <c r="AL21" s="129" t="s">
        <v>575</v>
      </c>
      <c r="AM21" s="129" t="s">
        <v>576</v>
      </c>
      <c r="AN21" s="129" t="s">
        <v>577</v>
      </c>
      <c r="AO21" s="129" t="s">
        <v>578</v>
      </c>
      <c r="AP21" s="129" t="s">
        <v>571</v>
      </c>
      <c r="AQ21" s="129" t="s">
        <v>570</v>
      </c>
      <c r="AR21" s="129" t="s">
        <v>570</v>
      </c>
      <c r="AS21" s="129" t="s">
        <v>579</v>
      </c>
      <c r="AT21" s="129" t="s">
        <v>579</v>
      </c>
      <c r="AU21" s="129" t="s">
        <v>580</v>
      </c>
      <c r="AV21" s="129" t="s">
        <v>579</v>
      </c>
      <c r="AW21" s="129">
        <v>0</v>
      </c>
      <c r="AX21" s="129">
        <v>0</v>
      </c>
      <c r="AY21" s="129">
        <v>0</v>
      </c>
      <c r="AZ21" s="129">
        <v>0</v>
      </c>
    </row>
    <row r="22" spans="1:52">
      <c r="B22" s="39" t="s">
        <v>41</v>
      </c>
      <c r="C22" s="39" t="s">
        <v>42</v>
      </c>
      <c r="D22" s="13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4" spans="1:52">
      <c r="B24" s="167" t="s">
        <v>43</v>
      </c>
      <c r="C24" s="168" t="e">
        <f>D26/D19</f>
        <v>#DIV/0!</v>
      </c>
      <c r="F24">
        <f>329+328+14</f>
        <v>671</v>
      </c>
      <c r="I24">
        <f>1411/4</f>
        <v>352.75</v>
      </c>
    </row>
    <row r="25" spans="1:52">
      <c r="D25" s="10"/>
    </row>
    <row r="26" spans="1:52">
      <c r="A26" s="312" t="s">
        <v>44</v>
      </c>
      <c r="B26" s="35" t="s">
        <v>45</v>
      </c>
      <c r="C26" s="35"/>
      <c r="D26" s="175">
        <f>SUM(E26:AW26)</f>
        <v>386847</v>
      </c>
      <c r="E26" s="75">
        <f t="shared" ref="E26:AR26" si="4">SUM(E27:E38)</f>
        <v>0</v>
      </c>
      <c r="F26" s="175">
        <f t="shared" si="4"/>
        <v>0</v>
      </c>
      <c r="G26" s="75">
        <f t="shared" si="4"/>
        <v>0</v>
      </c>
      <c r="H26" s="175">
        <f t="shared" si="4"/>
        <v>0</v>
      </c>
      <c r="I26" s="75">
        <f t="shared" si="4"/>
        <v>0</v>
      </c>
      <c r="J26" s="175">
        <f t="shared" si="4"/>
        <v>0</v>
      </c>
      <c r="K26" s="75">
        <f t="shared" si="4"/>
        <v>0</v>
      </c>
      <c r="L26" s="175">
        <f t="shared" si="4"/>
        <v>3602</v>
      </c>
      <c r="M26" s="75">
        <f t="shared" si="4"/>
        <v>8682</v>
      </c>
      <c r="N26" s="175">
        <f t="shared" si="4"/>
        <v>4082</v>
      </c>
      <c r="O26" s="75">
        <f t="shared" si="4"/>
        <v>6925</v>
      </c>
      <c r="P26" s="175">
        <f t="shared" si="4"/>
        <v>10300</v>
      </c>
      <c r="Q26" s="75">
        <f t="shared" si="4"/>
        <v>5873</v>
      </c>
      <c r="R26" s="175">
        <f t="shared" si="4"/>
        <v>3505</v>
      </c>
      <c r="S26" s="75">
        <f t="shared" si="4"/>
        <v>10998</v>
      </c>
      <c r="T26" s="175">
        <f t="shared" si="4"/>
        <v>18200</v>
      </c>
      <c r="U26" s="75">
        <f t="shared" si="4"/>
        <v>15969</v>
      </c>
      <c r="V26" s="175">
        <f>SUM(V27:V38)</f>
        <v>11795</v>
      </c>
      <c r="W26" s="75">
        <f t="shared" si="4"/>
        <v>16641</v>
      </c>
      <c r="X26" s="175">
        <f t="shared" si="4"/>
        <v>11784</v>
      </c>
      <c r="Y26" s="75">
        <f t="shared" si="4"/>
        <v>13284</v>
      </c>
      <c r="Z26" s="175">
        <f t="shared" si="4"/>
        <v>16659</v>
      </c>
      <c r="AA26" s="75">
        <f t="shared" si="4"/>
        <v>14597</v>
      </c>
      <c r="AB26" s="175">
        <f t="shared" si="4"/>
        <v>11315</v>
      </c>
      <c r="AC26" s="75">
        <f t="shared" si="4"/>
        <v>11110</v>
      </c>
      <c r="AD26" s="175">
        <f t="shared" si="4"/>
        <v>13568</v>
      </c>
      <c r="AE26" s="75">
        <f t="shared" si="4"/>
        <v>17435</v>
      </c>
      <c r="AF26" s="175">
        <f t="shared" si="4"/>
        <v>10870</v>
      </c>
      <c r="AG26" s="75">
        <f t="shared" si="4"/>
        <v>6546</v>
      </c>
      <c r="AH26" s="175">
        <f t="shared" si="4"/>
        <v>1834</v>
      </c>
      <c r="AI26" s="75">
        <f t="shared" si="4"/>
        <v>10669</v>
      </c>
      <c r="AJ26" s="175">
        <f t="shared" si="4"/>
        <v>19195</v>
      </c>
      <c r="AK26" s="75">
        <f t="shared" si="4"/>
        <v>9097</v>
      </c>
      <c r="AL26" s="175">
        <f t="shared" si="4"/>
        <v>10398</v>
      </c>
      <c r="AM26" s="75">
        <f t="shared" si="4"/>
        <v>14860</v>
      </c>
      <c r="AN26" s="175">
        <f t="shared" si="4"/>
        <v>10449</v>
      </c>
      <c r="AO26" s="75">
        <f t="shared" si="4"/>
        <v>7697</v>
      </c>
      <c r="AP26" s="175">
        <f t="shared" si="4"/>
        <v>615</v>
      </c>
      <c r="AQ26" s="75">
        <f t="shared" si="4"/>
        <v>13211</v>
      </c>
      <c r="AR26" s="175">
        <f t="shared" si="4"/>
        <v>13307</v>
      </c>
      <c r="AS26" s="175">
        <f t="shared" ref="AS26:AY26" si="5">SUM(AS27:AS38)</f>
        <v>10634</v>
      </c>
      <c r="AT26" s="175">
        <f t="shared" si="5"/>
        <v>4128</v>
      </c>
      <c r="AU26" s="175">
        <f t="shared" si="5"/>
        <v>11650</v>
      </c>
      <c r="AV26" s="175">
        <f t="shared" si="5"/>
        <v>5363</v>
      </c>
      <c r="AW26" s="175">
        <f t="shared" si="5"/>
        <v>0</v>
      </c>
      <c r="AX26" s="175">
        <f t="shared" si="5"/>
        <v>0</v>
      </c>
      <c r="AY26" s="175">
        <f t="shared" si="5"/>
        <v>0</v>
      </c>
      <c r="AZ26" s="175">
        <f t="shared" ref="AZ26" si="6">SUM(AZ27:AZ38)</f>
        <v>0</v>
      </c>
    </row>
    <row r="27" spans="1:52">
      <c r="A27" s="313"/>
      <c r="B27" s="37" t="s">
        <v>47</v>
      </c>
      <c r="C27" s="38" t="s">
        <v>48</v>
      </c>
      <c r="D27" s="73">
        <f t="shared" ref="D27:D35" si="7">SUM(E27:AR27)</f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  <c r="AS27" s="55">
        <v>0</v>
      </c>
      <c r="AT27" s="55">
        <v>0</v>
      </c>
      <c r="AU27" s="55">
        <v>0</v>
      </c>
      <c r="AV27" s="55">
        <v>0</v>
      </c>
      <c r="AW27" s="55">
        <v>0</v>
      </c>
      <c r="AX27" s="55">
        <v>0</v>
      </c>
      <c r="AY27" s="55">
        <v>0</v>
      </c>
      <c r="AZ27" s="55">
        <v>0</v>
      </c>
    </row>
    <row r="28" spans="1:52">
      <c r="A28" s="313"/>
      <c r="B28" s="37" t="s">
        <v>49</v>
      </c>
      <c r="C28" s="38" t="s">
        <v>48</v>
      </c>
      <c r="D28" s="73">
        <f t="shared" si="7"/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55">
        <v>0</v>
      </c>
      <c r="AK28" s="55">
        <v>0</v>
      </c>
      <c r="AL28" s="55">
        <v>0</v>
      </c>
      <c r="AM28" s="55">
        <v>0</v>
      </c>
      <c r="AN28" s="55">
        <v>0</v>
      </c>
      <c r="AO28" s="55">
        <v>0</v>
      </c>
      <c r="AP28" s="55">
        <v>0</v>
      </c>
      <c r="AQ28" s="55">
        <v>0</v>
      </c>
      <c r="AR28" s="55">
        <v>0</v>
      </c>
      <c r="AS28" s="55">
        <v>0</v>
      </c>
      <c r="AT28" s="55">
        <v>0</v>
      </c>
      <c r="AU28" s="55">
        <v>0</v>
      </c>
      <c r="AV28" s="55">
        <v>0</v>
      </c>
      <c r="AW28" s="55">
        <v>0</v>
      </c>
      <c r="AX28" s="55">
        <v>0</v>
      </c>
      <c r="AY28" s="55">
        <v>0</v>
      </c>
      <c r="AZ28" s="55">
        <v>0</v>
      </c>
    </row>
    <row r="29" spans="1:52">
      <c r="A29" s="313"/>
      <c r="B29" s="37" t="s">
        <v>50</v>
      </c>
      <c r="C29" s="38" t="s">
        <v>48</v>
      </c>
      <c r="D29" s="73">
        <f t="shared" si="7"/>
        <v>0</v>
      </c>
      <c r="E29" s="55">
        <v>0</v>
      </c>
      <c r="F29" s="55">
        <v>0</v>
      </c>
      <c r="G29" s="55"/>
      <c r="H29" s="55">
        <v>0</v>
      </c>
      <c r="I29" s="55"/>
      <c r="J29" s="55"/>
      <c r="K29" s="55"/>
      <c r="L29" s="55"/>
      <c r="M29" s="55"/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55">
        <v>0</v>
      </c>
      <c r="AK29" s="55">
        <v>0</v>
      </c>
      <c r="AL29" s="55">
        <v>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  <c r="AS29" s="55">
        <v>0</v>
      </c>
      <c r="AT29" s="55">
        <v>0</v>
      </c>
      <c r="AU29" s="55">
        <v>0</v>
      </c>
      <c r="AV29" s="55">
        <v>0</v>
      </c>
      <c r="AW29" s="55">
        <v>0</v>
      </c>
      <c r="AX29" s="55">
        <v>0</v>
      </c>
      <c r="AY29" s="55">
        <v>0</v>
      </c>
      <c r="AZ29" s="55">
        <v>0</v>
      </c>
    </row>
    <row r="30" spans="1:52">
      <c r="A30" s="313"/>
      <c r="B30" s="37" t="s">
        <v>51</v>
      </c>
      <c r="C30" s="38" t="s">
        <v>48</v>
      </c>
      <c r="D30" s="73">
        <f t="shared" si="7"/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  <c r="AS30" s="55">
        <v>0</v>
      </c>
      <c r="AT30" s="55">
        <v>0</v>
      </c>
      <c r="AU30" s="55">
        <v>0</v>
      </c>
      <c r="AV30" s="55">
        <v>0</v>
      </c>
      <c r="AW30" s="55">
        <v>0</v>
      </c>
      <c r="AX30" s="55">
        <v>0</v>
      </c>
      <c r="AY30" s="55">
        <v>0</v>
      </c>
      <c r="AZ30" s="55">
        <v>0</v>
      </c>
    </row>
    <row r="31" spans="1:52">
      <c r="A31" s="313"/>
      <c r="B31" s="37" t="s">
        <v>52</v>
      </c>
      <c r="C31" s="38" t="s">
        <v>48</v>
      </c>
      <c r="D31" s="73">
        <f t="shared" si="7"/>
        <v>0</v>
      </c>
      <c r="E31" s="55">
        <v>0</v>
      </c>
      <c r="F31" s="55">
        <v>0</v>
      </c>
      <c r="G31" s="55"/>
      <c r="H31" s="55"/>
      <c r="I31" s="55"/>
      <c r="J31" s="55"/>
      <c r="K31" s="55"/>
      <c r="L31" s="55"/>
      <c r="M31" s="55"/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  <c r="AS31" s="55">
        <v>0</v>
      </c>
      <c r="AT31" s="55">
        <v>0</v>
      </c>
      <c r="AU31" s="55">
        <v>0</v>
      </c>
      <c r="AV31" s="55">
        <v>0</v>
      </c>
      <c r="AW31" s="55">
        <v>0</v>
      </c>
      <c r="AX31" s="55">
        <v>0</v>
      </c>
      <c r="AY31" s="55">
        <v>0</v>
      </c>
      <c r="AZ31" s="55">
        <v>0</v>
      </c>
    </row>
    <row r="32" spans="1:52">
      <c r="A32" s="313"/>
      <c r="B32" s="37" t="s">
        <v>53</v>
      </c>
      <c r="C32" s="38" t="s">
        <v>48</v>
      </c>
      <c r="D32" s="73">
        <f t="shared" si="7"/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0</v>
      </c>
      <c r="AS32" s="55">
        <v>0</v>
      </c>
      <c r="AT32" s="55">
        <v>0</v>
      </c>
      <c r="AU32" s="55">
        <v>0</v>
      </c>
      <c r="AV32" s="55">
        <v>0</v>
      </c>
      <c r="AW32" s="55">
        <v>0</v>
      </c>
      <c r="AX32" s="55">
        <v>0</v>
      </c>
      <c r="AY32" s="55">
        <v>0</v>
      </c>
      <c r="AZ32" s="55">
        <v>0</v>
      </c>
    </row>
    <row r="33" spans="1:52">
      <c r="A33" s="313"/>
      <c r="B33" s="37" t="s">
        <v>54</v>
      </c>
      <c r="C33" s="38" t="s">
        <v>48</v>
      </c>
      <c r="D33" s="73">
        <f t="shared" si="7"/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55">
        <v>0</v>
      </c>
      <c r="AK33" s="55">
        <v>0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  <c r="AS33" s="55">
        <v>0</v>
      </c>
      <c r="AT33" s="55">
        <v>0</v>
      </c>
      <c r="AU33" s="55">
        <v>0</v>
      </c>
      <c r="AV33" s="55">
        <v>0</v>
      </c>
      <c r="AW33" s="55">
        <v>0</v>
      </c>
      <c r="AX33" s="55">
        <v>0</v>
      </c>
      <c r="AY33" s="55">
        <v>0</v>
      </c>
      <c r="AZ33" s="55">
        <v>0</v>
      </c>
    </row>
    <row r="34" spans="1:52">
      <c r="A34" s="313"/>
      <c r="B34" s="37" t="s">
        <v>55</v>
      </c>
      <c r="C34" s="38" t="s">
        <v>48</v>
      </c>
      <c r="D34" s="73">
        <f t="shared" si="7"/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55">
        <v>0</v>
      </c>
      <c r="AK34" s="55">
        <v>0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0</v>
      </c>
      <c r="AS34" s="55">
        <v>0</v>
      </c>
      <c r="AT34" s="55">
        <v>0</v>
      </c>
      <c r="AU34" s="55">
        <v>0</v>
      </c>
      <c r="AV34" s="55">
        <v>0</v>
      </c>
      <c r="AW34" s="55">
        <v>0</v>
      </c>
      <c r="AX34" s="55">
        <v>0</v>
      </c>
      <c r="AY34" s="55">
        <v>0</v>
      </c>
      <c r="AZ34" s="55">
        <v>0</v>
      </c>
    </row>
    <row r="35" spans="1:52">
      <c r="A35" s="313"/>
      <c r="B35" s="37" t="s">
        <v>56</v>
      </c>
      <c r="C35" s="38" t="s">
        <v>48</v>
      </c>
      <c r="D35" s="73">
        <f t="shared" si="7"/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55">
        <v>0</v>
      </c>
      <c r="AK35" s="55">
        <v>0</v>
      </c>
      <c r="AL35" s="55">
        <v>0</v>
      </c>
      <c r="AM35" s="55">
        <v>0</v>
      </c>
      <c r="AN35" s="55">
        <v>0</v>
      </c>
      <c r="AO35" s="55">
        <v>0</v>
      </c>
      <c r="AP35" s="55">
        <v>0</v>
      </c>
      <c r="AQ35" s="55">
        <v>0</v>
      </c>
      <c r="AR35" s="55">
        <v>0</v>
      </c>
      <c r="AS35" s="55">
        <v>0</v>
      </c>
      <c r="AT35" s="55">
        <v>0</v>
      </c>
      <c r="AU35" s="55">
        <v>0</v>
      </c>
      <c r="AV35" s="55">
        <v>0</v>
      </c>
      <c r="AW35" s="55">
        <v>0</v>
      </c>
      <c r="AX35" s="55">
        <v>0</v>
      </c>
      <c r="AY35" s="55">
        <v>0</v>
      </c>
      <c r="AZ35" s="55">
        <v>0</v>
      </c>
    </row>
    <row r="36" spans="1:52">
      <c r="A36" s="313"/>
      <c r="B36" s="37" t="s">
        <v>57</v>
      </c>
      <c r="C36" s="38" t="s">
        <v>48</v>
      </c>
      <c r="D36" s="73">
        <f>SUM(E36:AZ36)</f>
        <v>103488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f>294+168+1155</f>
        <v>1617</v>
      </c>
      <c r="M36" s="55">
        <f>966+1239+462</f>
        <v>2667</v>
      </c>
      <c r="N36" s="55">
        <v>2277</v>
      </c>
      <c r="O36" s="55">
        <f>609+1050</f>
        <v>1659</v>
      </c>
      <c r="P36" s="55">
        <v>2541</v>
      </c>
      <c r="Q36" s="55">
        <v>1491</v>
      </c>
      <c r="R36" s="55">
        <v>1050</v>
      </c>
      <c r="S36" s="55">
        <v>2688</v>
      </c>
      <c r="T36" s="55">
        <v>6384</v>
      </c>
      <c r="U36" s="55">
        <v>4137</v>
      </c>
      <c r="V36" s="55">
        <v>2919</v>
      </c>
      <c r="W36" s="55">
        <f>1722+1869+1512</f>
        <v>5103</v>
      </c>
      <c r="X36" s="55">
        <v>3171</v>
      </c>
      <c r="Y36" s="55">
        <v>3549</v>
      </c>
      <c r="Z36" s="55">
        <v>5985</v>
      </c>
      <c r="AA36" s="55">
        <v>5061</v>
      </c>
      <c r="AB36" s="55">
        <v>3885</v>
      </c>
      <c r="AC36" s="55">
        <v>1827</v>
      </c>
      <c r="AD36" s="55">
        <f>861+1449</f>
        <v>2310</v>
      </c>
      <c r="AE36" s="55">
        <v>4704</v>
      </c>
      <c r="AF36" s="55">
        <v>2835</v>
      </c>
      <c r="AG36" s="55">
        <v>882</v>
      </c>
      <c r="AH36" s="55">
        <v>504</v>
      </c>
      <c r="AI36" s="55">
        <v>3549</v>
      </c>
      <c r="AJ36" s="55">
        <v>5628</v>
      </c>
      <c r="AK36" s="55">
        <v>3171</v>
      </c>
      <c r="AL36" s="55">
        <v>3192</v>
      </c>
      <c r="AM36" s="55">
        <v>2814</v>
      </c>
      <c r="AN36" s="55">
        <v>2184</v>
      </c>
      <c r="AO36" s="55">
        <v>1680</v>
      </c>
      <c r="AP36" s="55">
        <v>210</v>
      </c>
      <c r="AQ36" s="55">
        <v>4002</v>
      </c>
      <c r="AR36" s="55">
        <v>4326</v>
      </c>
      <c r="AS36" s="55">
        <v>1176</v>
      </c>
      <c r="AT36" s="55">
        <v>651</v>
      </c>
      <c r="AU36" s="55">
        <v>1113</v>
      </c>
      <c r="AV36" s="55">
        <v>546</v>
      </c>
      <c r="AW36" s="55">
        <v>0</v>
      </c>
      <c r="AX36" s="55">
        <v>0</v>
      </c>
      <c r="AY36" s="55">
        <v>0</v>
      </c>
      <c r="AZ36" s="55">
        <v>0</v>
      </c>
    </row>
    <row r="37" spans="1:52">
      <c r="A37" s="313"/>
      <c r="B37" s="37" t="s">
        <v>58</v>
      </c>
      <c r="C37" s="38" t="s">
        <v>48</v>
      </c>
      <c r="D37" s="73">
        <f>SUM(E37:AZ37)</f>
        <v>216495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f>500+1485</f>
        <v>1985</v>
      </c>
      <c r="M37" s="55">
        <f>640+3580+1795</f>
        <v>6015</v>
      </c>
      <c r="N37" s="55">
        <v>1805</v>
      </c>
      <c r="O37" s="55">
        <f>1630+3100</f>
        <v>4730</v>
      </c>
      <c r="P37" s="55">
        <f>3955+3260</f>
        <v>7215</v>
      </c>
      <c r="Q37" s="55">
        <f>2380+1450</f>
        <v>3830</v>
      </c>
      <c r="R37" s="55">
        <v>2415</v>
      </c>
      <c r="S37" s="55">
        <v>5990</v>
      </c>
      <c r="T37" s="55">
        <v>8200</v>
      </c>
      <c r="U37" s="55">
        <v>9320</v>
      </c>
      <c r="V37" s="55">
        <v>6460</v>
      </c>
      <c r="W37" s="55">
        <f>2585+3010+2815</f>
        <v>8410</v>
      </c>
      <c r="X37" s="55">
        <v>6125</v>
      </c>
      <c r="Y37" s="55">
        <v>7095</v>
      </c>
      <c r="Z37" s="55">
        <v>9970</v>
      </c>
      <c r="AA37" s="55">
        <v>7960</v>
      </c>
      <c r="AB37" s="55">
        <v>6950</v>
      </c>
      <c r="AC37" s="55">
        <v>7595</v>
      </c>
      <c r="AD37" s="55">
        <f>4845+4125</f>
        <v>8970</v>
      </c>
      <c r="AE37" s="55">
        <v>9155</v>
      </c>
      <c r="AF37" s="55">
        <v>6715</v>
      </c>
      <c r="AG37" s="55">
        <v>4640</v>
      </c>
      <c r="AH37" s="55">
        <v>1330</v>
      </c>
      <c r="AI37" s="55">
        <v>5560</v>
      </c>
      <c r="AJ37" s="55">
        <v>10175</v>
      </c>
      <c r="AK37" s="55">
        <v>4550</v>
      </c>
      <c r="AL37" s="55">
        <v>5950</v>
      </c>
      <c r="AM37" s="55">
        <v>9070</v>
      </c>
      <c r="AN37" s="55">
        <v>5985</v>
      </c>
      <c r="AO37" s="55">
        <v>4225</v>
      </c>
      <c r="AP37" s="55">
        <v>405</v>
      </c>
      <c r="AQ37" s="55">
        <v>6185</v>
      </c>
      <c r="AR37" s="55">
        <v>8205</v>
      </c>
      <c r="AS37" s="55">
        <v>5090</v>
      </c>
      <c r="AT37" s="55">
        <v>1965</v>
      </c>
      <c r="AU37" s="55">
        <v>4265</v>
      </c>
      <c r="AV37" s="55">
        <v>1985</v>
      </c>
      <c r="AW37" s="55">
        <v>0</v>
      </c>
      <c r="AX37" s="55">
        <v>0</v>
      </c>
      <c r="AY37" s="55">
        <v>0</v>
      </c>
      <c r="AZ37" s="55">
        <v>0</v>
      </c>
    </row>
    <row r="38" spans="1:52">
      <c r="A38" s="314"/>
      <c r="B38" s="39" t="s">
        <v>581</v>
      </c>
      <c r="C38" s="40" t="s">
        <v>48</v>
      </c>
      <c r="D38" s="74">
        <f>SUM(E38:AZ38)</f>
        <v>66864</v>
      </c>
      <c r="E38" s="55">
        <v>0</v>
      </c>
      <c r="F38" s="55">
        <v>0</v>
      </c>
      <c r="G38" s="55">
        <v>0</v>
      </c>
      <c r="H38" s="55">
        <v>0</v>
      </c>
      <c r="I38" s="55"/>
      <c r="J38" s="55"/>
      <c r="K38" s="55"/>
      <c r="L38" s="55"/>
      <c r="M38" s="55"/>
      <c r="N38" s="55"/>
      <c r="O38" s="55">
        <v>536</v>
      </c>
      <c r="P38" s="55">
        <v>544</v>
      </c>
      <c r="Q38" s="55">
        <v>552</v>
      </c>
      <c r="R38" s="55">
        <v>40</v>
      </c>
      <c r="S38" s="55">
        <v>2320</v>
      </c>
      <c r="T38" s="55">
        <v>3616</v>
      </c>
      <c r="U38" s="55">
        <v>2512</v>
      </c>
      <c r="V38" s="55">
        <v>2416</v>
      </c>
      <c r="W38" s="55">
        <f>728+928+1472</f>
        <v>3128</v>
      </c>
      <c r="X38" s="55">
        <v>2488</v>
      </c>
      <c r="Y38" s="55">
        <v>2640</v>
      </c>
      <c r="Z38" s="55">
        <v>704</v>
      </c>
      <c r="AA38" s="55">
        <v>1576</v>
      </c>
      <c r="AB38" s="55">
        <v>480</v>
      </c>
      <c r="AC38" s="55">
        <v>1688</v>
      </c>
      <c r="AD38" s="55">
        <f>1184+1104</f>
        <v>2288</v>
      </c>
      <c r="AE38" s="55">
        <v>3576</v>
      </c>
      <c r="AF38" s="55">
        <v>1320</v>
      </c>
      <c r="AG38" s="55">
        <v>1024</v>
      </c>
      <c r="AH38" s="55">
        <v>0</v>
      </c>
      <c r="AI38" s="55">
        <v>1560</v>
      </c>
      <c r="AJ38" s="55">
        <v>3392</v>
      </c>
      <c r="AK38" s="55">
        <v>1376</v>
      </c>
      <c r="AL38" s="55">
        <v>1256</v>
      </c>
      <c r="AM38" s="55">
        <v>2976</v>
      </c>
      <c r="AN38" s="55">
        <v>2280</v>
      </c>
      <c r="AO38" s="55">
        <v>1792</v>
      </c>
      <c r="AP38" s="55">
        <v>0</v>
      </c>
      <c r="AQ38" s="55">
        <v>3024</v>
      </c>
      <c r="AR38" s="55">
        <v>776</v>
      </c>
      <c r="AS38" s="55">
        <v>4368</v>
      </c>
      <c r="AT38" s="55">
        <v>1512</v>
      </c>
      <c r="AU38" s="55">
        <v>6272</v>
      </c>
      <c r="AV38" s="55">
        <v>2832</v>
      </c>
      <c r="AW38" s="55">
        <v>0</v>
      </c>
      <c r="AX38" s="55">
        <v>0</v>
      </c>
      <c r="AY38" s="55">
        <v>0</v>
      </c>
      <c r="AZ38" s="55">
        <v>0</v>
      </c>
    </row>
    <row r="39" spans="1:52">
      <c r="A39" s="164"/>
      <c r="B39" s="94" t="s">
        <v>149</v>
      </c>
      <c r="C39" s="166"/>
      <c r="D39" s="180">
        <f>(D38+D37)/D26</f>
        <v>0.73248338490410936</v>
      </c>
      <c r="E39" s="170" t="e">
        <f t="shared" ref="E39:AR39" si="8">E37/E26</f>
        <v>#DIV/0!</v>
      </c>
      <c r="F39" s="170" t="e">
        <f t="shared" si="8"/>
        <v>#DIV/0!</v>
      </c>
      <c r="G39" s="170" t="e">
        <f t="shared" si="8"/>
        <v>#DIV/0!</v>
      </c>
      <c r="H39" s="170" t="e">
        <f t="shared" si="8"/>
        <v>#DIV/0!</v>
      </c>
      <c r="I39" s="170" t="e">
        <f t="shared" si="8"/>
        <v>#DIV/0!</v>
      </c>
      <c r="J39" s="170" t="e">
        <f t="shared" si="8"/>
        <v>#DIV/0!</v>
      </c>
      <c r="K39" s="170" t="e">
        <f>L37/K26</f>
        <v>#DIV/0!</v>
      </c>
      <c r="L39" s="170">
        <f>L37/L26</f>
        <v>0.55108273181565792</v>
      </c>
      <c r="M39" s="170">
        <f>M37/M26</f>
        <v>0.69281271596406357</v>
      </c>
      <c r="N39" s="170">
        <f t="shared" si="8"/>
        <v>0.44218520333170014</v>
      </c>
      <c r="O39" s="170">
        <f t="shared" si="8"/>
        <v>0.68303249097472929</v>
      </c>
      <c r="P39" s="170">
        <f t="shared" si="8"/>
        <v>0.70048543689320386</v>
      </c>
      <c r="Q39" s="170">
        <f t="shared" si="8"/>
        <v>0.65213689766729099</v>
      </c>
      <c r="R39" s="170">
        <f t="shared" si="8"/>
        <v>0.68901569186875888</v>
      </c>
      <c r="S39" s="170">
        <f t="shared" si="8"/>
        <v>0.54464448081469363</v>
      </c>
      <c r="T39" s="170">
        <f t="shared" si="8"/>
        <v>0.45054945054945056</v>
      </c>
      <c r="U39" s="170">
        <f>U37/U26</f>
        <v>0.5836307846452502</v>
      </c>
      <c r="V39" s="170">
        <f t="shared" si="8"/>
        <v>0.54768969902501063</v>
      </c>
      <c r="W39" s="170">
        <f t="shared" si="8"/>
        <v>0.50537828255513495</v>
      </c>
      <c r="X39" s="170">
        <f t="shared" si="8"/>
        <v>0.51977257298031232</v>
      </c>
      <c r="Y39" s="170">
        <f t="shared" si="8"/>
        <v>0.53410117434507676</v>
      </c>
      <c r="Z39" s="170">
        <f t="shared" si="8"/>
        <v>0.59847529863737314</v>
      </c>
      <c r="AA39" s="170">
        <f t="shared" si="8"/>
        <v>0.54531753099952041</v>
      </c>
      <c r="AB39" s="170">
        <f t="shared" si="8"/>
        <v>0.61422889969067607</v>
      </c>
      <c r="AC39" s="170">
        <f t="shared" si="8"/>
        <v>0.68361836183618363</v>
      </c>
      <c r="AD39" s="170">
        <f t="shared" si="8"/>
        <v>0.66111438679245282</v>
      </c>
      <c r="AE39" s="170">
        <f t="shared" si="8"/>
        <v>0.52509320332664178</v>
      </c>
      <c r="AF39" s="170">
        <f t="shared" si="8"/>
        <v>0.61775528978840843</v>
      </c>
      <c r="AG39" s="170">
        <f t="shared" si="8"/>
        <v>0.70882981973724413</v>
      </c>
      <c r="AH39" s="170">
        <f t="shared" si="8"/>
        <v>0.72519083969465647</v>
      </c>
      <c r="AI39" s="170">
        <f t="shared" si="8"/>
        <v>0.52113600149967199</v>
      </c>
      <c r="AJ39" s="170">
        <f t="shared" si="8"/>
        <v>0.53008595988538687</v>
      </c>
      <c r="AK39" s="170">
        <f t="shared" si="8"/>
        <v>0.50016488952401894</v>
      </c>
      <c r="AL39" s="170">
        <f t="shared" si="8"/>
        <v>0.57222542796691667</v>
      </c>
      <c r="AM39" s="170">
        <f t="shared" si="8"/>
        <v>0.61036339165545084</v>
      </c>
      <c r="AN39" s="170">
        <f t="shared" si="8"/>
        <v>0.57278208440999134</v>
      </c>
      <c r="AO39" s="170">
        <f t="shared" si="8"/>
        <v>0.5489151617513317</v>
      </c>
      <c r="AP39" s="170">
        <f t="shared" si="8"/>
        <v>0.65853658536585369</v>
      </c>
      <c r="AQ39" s="170">
        <f t="shared" si="8"/>
        <v>0.4681704640072667</v>
      </c>
      <c r="AR39" s="170">
        <f t="shared" si="8"/>
        <v>0.61659277072217633</v>
      </c>
      <c r="AS39" s="170">
        <f t="shared" ref="AS39:AY39" si="9">AS37/AS26</f>
        <v>0.4786533759638894</v>
      </c>
      <c r="AT39" s="170">
        <f t="shared" si="9"/>
        <v>0.47601744186046513</v>
      </c>
      <c r="AU39" s="170">
        <f t="shared" si="9"/>
        <v>0.36609442060085839</v>
      </c>
      <c r="AV39" s="170">
        <f t="shared" si="9"/>
        <v>0.37012865933246319</v>
      </c>
      <c r="AW39" s="170" t="e">
        <f t="shared" si="9"/>
        <v>#DIV/0!</v>
      </c>
      <c r="AX39" s="170" t="e">
        <f t="shared" si="9"/>
        <v>#DIV/0!</v>
      </c>
      <c r="AY39" s="170" t="e">
        <f t="shared" si="9"/>
        <v>#DIV/0!</v>
      </c>
      <c r="AZ39" s="170" t="e">
        <f t="shared" ref="AZ39" si="10">AZ37/AZ26</f>
        <v>#DIV/0!</v>
      </c>
    </row>
    <row r="40" spans="1:52">
      <c r="A40" s="33"/>
      <c r="C40" s="5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</row>
    <row r="41" spans="1:52">
      <c r="A41" s="324" t="s">
        <v>60</v>
      </c>
      <c r="B41" s="50" t="s">
        <v>61</v>
      </c>
      <c r="C41" s="91" t="s">
        <v>62</v>
      </c>
      <c r="D41" s="81">
        <f>SUM(E41:AR41)</f>
        <v>625600</v>
      </c>
      <c r="E41" s="86">
        <v>2000</v>
      </c>
      <c r="F41" s="86">
        <v>4000</v>
      </c>
      <c r="G41" s="86">
        <v>3000</v>
      </c>
      <c r="H41" s="86">
        <v>7600</v>
      </c>
      <c r="I41" s="86">
        <v>19000</v>
      </c>
      <c r="J41" s="86">
        <v>19000</v>
      </c>
      <c r="K41" s="86">
        <v>17000</v>
      </c>
      <c r="L41" s="86">
        <v>13000</v>
      </c>
      <c r="M41" s="86">
        <v>15000</v>
      </c>
      <c r="N41" s="86">
        <v>15000</v>
      </c>
      <c r="O41" s="86">
        <v>15000</v>
      </c>
      <c r="P41" s="86">
        <v>15000</v>
      </c>
      <c r="Q41" s="86">
        <v>15000</v>
      </c>
      <c r="R41" s="86">
        <v>15000</v>
      </c>
      <c r="S41" s="86">
        <v>17000</v>
      </c>
      <c r="T41" s="86">
        <v>20000</v>
      </c>
      <c r="U41" s="86">
        <v>19000</v>
      </c>
      <c r="V41" s="86">
        <v>17000</v>
      </c>
      <c r="W41" s="86">
        <v>20000</v>
      </c>
      <c r="X41" s="86">
        <v>16000</v>
      </c>
      <c r="Y41" s="86">
        <v>16000</v>
      </c>
      <c r="Z41" s="86">
        <v>17000</v>
      </c>
      <c r="AA41" s="86">
        <v>19000</v>
      </c>
      <c r="AB41" s="86">
        <v>18000</v>
      </c>
      <c r="AC41" s="86">
        <v>15000</v>
      </c>
      <c r="AD41" s="86">
        <v>18000</v>
      </c>
      <c r="AE41" s="86">
        <v>20000</v>
      </c>
      <c r="AF41" s="86">
        <v>19000</v>
      </c>
      <c r="AG41" s="86">
        <v>15000</v>
      </c>
      <c r="AH41" s="86">
        <v>13000</v>
      </c>
      <c r="AI41" s="86">
        <v>15000</v>
      </c>
      <c r="AJ41" s="86">
        <v>20000</v>
      </c>
      <c r="AK41" s="86">
        <v>18000</v>
      </c>
      <c r="AL41" s="86">
        <v>17000</v>
      </c>
      <c r="AM41" s="86">
        <v>17000</v>
      </c>
      <c r="AN41" s="86">
        <v>18000</v>
      </c>
      <c r="AO41" s="86">
        <v>20000</v>
      </c>
      <c r="AP41" s="86">
        <v>12000</v>
      </c>
      <c r="AQ41" s="86">
        <v>17000</v>
      </c>
      <c r="AR41" s="86">
        <v>18000</v>
      </c>
      <c r="AS41" s="86">
        <v>18000</v>
      </c>
      <c r="AT41" s="86">
        <v>16000</v>
      </c>
      <c r="AU41" s="86">
        <v>17000</v>
      </c>
      <c r="AV41" s="86">
        <v>15000</v>
      </c>
      <c r="AW41" s="86">
        <v>16000</v>
      </c>
      <c r="AX41" s="86">
        <v>18000</v>
      </c>
      <c r="AY41" s="86">
        <v>15000</v>
      </c>
      <c r="AZ41" s="86">
        <v>0</v>
      </c>
    </row>
    <row r="42" spans="1:52">
      <c r="A42" s="325"/>
      <c r="B42" s="39" t="s">
        <v>63</v>
      </c>
      <c r="C42" s="92" t="s">
        <v>62</v>
      </c>
      <c r="D42" s="82">
        <f>SUM(E42:AR42)</f>
        <v>800</v>
      </c>
      <c r="E42" s="87">
        <v>0</v>
      </c>
      <c r="F42" s="87">
        <v>0</v>
      </c>
      <c r="G42" s="87">
        <v>0</v>
      </c>
      <c r="H42" s="87">
        <v>0</v>
      </c>
      <c r="I42" s="87"/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200</v>
      </c>
      <c r="T42" s="87">
        <v>0</v>
      </c>
      <c r="U42" s="87">
        <v>0</v>
      </c>
      <c r="V42" s="87"/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200</v>
      </c>
      <c r="AF42" s="87">
        <v>0</v>
      </c>
      <c r="AG42" s="87">
        <v>0</v>
      </c>
      <c r="AH42" s="87">
        <v>200</v>
      </c>
      <c r="AI42" s="87">
        <v>0</v>
      </c>
      <c r="AJ42" s="87">
        <v>0</v>
      </c>
      <c r="AK42" s="87">
        <v>0</v>
      </c>
      <c r="AL42" s="87"/>
      <c r="AM42" s="87">
        <v>0</v>
      </c>
      <c r="AN42" s="87">
        <v>0</v>
      </c>
      <c r="AO42" s="87">
        <v>0</v>
      </c>
      <c r="AP42" s="87">
        <v>0</v>
      </c>
      <c r="AQ42" s="87">
        <v>0</v>
      </c>
      <c r="AR42" s="87">
        <v>200</v>
      </c>
      <c r="AS42" s="87">
        <v>0</v>
      </c>
      <c r="AT42" s="87">
        <v>0</v>
      </c>
      <c r="AU42" s="87">
        <v>0</v>
      </c>
      <c r="AV42" s="87">
        <v>0</v>
      </c>
      <c r="AW42" s="87">
        <v>0</v>
      </c>
      <c r="AX42" s="87">
        <v>0</v>
      </c>
      <c r="AY42" s="87">
        <v>200</v>
      </c>
      <c r="AZ42" s="87">
        <v>0</v>
      </c>
    </row>
    <row r="44" spans="1:52">
      <c r="B44" s="167" t="s">
        <v>240</v>
      </c>
      <c r="C44" s="184" t="s">
        <v>241</v>
      </c>
      <c r="D44" s="187">
        <f>D41/D26</f>
        <v>1.6171768166742924</v>
      </c>
      <c r="E44" s="188" t="e">
        <f t="shared" ref="E44:AR44" si="11">E41/E26</f>
        <v>#DIV/0!</v>
      </c>
      <c r="F44" s="188" t="e">
        <f t="shared" si="11"/>
        <v>#DIV/0!</v>
      </c>
      <c r="G44" s="188" t="e">
        <f t="shared" si="11"/>
        <v>#DIV/0!</v>
      </c>
      <c r="H44" s="188" t="e">
        <f t="shared" si="11"/>
        <v>#DIV/0!</v>
      </c>
      <c r="I44" s="188" t="e">
        <f t="shared" si="11"/>
        <v>#DIV/0!</v>
      </c>
      <c r="J44" s="188" t="e">
        <f t="shared" si="11"/>
        <v>#DIV/0!</v>
      </c>
      <c r="K44" s="188" t="e">
        <f>K41/K26</f>
        <v>#DIV/0!</v>
      </c>
      <c r="L44" s="188">
        <f t="shared" si="11"/>
        <v>3.6091060521932259</v>
      </c>
      <c r="M44" s="186">
        <f t="shared" si="11"/>
        <v>1.7277125086385625</v>
      </c>
      <c r="N44" s="188">
        <f t="shared" si="11"/>
        <v>3.6746692797648213</v>
      </c>
      <c r="O44" s="186">
        <f t="shared" si="11"/>
        <v>2.1660649819494586</v>
      </c>
      <c r="P44" s="188">
        <f t="shared" si="11"/>
        <v>1.4563106796116505</v>
      </c>
      <c r="Q44" s="186">
        <f t="shared" si="11"/>
        <v>2.5540609569215054</v>
      </c>
      <c r="R44" s="188">
        <f t="shared" si="11"/>
        <v>4.2796005706134093</v>
      </c>
      <c r="S44" s="186">
        <f t="shared" si="11"/>
        <v>1.5457355882887798</v>
      </c>
      <c r="T44" s="188">
        <f t="shared" si="11"/>
        <v>1.098901098901099</v>
      </c>
      <c r="U44" s="186">
        <f t="shared" si="11"/>
        <v>1.1898052476673555</v>
      </c>
      <c r="V44" s="188">
        <f t="shared" si="11"/>
        <v>1.4412886816447648</v>
      </c>
      <c r="W44" s="186">
        <f t="shared" si="11"/>
        <v>1.2018508503094767</v>
      </c>
      <c r="X44" s="188">
        <f t="shared" si="11"/>
        <v>1.3577732518669383</v>
      </c>
      <c r="Y44" s="186">
        <f t="shared" si="11"/>
        <v>1.2044564890093346</v>
      </c>
      <c r="Z44" s="188">
        <f t="shared" si="11"/>
        <v>1.0204694159313283</v>
      </c>
      <c r="AA44" s="186">
        <f t="shared" si="11"/>
        <v>1.3016373227375488</v>
      </c>
      <c r="AB44" s="188">
        <f t="shared" si="11"/>
        <v>1.590808661069377</v>
      </c>
      <c r="AC44" s="186">
        <f t="shared" si="11"/>
        <v>1.3501350135013501</v>
      </c>
      <c r="AD44" s="188">
        <f t="shared" si="11"/>
        <v>1.3266509433962264</v>
      </c>
      <c r="AE44" s="186">
        <f t="shared" si="11"/>
        <v>1.1471178663607686</v>
      </c>
      <c r="AF44" s="188">
        <f t="shared" si="11"/>
        <v>1.7479300827966882</v>
      </c>
      <c r="AG44" s="186">
        <f t="shared" si="11"/>
        <v>2.2914757103574703</v>
      </c>
      <c r="AH44" s="188">
        <f t="shared" si="11"/>
        <v>7.088331515812432</v>
      </c>
      <c r="AI44" s="186">
        <f t="shared" si="11"/>
        <v>1.4059424500890429</v>
      </c>
      <c r="AJ44" s="188">
        <f t="shared" si="11"/>
        <v>1.041938004688721</v>
      </c>
      <c r="AK44" s="186">
        <f t="shared" si="11"/>
        <v>1.978674288226888</v>
      </c>
      <c r="AL44" s="188">
        <f t="shared" si="11"/>
        <v>1.6349297941911907</v>
      </c>
      <c r="AM44" s="186">
        <f t="shared" si="11"/>
        <v>1.1440107671601616</v>
      </c>
      <c r="AN44" s="188">
        <f t="shared" si="11"/>
        <v>1.7226528854435832</v>
      </c>
      <c r="AO44" s="186">
        <f t="shared" si="11"/>
        <v>2.5984149668702092</v>
      </c>
      <c r="AP44" s="188">
        <f t="shared" si="11"/>
        <v>19.512195121951219</v>
      </c>
      <c r="AQ44" s="186">
        <f t="shared" si="11"/>
        <v>1.2868064491711453</v>
      </c>
      <c r="AR44" s="188">
        <f t="shared" si="11"/>
        <v>1.352671526264372</v>
      </c>
      <c r="AS44" s="188">
        <f t="shared" ref="AS44:AY44" si="12">AS41/AS26</f>
        <v>1.6926838442730863</v>
      </c>
      <c r="AT44" s="188">
        <f t="shared" si="12"/>
        <v>3.8759689922480618</v>
      </c>
      <c r="AU44" s="188">
        <f t="shared" si="12"/>
        <v>1.4592274678111588</v>
      </c>
      <c r="AV44" s="188">
        <f t="shared" si="12"/>
        <v>2.7969420100689915</v>
      </c>
      <c r="AW44" s="188" t="e">
        <f t="shared" si="12"/>
        <v>#DIV/0!</v>
      </c>
      <c r="AX44" s="188" t="e">
        <f t="shared" si="12"/>
        <v>#DIV/0!</v>
      </c>
      <c r="AY44" s="188" t="e">
        <f t="shared" si="12"/>
        <v>#DIV/0!</v>
      </c>
      <c r="AZ44" s="188" t="e">
        <f t="shared" ref="AZ44" si="13">AZ41/AZ26</f>
        <v>#DIV/0!</v>
      </c>
    </row>
    <row r="46" spans="1:52">
      <c r="A46" s="312" t="s">
        <v>64</v>
      </c>
      <c r="B46" s="93" t="s">
        <v>65</v>
      </c>
      <c r="C46" s="47" t="s">
        <v>8</v>
      </c>
      <c r="D46" s="181">
        <f>SUM(E46:AR46)</f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8">
        <v>0</v>
      </c>
      <c r="AY46" s="88">
        <v>0</v>
      </c>
      <c r="AZ46" s="88">
        <v>0</v>
      </c>
    </row>
    <row r="47" spans="1:52">
      <c r="A47" s="313"/>
      <c r="B47" s="94" t="s">
        <v>66</v>
      </c>
      <c r="C47" s="38" t="s">
        <v>8</v>
      </c>
      <c r="D47" s="182">
        <f>SUM(E47:AR47)</f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0</v>
      </c>
      <c r="AX47" s="89">
        <v>0</v>
      </c>
      <c r="AY47" s="89">
        <v>0</v>
      </c>
      <c r="AZ47" s="89">
        <v>0</v>
      </c>
    </row>
    <row r="48" spans="1:52">
      <c r="A48" s="313"/>
      <c r="B48" s="94" t="s">
        <v>67</v>
      </c>
      <c r="C48" s="38" t="s">
        <v>8</v>
      </c>
      <c r="D48" s="182">
        <f t="shared" ref="D48:D51" si="14">SUM(E48:AR48)</f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  <c r="AX48" s="89">
        <v>0</v>
      </c>
      <c r="AY48" s="89">
        <v>0</v>
      </c>
      <c r="AZ48" s="89">
        <v>0</v>
      </c>
    </row>
    <row r="49" spans="1:52">
      <c r="A49" s="313"/>
      <c r="B49" s="95" t="s">
        <v>68</v>
      </c>
      <c r="C49" s="40" t="s">
        <v>8</v>
      </c>
      <c r="D49" s="182">
        <f t="shared" si="14"/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  <c r="AS49" s="90">
        <v>0</v>
      </c>
      <c r="AT49" s="90">
        <v>0</v>
      </c>
      <c r="AU49" s="90">
        <v>0</v>
      </c>
      <c r="AV49" s="90">
        <v>0</v>
      </c>
      <c r="AW49" s="90">
        <v>0</v>
      </c>
      <c r="AX49" s="90">
        <v>0</v>
      </c>
      <c r="AY49" s="90">
        <v>0</v>
      </c>
      <c r="AZ49" s="90">
        <v>0</v>
      </c>
    </row>
    <row r="50" spans="1:52">
      <c r="A50" s="313"/>
      <c r="B50" s="93" t="s">
        <v>69</v>
      </c>
      <c r="C50" s="91" t="s">
        <v>48</v>
      </c>
      <c r="D50" s="181">
        <f t="shared" si="14"/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v>0</v>
      </c>
      <c r="AB50" s="86">
        <v>0</v>
      </c>
      <c r="AC50" s="86"/>
      <c r="AD50" s="86">
        <v>0</v>
      </c>
      <c r="AE50" s="86">
        <v>0</v>
      </c>
      <c r="AF50" s="86">
        <v>0</v>
      </c>
      <c r="AG50" s="86">
        <v>0</v>
      </c>
      <c r="AH50" s="86"/>
      <c r="AI50" s="86">
        <v>0</v>
      </c>
      <c r="AJ50" s="86">
        <v>0</v>
      </c>
      <c r="AK50" s="86">
        <v>0</v>
      </c>
      <c r="AL50" s="86">
        <v>0</v>
      </c>
      <c r="AM50" s="86">
        <v>0</v>
      </c>
      <c r="AN50" s="86">
        <v>0</v>
      </c>
      <c r="AO50" s="86">
        <v>0</v>
      </c>
      <c r="AP50" s="86">
        <v>0</v>
      </c>
      <c r="AQ50" s="86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</row>
    <row r="51" spans="1:52">
      <c r="A51" s="314"/>
      <c r="B51" s="95" t="s">
        <v>70</v>
      </c>
      <c r="C51" s="92" t="s">
        <v>48</v>
      </c>
      <c r="D51" s="183">
        <f t="shared" si="14"/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Z51" s="87">
        <v>0</v>
      </c>
      <c r="AA51" s="87">
        <v>0</v>
      </c>
      <c r="AB51" s="87">
        <v>0</v>
      </c>
      <c r="AC51" s="87"/>
      <c r="AD51" s="87">
        <v>0</v>
      </c>
      <c r="AE51" s="87">
        <v>0</v>
      </c>
      <c r="AF51" s="87">
        <v>0</v>
      </c>
      <c r="AG51" s="87">
        <v>0</v>
      </c>
      <c r="AH51" s="87"/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  <c r="AS51" s="87">
        <v>0</v>
      </c>
      <c r="AT51" s="87">
        <v>0</v>
      </c>
      <c r="AU51" s="87">
        <v>0</v>
      </c>
      <c r="AV51" s="87">
        <v>0</v>
      </c>
      <c r="AW51" s="87">
        <v>0</v>
      </c>
      <c r="AX51" s="87">
        <v>0</v>
      </c>
      <c r="AY51" s="87">
        <v>0</v>
      </c>
      <c r="AZ51" s="87">
        <v>0</v>
      </c>
    </row>
    <row r="52" spans="1:52"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15" t="s">
        <v>71</v>
      </c>
      <c r="B53" s="50" t="s">
        <v>72</v>
      </c>
      <c r="C53" s="45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7" t="s">
        <v>73</v>
      </c>
      <c r="I53" s="7" t="s">
        <v>73</v>
      </c>
      <c r="J53" s="7" t="s">
        <v>73</v>
      </c>
      <c r="K53" s="7" t="s">
        <v>73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  <c r="T53" s="7" t="s">
        <v>73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73</v>
      </c>
      <c r="Z53" s="7" t="s">
        <v>73</v>
      </c>
      <c r="AA53" s="7" t="s">
        <v>73</v>
      </c>
      <c r="AB53" s="7" t="s">
        <v>73</v>
      </c>
      <c r="AC53" s="7" t="s">
        <v>73</v>
      </c>
      <c r="AD53" s="7" t="s">
        <v>73</v>
      </c>
      <c r="AE53" s="7" t="s">
        <v>73</v>
      </c>
      <c r="AF53" s="7" t="s">
        <v>73</v>
      </c>
      <c r="AG53" s="7" t="s">
        <v>73</v>
      </c>
      <c r="AH53" s="7" t="s">
        <v>73</v>
      </c>
      <c r="AI53" s="7" t="s">
        <v>73</v>
      </c>
      <c r="AJ53" s="7" t="s">
        <v>73</v>
      </c>
      <c r="AK53" s="7" t="s">
        <v>73</v>
      </c>
      <c r="AL53" s="7" t="s">
        <v>73</v>
      </c>
      <c r="AM53" s="7" t="s">
        <v>73</v>
      </c>
      <c r="AN53" s="7" t="s">
        <v>73</v>
      </c>
      <c r="AO53" s="7" t="s">
        <v>73</v>
      </c>
      <c r="AP53" s="7" t="s">
        <v>73</v>
      </c>
      <c r="AQ53" s="7" t="s">
        <v>73</v>
      </c>
      <c r="AR53" s="7" t="s">
        <v>73</v>
      </c>
      <c r="AS53" s="7" t="s">
        <v>73</v>
      </c>
      <c r="AT53" s="7" t="s">
        <v>73</v>
      </c>
      <c r="AU53" s="7" t="s">
        <v>73</v>
      </c>
      <c r="AV53" s="7" t="s">
        <v>73</v>
      </c>
      <c r="AW53" s="7" t="s">
        <v>73</v>
      </c>
      <c r="AX53" s="7" t="s">
        <v>73</v>
      </c>
      <c r="AY53" s="7" t="s">
        <v>73</v>
      </c>
      <c r="AZ53" s="7" t="s">
        <v>73</v>
      </c>
    </row>
    <row r="54" spans="1:52">
      <c r="A54" s="316"/>
      <c r="B54" s="37" t="s">
        <v>74</v>
      </c>
      <c r="C54" s="51" t="s">
        <v>75</v>
      </c>
      <c r="D54" s="8" t="s">
        <v>75</v>
      </c>
      <c r="E54" s="8" t="s">
        <v>75</v>
      </c>
      <c r="F54" s="8" t="s">
        <v>75</v>
      </c>
      <c r="G54" s="8" t="s">
        <v>75</v>
      </c>
      <c r="H54" s="8" t="s">
        <v>75</v>
      </c>
      <c r="I54" s="8" t="s">
        <v>75</v>
      </c>
      <c r="J54" s="8" t="s">
        <v>75</v>
      </c>
      <c r="K54" s="8" t="s">
        <v>75</v>
      </c>
      <c r="L54" s="8" t="s">
        <v>75</v>
      </c>
      <c r="M54" s="8" t="s">
        <v>75</v>
      </c>
      <c r="N54" s="8" t="s">
        <v>75</v>
      </c>
      <c r="O54" s="8" t="s">
        <v>75</v>
      </c>
      <c r="P54" s="8" t="s">
        <v>75</v>
      </c>
      <c r="Q54" s="8" t="s">
        <v>75</v>
      </c>
      <c r="R54" s="8" t="s">
        <v>75</v>
      </c>
      <c r="S54" s="8" t="s">
        <v>75</v>
      </c>
      <c r="T54" s="8" t="s">
        <v>75</v>
      </c>
      <c r="U54" s="8" t="s">
        <v>75</v>
      </c>
      <c r="V54" s="8" t="s">
        <v>75</v>
      </c>
      <c r="W54" s="8" t="s">
        <v>75</v>
      </c>
      <c r="X54" s="8" t="s">
        <v>75</v>
      </c>
      <c r="Y54" s="8" t="s">
        <v>75</v>
      </c>
      <c r="Z54" s="8" t="s">
        <v>75</v>
      </c>
      <c r="AA54" s="8" t="s">
        <v>75</v>
      </c>
      <c r="AB54" s="8" t="s">
        <v>75</v>
      </c>
      <c r="AC54" s="8" t="s">
        <v>75</v>
      </c>
      <c r="AD54" s="8" t="s">
        <v>75</v>
      </c>
      <c r="AE54" s="8" t="s">
        <v>75</v>
      </c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  <c r="AL54" s="8" t="s">
        <v>75</v>
      </c>
      <c r="AM54" s="8" t="s">
        <v>75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  <c r="AS54" s="8" t="s">
        <v>75</v>
      </c>
      <c r="AT54" s="8" t="s">
        <v>75</v>
      </c>
      <c r="AU54" s="8" t="s">
        <v>75</v>
      </c>
      <c r="AV54" s="8" t="s">
        <v>75</v>
      </c>
      <c r="AW54" s="8" t="s">
        <v>75</v>
      </c>
      <c r="AX54" s="8" t="s">
        <v>75</v>
      </c>
      <c r="AY54" s="8" t="s">
        <v>75</v>
      </c>
      <c r="AZ54" s="8" t="s">
        <v>75</v>
      </c>
    </row>
    <row r="55" spans="1:52">
      <c r="A55" s="316"/>
      <c r="B55" s="37" t="s">
        <v>7</v>
      </c>
      <c r="C55" s="51" t="s">
        <v>75</v>
      </c>
      <c r="D55" s="8" t="s">
        <v>75</v>
      </c>
      <c r="E55" s="8" t="s">
        <v>75</v>
      </c>
      <c r="F55" s="8" t="s">
        <v>75</v>
      </c>
      <c r="G55" s="8" t="s">
        <v>75</v>
      </c>
      <c r="H55" s="8" t="s">
        <v>75</v>
      </c>
      <c r="I55" s="8" t="s">
        <v>75</v>
      </c>
      <c r="J55" s="8" t="s">
        <v>75</v>
      </c>
      <c r="K55" s="8" t="s">
        <v>75</v>
      </c>
      <c r="L55" s="8" t="s">
        <v>75</v>
      </c>
      <c r="M55" s="8" t="s">
        <v>75</v>
      </c>
      <c r="N55" s="8" t="s">
        <v>75</v>
      </c>
      <c r="O55" s="8" t="s">
        <v>75</v>
      </c>
      <c r="P55" s="8" t="s">
        <v>75</v>
      </c>
      <c r="Q55" s="8" t="s">
        <v>75</v>
      </c>
      <c r="R55" s="8" t="s">
        <v>75</v>
      </c>
      <c r="S55" s="8" t="s">
        <v>75</v>
      </c>
      <c r="T55" s="8" t="s">
        <v>229</v>
      </c>
      <c r="U55" s="8" t="s">
        <v>75</v>
      </c>
      <c r="V55" s="8" t="s">
        <v>75</v>
      </c>
      <c r="W55" s="8" t="s">
        <v>75</v>
      </c>
      <c r="X55" s="8" t="s">
        <v>75</v>
      </c>
      <c r="Y55" s="8" t="s">
        <v>75</v>
      </c>
      <c r="Z55" s="8" t="s">
        <v>75</v>
      </c>
      <c r="AA55" s="8" t="s">
        <v>75</v>
      </c>
      <c r="AB55" s="8" t="s">
        <v>75</v>
      </c>
      <c r="AC55" s="8" t="s">
        <v>242</v>
      </c>
      <c r="AD55" s="8" t="s">
        <v>75</v>
      </c>
      <c r="AE55" s="8" t="s">
        <v>75</v>
      </c>
      <c r="AF55" s="8" t="s">
        <v>75</v>
      </c>
      <c r="AG55" s="8" t="s">
        <v>75</v>
      </c>
      <c r="AH55" s="8" t="s">
        <v>75</v>
      </c>
      <c r="AI55" s="8" t="s">
        <v>75</v>
      </c>
      <c r="AJ55" s="8" t="s">
        <v>75</v>
      </c>
      <c r="AK55" s="8" t="s">
        <v>75</v>
      </c>
      <c r="AL55" s="8" t="s">
        <v>75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  <c r="AS55" s="8" t="s">
        <v>75</v>
      </c>
      <c r="AT55" s="8" t="s">
        <v>75</v>
      </c>
      <c r="AU55" s="8" t="s">
        <v>75</v>
      </c>
      <c r="AV55" s="8" t="s">
        <v>75</v>
      </c>
      <c r="AW55" s="8" t="s">
        <v>75</v>
      </c>
      <c r="AX55" s="8" t="s">
        <v>75</v>
      </c>
      <c r="AY55" s="8" t="s">
        <v>75</v>
      </c>
      <c r="AZ55" s="8" t="s">
        <v>75</v>
      </c>
    </row>
    <row r="56" spans="1:52">
      <c r="A56" s="316"/>
      <c r="B56" s="37" t="s">
        <v>76</v>
      </c>
      <c r="C56" s="51" t="s">
        <v>75</v>
      </c>
      <c r="D56" s="8" t="s">
        <v>75</v>
      </c>
      <c r="E56" s="8" t="s">
        <v>75</v>
      </c>
      <c r="F56" s="8" t="s">
        <v>75</v>
      </c>
      <c r="G56" s="8" t="s">
        <v>75</v>
      </c>
      <c r="H56" s="8" t="s">
        <v>75</v>
      </c>
      <c r="I56" s="8" t="s">
        <v>75</v>
      </c>
      <c r="J56" s="8" t="s">
        <v>75</v>
      </c>
      <c r="K56" s="8" t="s">
        <v>75</v>
      </c>
      <c r="L56" s="8" t="s">
        <v>75</v>
      </c>
      <c r="M56" s="8" t="s">
        <v>75</v>
      </c>
      <c r="N56" s="8" t="s">
        <v>75</v>
      </c>
      <c r="O56" s="8" t="s">
        <v>75</v>
      </c>
      <c r="P56" s="8" t="s">
        <v>75</v>
      </c>
      <c r="Q56" s="8" t="s">
        <v>75</v>
      </c>
      <c r="R56" s="8" t="s">
        <v>75</v>
      </c>
      <c r="S56" s="8" t="s">
        <v>75</v>
      </c>
      <c r="T56" s="8" t="s">
        <v>75</v>
      </c>
      <c r="U56" s="8" t="s">
        <v>75</v>
      </c>
      <c r="V56" s="8" t="s">
        <v>75</v>
      </c>
      <c r="W56" s="8" t="s">
        <v>75</v>
      </c>
      <c r="X56" s="8" t="s">
        <v>75</v>
      </c>
      <c r="Y56" s="8" t="s">
        <v>75</v>
      </c>
      <c r="Z56" s="8" t="s">
        <v>75</v>
      </c>
      <c r="AA56" s="8" t="s">
        <v>75</v>
      </c>
      <c r="AB56" s="8" t="s">
        <v>75</v>
      </c>
      <c r="AC56" s="8" t="s">
        <v>75</v>
      </c>
      <c r="AD56" s="8" t="s">
        <v>75</v>
      </c>
      <c r="AE56" s="8" t="s">
        <v>75</v>
      </c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  <c r="AK56" s="8" t="s">
        <v>75</v>
      </c>
      <c r="AL56" s="8" t="s">
        <v>243</v>
      </c>
      <c r="AM56" s="8" t="s">
        <v>244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  <c r="AS56" s="8" t="s">
        <v>75</v>
      </c>
      <c r="AT56" s="8" t="s">
        <v>75</v>
      </c>
      <c r="AU56" s="8" t="s">
        <v>75</v>
      </c>
      <c r="AV56" s="8" t="s">
        <v>75</v>
      </c>
      <c r="AW56" s="8" t="s">
        <v>75</v>
      </c>
      <c r="AX56" s="8" t="s">
        <v>75</v>
      </c>
      <c r="AY56" s="8" t="s">
        <v>75</v>
      </c>
      <c r="AZ56" s="8" t="s">
        <v>75</v>
      </c>
    </row>
    <row r="57" spans="1:52">
      <c r="A57" s="317"/>
      <c r="B57" s="39" t="s">
        <v>82</v>
      </c>
      <c r="C57" s="52" t="s">
        <v>75</v>
      </c>
      <c r="D57" s="9" t="s">
        <v>75</v>
      </c>
      <c r="E57" s="9" t="s">
        <v>75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9" t="s">
        <v>75</v>
      </c>
      <c r="AK57" s="9" t="s">
        <v>75</v>
      </c>
      <c r="AL57" s="9" t="s">
        <v>245</v>
      </c>
      <c r="AM57" s="9" t="s">
        <v>75</v>
      </c>
      <c r="AN57" s="9" t="s">
        <v>75</v>
      </c>
      <c r="AO57" s="9" t="s">
        <v>75</v>
      </c>
      <c r="AP57" s="9" t="s">
        <v>515</v>
      </c>
      <c r="AQ57" s="9" t="s">
        <v>75</v>
      </c>
      <c r="AR57" s="9" t="s">
        <v>75</v>
      </c>
      <c r="AS57" s="9" t="s">
        <v>75</v>
      </c>
      <c r="AT57" s="9" t="s">
        <v>245</v>
      </c>
      <c r="AU57" s="9" t="s">
        <v>75</v>
      </c>
      <c r="AV57" s="9" t="s">
        <v>75</v>
      </c>
      <c r="AW57" s="9" t="s">
        <v>75</v>
      </c>
      <c r="AX57" s="9" t="s">
        <v>75</v>
      </c>
      <c r="AY57" s="9" t="s">
        <v>75</v>
      </c>
      <c r="AZ57" s="9" t="s">
        <v>75</v>
      </c>
    </row>
    <row r="59" spans="1:52" ht="15.75">
      <c r="B59" s="53" t="s">
        <v>83</v>
      </c>
      <c r="C59" s="99" t="s">
        <v>84</v>
      </c>
      <c r="D59" s="100">
        <f>SUM(D60:D72)</f>
        <v>18695652</v>
      </c>
      <c r="E59" s="101">
        <f>SUM(E60:E72)</f>
        <v>0</v>
      </c>
      <c r="F59" s="101">
        <f t="shared" ref="F59:AR59" si="15">SUM(F60:F72)</f>
        <v>0</v>
      </c>
      <c r="G59" s="101">
        <f t="shared" si="15"/>
        <v>0</v>
      </c>
      <c r="H59" s="101">
        <f t="shared" si="15"/>
        <v>0</v>
      </c>
      <c r="I59" s="101">
        <f t="shared" si="15"/>
        <v>0</v>
      </c>
      <c r="J59" s="101">
        <f t="shared" si="15"/>
        <v>0</v>
      </c>
      <c r="K59" s="101">
        <f>SUM(K60:K72)</f>
        <v>0</v>
      </c>
      <c r="L59" s="101">
        <f t="shared" si="15"/>
        <v>164376</v>
      </c>
      <c r="M59" s="101">
        <f t="shared" si="15"/>
        <v>435576</v>
      </c>
      <c r="N59" s="101">
        <f t="shared" si="15"/>
        <v>172056</v>
      </c>
      <c r="O59" s="101">
        <f t="shared" si="15"/>
        <v>352764</v>
      </c>
      <c r="P59" s="101">
        <f t="shared" si="15"/>
        <v>526896</v>
      </c>
      <c r="Q59" s="101">
        <f t="shared" si="15"/>
        <v>294732</v>
      </c>
      <c r="R59" s="101">
        <f t="shared" si="15"/>
        <v>175980</v>
      </c>
      <c r="S59" s="101">
        <f t="shared" si="15"/>
        <v>532104</v>
      </c>
      <c r="T59" s="101">
        <f t="shared" si="15"/>
        <v>822624</v>
      </c>
      <c r="U59" s="101">
        <f t="shared" si="15"/>
        <v>780540</v>
      </c>
      <c r="V59" s="101">
        <f t="shared" si="15"/>
        <v>570804</v>
      </c>
      <c r="W59" s="101">
        <f t="shared" si="15"/>
        <v>778860</v>
      </c>
      <c r="X59" s="101">
        <f t="shared" si="15"/>
        <v>560784</v>
      </c>
      <c r="Y59" s="101">
        <f t="shared" si="15"/>
        <v>635952</v>
      </c>
      <c r="Z59" s="101">
        <f t="shared" si="15"/>
        <v>795348</v>
      </c>
      <c r="AA59" s="101">
        <f t="shared" si="15"/>
        <v>685500</v>
      </c>
      <c r="AB59" s="101">
        <f t="shared" si="15"/>
        <v>545940</v>
      </c>
      <c r="AC59" s="101">
        <f t="shared" si="15"/>
        <v>577752</v>
      </c>
      <c r="AD59" s="101">
        <f t="shared" si="15"/>
        <v>698976</v>
      </c>
      <c r="AE59" s="101">
        <f t="shared" si="15"/>
        <v>831204</v>
      </c>
      <c r="AF59" s="101">
        <f t="shared" si="15"/>
        <v>537720</v>
      </c>
      <c r="AG59" s="101">
        <f t="shared" si="15"/>
        <v>346104</v>
      </c>
      <c r="AH59" s="101">
        <f t="shared" si="15"/>
        <v>93912</v>
      </c>
      <c r="AI59" s="101">
        <f t="shared" si="15"/>
        <v>498492</v>
      </c>
      <c r="AJ59" s="101">
        <f t="shared" si="15"/>
        <v>910548</v>
      </c>
      <c r="AK59" s="101">
        <f t="shared" si="15"/>
        <v>419580</v>
      </c>
      <c r="AL59" s="101">
        <f t="shared" si="15"/>
        <v>499128</v>
      </c>
      <c r="AM59" s="101">
        <f t="shared" si="15"/>
        <v>747984</v>
      </c>
      <c r="AN59" s="101">
        <f t="shared" si="15"/>
        <v>516012</v>
      </c>
      <c r="AO59" s="101">
        <f t="shared" si="15"/>
        <v>375804</v>
      </c>
      <c r="AP59" s="101">
        <f t="shared" si="15"/>
        <v>30180</v>
      </c>
      <c r="AQ59" s="101">
        <f t="shared" si="15"/>
        <v>610164</v>
      </c>
      <c r="AR59" s="101">
        <f t="shared" si="15"/>
        <v>646020</v>
      </c>
      <c r="AS59" s="101">
        <f t="shared" ref="AS59:AY59" si="16">SUM(AS60:AS72)</f>
        <v>521784</v>
      </c>
      <c r="AT59" s="101">
        <f t="shared" si="16"/>
        <v>199632</v>
      </c>
      <c r="AU59" s="101">
        <f t="shared" si="16"/>
        <v>550488</v>
      </c>
      <c r="AV59" s="101">
        <f t="shared" si="16"/>
        <v>253332</v>
      </c>
      <c r="AW59" s="101">
        <f t="shared" si="16"/>
        <v>0</v>
      </c>
      <c r="AX59" s="101">
        <f t="shared" si="16"/>
        <v>0</v>
      </c>
      <c r="AY59" s="101">
        <f t="shared" si="16"/>
        <v>0</v>
      </c>
      <c r="AZ59" s="101">
        <f t="shared" ref="AZ59" si="17">SUM(AZ60:AZ72)</f>
        <v>0</v>
      </c>
    </row>
    <row r="60" spans="1:52">
      <c r="B60" s="96" t="s">
        <v>47</v>
      </c>
      <c r="C60" s="111">
        <v>53</v>
      </c>
      <c r="D60" s="97">
        <f>D27*$C60</f>
        <v>0</v>
      </c>
      <c r="E60" s="104">
        <f t="shared" ref="E60:AR68" si="18">E27*$C60</f>
        <v>0</v>
      </c>
      <c r="F60" s="104">
        <f t="shared" si="18"/>
        <v>0</v>
      </c>
      <c r="G60" s="104">
        <f t="shared" si="18"/>
        <v>0</v>
      </c>
      <c r="H60" s="104">
        <f t="shared" si="18"/>
        <v>0</v>
      </c>
      <c r="I60" s="104">
        <f t="shared" si="18"/>
        <v>0</v>
      </c>
      <c r="J60" s="104">
        <f t="shared" si="18"/>
        <v>0</v>
      </c>
      <c r="K60" s="104">
        <f t="shared" si="18"/>
        <v>0</v>
      </c>
      <c r="L60" s="104">
        <f t="shared" si="18"/>
        <v>0</v>
      </c>
      <c r="M60" s="104">
        <f t="shared" si="18"/>
        <v>0</v>
      </c>
      <c r="N60" s="104">
        <f t="shared" si="18"/>
        <v>0</v>
      </c>
      <c r="O60" s="104">
        <f t="shared" si="18"/>
        <v>0</v>
      </c>
      <c r="P60" s="104">
        <f t="shared" si="18"/>
        <v>0</v>
      </c>
      <c r="Q60" s="104">
        <f t="shared" si="18"/>
        <v>0</v>
      </c>
      <c r="R60" s="104">
        <f t="shared" si="18"/>
        <v>0</v>
      </c>
      <c r="S60" s="104">
        <f t="shared" si="18"/>
        <v>0</v>
      </c>
      <c r="T60" s="104">
        <f t="shared" si="18"/>
        <v>0</v>
      </c>
      <c r="U60" s="104">
        <f t="shared" si="18"/>
        <v>0</v>
      </c>
      <c r="V60" s="104">
        <f t="shared" si="18"/>
        <v>0</v>
      </c>
      <c r="W60" s="104">
        <f t="shared" si="18"/>
        <v>0</v>
      </c>
      <c r="X60" s="104">
        <f t="shared" si="18"/>
        <v>0</v>
      </c>
      <c r="Y60" s="104">
        <f t="shared" si="18"/>
        <v>0</v>
      </c>
      <c r="Z60" s="104">
        <f t="shared" si="18"/>
        <v>0</v>
      </c>
      <c r="AA60" s="104">
        <f t="shared" si="18"/>
        <v>0</v>
      </c>
      <c r="AB60" s="104">
        <f t="shared" si="18"/>
        <v>0</v>
      </c>
      <c r="AC60" s="104">
        <f t="shared" si="18"/>
        <v>0</v>
      </c>
      <c r="AD60" s="104">
        <f t="shared" si="18"/>
        <v>0</v>
      </c>
      <c r="AE60" s="104">
        <f t="shared" si="18"/>
        <v>0</v>
      </c>
      <c r="AF60" s="104">
        <f t="shared" si="18"/>
        <v>0</v>
      </c>
      <c r="AG60" s="104">
        <f t="shared" si="18"/>
        <v>0</v>
      </c>
      <c r="AH60" s="104">
        <f t="shared" si="18"/>
        <v>0</v>
      </c>
      <c r="AI60" s="104">
        <f t="shared" si="18"/>
        <v>0</v>
      </c>
      <c r="AJ60" s="104">
        <f t="shared" si="18"/>
        <v>0</v>
      </c>
      <c r="AK60" s="104">
        <f t="shared" si="18"/>
        <v>0</v>
      </c>
      <c r="AL60" s="104">
        <f t="shared" si="18"/>
        <v>0</v>
      </c>
      <c r="AM60" s="104">
        <f t="shared" si="18"/>
        <v>0</v>
      </c>
      <c r="AN60" s="104">
        <f t="shared" si="18"/>
        <v>0</v>
      </c>
      <c r="AO60" s="104">
        <f t="shared" si="18"/>
        <v>0</v>
      </c>
      <c r="AP60" s="104">
        <f t="shared" si="18"/>
        <v>0</v>
      </c>
      <c r="AQ60" s="104">
        <f t="shared" si="18"/>
        <v>0</v>
      </c>
      <c r="AR60" s="104">
        <f t="shared" si="18"/>
        <v>0</v>
      </c>
      <c r="AS60" s="104">
        <f t="shared" ref="AS60:AY60" si="19">AS27*$C60</f>
        <v>0</v>
      </c>
      <c r="AT60" s="104">
        <f t="shared" si="19"/>
        <v>0</v>
      </c>
      <c r="AU60" s="104">
        <f t="shared" si="19"/>
        <v>0</v>
      </c>
      <c r="AV60" s="104">
        <f t="shared" si="19"/>
        <v>0</v>
      </c>
      <c r="AW60" s="104">
        <f t="shared" si="19"/>
        <v>0</v>
      </c>
      <c r="AX60" s="104">
        <f t="shared" si="19"/>
        <v>0</v>
      </c>
      <c r="AY60" s="104">
        <f t="shared" si="19"/>
        <v>0</v>
      </c>
      <c r="AZ60" s="104">
        <f t="shared" ref="AZ60" si="20">AZ27*$C60</f>
        <v>0</v>
      </c>
    </row>
    <row r="61" spans="1:52">
      <c r="B61" s="96" t="s">
        <v>49</v>
      </c>
      <c r="C61" s="111">
        <v>32</v>
      </c>
      <c r="D61" s="97">
        <f t="shared" ref="D61:AJ68" si="21">D28*$C61</f>
        <v>0</v>
      </c>
      <c r="E61" s="104">
        <f t="shared" si="21"/>
        <v>0</v>
      </c>
      <c r="F61" s="104">
        <f t="shared" si="21"/>
        <v>0</v>
      </c>
      <c r="G61" s="104">
        <f t="shared" si="21"/>
        <v>0</v>
      </c>
      <c r="H61" s="104">
        <f t="shared" si="21"/>
        <v>0</v>
      </c>
      <c r="I61" s="104">
        <f t="shared" si="21"/>
        <v>0</v>
      </c>
      <c r="J61" s="104">
        <f t="shared" si="21"/>
        <v>0</v>
      </c>
      <c r="K61" s="104">
        <f t="shared" si="21"/>
        <v>0</v>
      </c>
      <c r="L61" s="104">
        <f t="shared" si="21"/>
        <v>0</v>
      </c>
      <c r="M61" s="104">
        <f t="shared" si="21"/>
        <v>0</v>
      </c>
      <c r="N61" s="104">
        <f t="shared" si="21"/>
        <v>0</v>
      </c>
      <c r="O61" s="104">
        <f t="shared" si="21"/>
        <v>0</v>
      </c>
      <c r="P61" s="104">
        <f t="shared" si="21"/>
        <v>0</v>
      </c>
      <c r="Q61" s="104">
        <f t="shared" si="21"/>
        <v>0</v>
      </c>
      <c r="R61" s="104">
        <f t="shared" si="21"/>
        <v>0</v>
      </c>
      <c r="S61" s="104">
        <f t="shared" si="21"/>
        <v>0</v>
      </c>
      <c r="T61" s="104">
        <f t="shared" si="21"/>
        <v>0</v>
      </c>
      <c r="U61" s="104">
        <f t="shared" si="21"/>
        <v>0</v>
      </c>
      <c r="V61" s="104">
        <f t="shared" si="21"/>
        <v>0</v>
      </c>
      <c r="W61" s="104">
        <f t="shared" si="21"/>
        <v>0</v>
      </c>
      <c r="X61" s="104">
        <f t="shared" si="21"/>
        <v>0</v>
      </c>
      <c r="Y61" s="104">
        <f t="shared" si="21"/>
        <v>0</v>
      </c>
      <c r="Z61" s="104">
        <f t="shared" si="21"/>
        <v>0</v>
      </c>
      <c r="AA61" s="104">
        <f t="shared" si="21"/>
        <v>0</v>
      </c>
      <c r="AB61" s="104">
        <f t="shared" si="21"/>
        <v>0</v>
      </c>
      <c r="AC61" s="104">
        <f t="shared" si="21"/>
        <v>0</v>
      </c>
      <c r="AD61" s="104">
        <f t="shared" si="21"/>
        <v>0</v>
      </c>
      <c r="AE61" s="104">
        <f t="shared" si="21"/>
        <v>0</v>
      </c>
      <c r="AF61" s="104">
        <f t="shared" si="21"/>
        <v>0</v>
      </c>
      <c r="AG61" s="104">
        <f t="shared" si="21"/>
        <v>0</v>
      </c>
      <c r="AH61" s="104">
        <f t="shared" si="21"/>
        <v>0</v>
      </c>
      <c r="AI61" s="104">
        <f t="shared" si="21"/>
        <v>0</v>
      </c>
      <c r="AJ61" s="104">
        <f t="shared" si="21"/>
        <v>0</v>
      </c>
      <c r="AK61" s="104">
        <f t="shared" si="18"/>
        <v>0</v>
      </c>
      <c r="AL61" s="104">
        <f t="shared" si="18"/>
        <v>0</v>
      </c>
      <c r="AM61" s="104">
        <f t="shared" si="18"/>
        <v>0</v>
      </c>
      <c r="AN61" s="104">
        <f t="shared" si="18"/>
        <v>0</v>
      </c>
      <c r="AO61" s="104">
        <f t="shared" si="18"/>
        <v>0</v>
      </c>
      <c r="AP61" s="104">
        <f t="shared" si="18"/>
        <v>0</v>
      </c>
      <c r="AQ61" s="104">
        <f t="shared" si="18"/>
        <v>0</v>
      </c>
      <c r="AR61" s="104">
        <f t="shared" si="18"/>
        <v>0</v>
      </c>
      <c r="AS61" s="104">
        <f t="shared" ref="AS61:AY61" si="22">AS28*$C61</f>
        <v>0</v>
      </c>
      <c r="AT61" s="104">
        <f t="shared" si="22"/>
        <v>0</v>
      </c>
      <c r="AU61" s="104">
        <f t="shared" si="22"/>
        <v>0</v>
      </c>
      <c r="AV61" s="104">
        <f t="shared" si="22"/>
        <v>0</v>
      </c>
      <c r="AW61" s="104">
        <f t="shared" si="22"/>
        <v>0</v>
      </c>
      <c r="AX61" s="104">
        <f t="shared" si="22"/>
        <v>0</v>
      </c>
      <c r="AY61" s="104">
        <f t="shared" si="22"/>
        <v>0</v>
      </c>
      <c r="AZ61" s="104">
        <f t="shared" ref="AZ61" si="23">AZ28*$C61</f>
        <v>0</v>
      </c>
    </row>
    <row r="62" spans="1:52">
      <c r="B62" s="96" t="s">
        <v>50</v>
      </c>
      <c r="C62" s="111">
        <v>23</v>
      </c>
      <c r="D62" s="97">
        <f t="shared" si="21"/>
        <v>0</v>
      </c>
      <c r="E62" s="104">
        <f t="shared" si="21"/>
        <v>0</v>
      </c>
      <c r="F62" s="104">
        <f t="shared" si="21"/>
        <v>0</v>
      </c>
      <c r="G62" s="104">
        <f t="shared" si="21"/>
        <v>0</v>
      </c>
      <c r="H62" s="104">
        <f t="shared" si="21"/>
        <v>0</v>
      </c>
      <c r="I62" s="104">
        <f t="shared" si="21"/>
        <v>0</v>
      </c>
      <c r="J62" s="104">
        <f t="shared" si="21"/>
        <v>0</v>
      </c>
      <c r="K62" s="104">
        <f t="shared" si="21"/>
        <v>0</v>
      </c>
      <c r="L62" s="104">
        <f t="shared" si="21"/>
        <v>0</v>
      </c>
      <c r="M62" s="104">
        <f t="shared" si="21"/>
        <v>0</v>
      </c>
      <c r="N62" s="104">
        <f t="shared" si="21"/>
        <v>0</v>
      </c>
      <c r="O62" s="104">
        <f t="shared" si="21"/>
        <v>0</v>
      </c>
      <c r="P62" s="104">
        <f t="shared" si="21"/>
        <v>0</v>
      </c>
      <c r="Q62" s="104">
        <f t="shared" si="21"/>
        <v>0</v>
      </c>
      <c r="R62" s="104">
        <f t="shared" si="21"/>
        <v>0</v>
      </c>
      <c r="S62" s="104">
        <f t="shared" si="21"/>
        <v>0</v>
      </c>
      <c r="T62" s="104">
        <f t="shared" si="21"/>
        <v>0</v>
      </c>
      <c r="U62" s="104">
        <f t="shared" si="21"/>
        <v>0</v>
      </c>
      <c r="V62" s="104">
        <f t="shared" si="21"/>
        <v>0</v>
      </c>
      <c r="W62" s="104">
        <f t="shared" si="21"/>
        <v>0</v>
      </c>
      <c r="X62" s="104">
        <f t="shared" si="21"/>
        <v>0</v>
      </c>
      <c r="Y62" s="104">
        <f t="shared" si="21"/>
        <v>0</v>
      </c>
      <c r="Z62" s="104">
        <f t="shared" si="21"/>
        <v>0</v>
      </c>
      <c r="AA62" s="104">
        <f t="shared" si="21"/>
        <v>0</v>
      </c>
      <c r="AB62" s="104">
        <f t="shared" si="21"/>
        <v>0</v>
      </c>
      <c r="AC62" s="104">
        <f t="shared" si="21"/>
        <v>0</v>
      </c>
      <c r="AD62" s="104">
        <f t="shared" si="21"/>
        <v>0</v>
      </c>
      <c r="AE62" s="104">
        <f t="shared" si="21"/>
        <v>0</v>
      </c>
      <c r="AF62" s="104">
        <f t="shared" si="21"/>
        <v>0</v>
      </c>
      <c r="AG62" s="104">
        <f t="shared" si="21"/>
        <v>0</v>
      </c>
      <c r="AH62" s="104">
        <f t="shared" si="21"/>
        <v>0</v>
      </c>
      <c r="AI62" s="104">
        <f t="shared" si="21"/>
        <v>0</v>
      </c>
      <c r="AJ62" s="104">
        <f t="shared" si="21"/>
        <v>0</v>
      </c>
      <c r="AK62" s="104">
        <f t="shared" si="18"/>
        <v>0</v>
      </c>
      <c r="AL62" s="104">
        <f t="shared" si="18"/>
        <v>0</v>
      </c>
      <c r="AM62" s="104">
        <f t="shared" si="18"/>
        <v>0</v>
      </c>
      <c r="AN62" s="104">
        <f t="shared" si="18"/>
        <v>0</v>
      </c>
      <c r="AO62" s="104">
        <f t="shared" si="18"/>
        <v>0</v>
      </c>
      <c r="AP62" s="104">
        <f t="shared" si="18"/>
        <v>0</v>
      </c>
      <c r="AQ62" s="104">
        <f t="shared" si="18"/>
        <v>0</v>
      </c>
      <c r="AR62" s="104">
        <f t="shared" si="18"/>
        <v>0</v>
      </c>
      <c r="AS62" s="104">
        <f t="shared" ref="AS62:AY62" si="24">AS29*$C62</f>
        <v>0</v>
      </c>
      <c r="AT62" s="104">
        <f t="shared" si="24"/>
        <v>0</v>
      </c>
      <c r="AU62" s="104">
        <f t="shared" si="24"/>
        <v>0</v>
      </c>
      <c r="AV62" s="104">
        <f t="shared" si="24"/>
        <v>0</v>
      </c>
      <c r="AW62" s="104">
        <f t="shared" si="24"/>
        <v>0</v>
      </c>
      <c r="AX62" s="104">
        <f t="shared" si="24"/>
        <v>0</v>
      </c>
      <c r="AY62" s="104">
        <f t="shared" si="24"/>
        <v>0</v>
      </c>
      <c r="AZ62" s="104">
        <f t="shared" ref="AZ62" si="25">AZ29*$C62</f>
        <v>0</v>
      </c>
    </row>
    <row r="63" spans="1:52">
      <c r="B63" s="96" t="s">
        <v>51</v>
      </c>
      <c r="C63" s="111">
        <v>15</v>
      </c>
      <c r="D63" s="97">
        <f t="shared" si="21"/>
        <v>0</v>
      </c>
      <c r="E63" s="104">
        <f t="shared" si="21"/>
        <v>0</v>
      </c>
      <c r="F63" s="104">
        <f t="shared" si="21"/>
        <v>0</v>
      </c>
      <c r="G63" s="104">
        <f t="shared" si="21"/>
        <v>0</v>
      </c>
      <c r="H63" s="104">
        <f t="shared" si="21"/>
        <v>0</v>
      </c>
      <c r="I63" s="104">
        <f t="shared" si="21"/>
        <v>0</v>
      </c>
      <c r="J63" s="104">
        <f t="shared" si="21"/>
        <v>0</v>
      </c>
      <c r="K63" s="104">
        <f t="shared" si="21"/>
        <v>0</v>
      </c>
      <c r="L63" s="104">
        <f t="shared" si="21"/>
        <v>0</v>
      </c>
      <c r="M63" s="104">
        <f t="shared" si="21"/>
        <v>0</v>
      </c>
      <c r="N63" s="104">
        <f t="shared" si="21"/>
        <v>0</v>
      </c>
      <c r="O63" s="104">
        <f t="shared" si="21"/>
        <v>0</v>
      </c>
      <c r="P63" s="104">
        <f t="shared" si="21"/>
        <v>0</v>
      </c>
      <c r="Q63" s="104">
        <f t="shared" si="21"/>
        <v>0</v>
      </c>
      <c r="R63" s="104">
        <f t="shared" si="21"/>
        <v>0</v>
      </c>
      <c r="S63" s="104">
        <f t="shared" si="21"/>
        <v>0</v>
      </c>
      <c r="T63" s="104">
        <f t="shared" si="21"/>
        <v>0</v>
      </c>
      <c r="U63" s="104">
        <f t="shared" si="21"/>
        <v>0</v>
      </c>
      <c r="V63" s="104">
        <f t="shared" si="21"/>
        <v>0</v>
      </c>
      <c r="W63" s="104">
        <f t="shared" si="21"/>
        <v>0</v>
      </c>
      <c r="X63" s="104">
        <f t="shared" si="21"/>
        <v>0</v>
      </c>
      <c r="Y63" s="104">
        <f t="shared" si="21"/>
        <v>0</v>
      </c>
      <c r="Z63" s="104">
        <f t="shared" si="21"/>
        <v>0</v>
      </c>
      <c r="AA63" s="104">
        <f t="shared" si="21"/>
        <v>0</v>
      </c>
      <c r="AB63" s="104">
        <f t="shared" si="21"/>
        <v>0</v>
      </c>
      <c r="AC63" s="104">
        <f t="shared" si="21"/>
        <v>0</v>
      </c>
      <c r="AD63" s="104">
        <f t="shared" si="21"/>
        <v>0</v>
      </c>
      <c r="AE63" s="104">
        <f t="shared" si="21"/>
        <v>0</v>
      </c>
      <c r="AF63" s="104">
        <f t="shared" si="21"/>
        <v>0</v>
      </c>
      <c r="AG63" s="104">
        <f t="shared" si="21"/>
        <v>0</v>
      </c>
      <c r="AH63" s="104">
        <f t="shared" si="21"/>
        <v>0</v>
      </c>
      <c r="AI63" s="104">
        <f t="shared" si="21"/>
        <v>0</v>
      </c>
      <c r="AJ63" s="104">
        <f t="shared" si="21"/>
        <v>0</v>
      </c>
      <c r="AK63" s="104">
        <f t="shared" si="18"/>
        <v>0</v>
      </c>
      <c r="AL63" s="104">
        <f t="shared" si="18"/>
        <v>0</v>
      </c>
      <c r="AM63" s="104">
        <f t="shared" si="18"/>
        <v>0</v>
      </c>
      <c r="AN63" s="104">
        <f t="shared" si="18"/>
        <v>0</v>
      </c>
      <c r="AO63" s="104">
        <f t="shared" si="18"/>
        <v>0</v>
      </c>
      <c r="AP63" s="104">
        <f t="shared" si="18"/>
        <v>0</v>
      </c>
      <c r="AQ63" s="104">
        <f t="shared" si="18"/>
        <v>0</v>
      </c>
      <c r="AR63" s="104">
        <f t="shared" si="18"/>
        <v>0</v>
      </c>
      <c r="AS63" s="104">
        <f t="shared" ref="AS63:AY63" si="26">AS30*$C63</f>
        <v>0</v>
      </c>
      <c r="AT63" s="104">
        <f t="shared" si="26"/>
        <v>0</v>
      </c>
      <c r="AU63" s="104">
        <f t="shared" si="26"/>
        <v>0</v>
      </c>
      <c r="AV63" s="104">
        <f t="shared" si="26"/>
        <v>0</v>
      </c>
      <c r="AW63" s="104">
        <f t="shared" si="26"/>
        <v>0</v>
      </c>
      <c r="AX63" s="104">
        <f t="shared" si="26"/>
        <v>0</v>
      </c>
      <c r="AY63" s="104">
        <f t="shared" si="26"/>
        <v>0</v>
      </c>
      <c r="AZ63" s="104">
        <f t="shared" ref="AZ63" si="27">AZ30*$C63</f>
        <v>0</v>
      </c>
    </row>
    <row r="64" spans="1:52">
      <c r="B64" s="96" t="s">
        <v>52</v>
      </c>
      <c r="C64" s="111">
        <v>10</v>
      </c>
      <c r="D64" s="97">
        <f t="shared" si="21"/>
        <v>0</v>
      </c>
      <c r="E64" s="104">
        <f t="shared" si="21"/>
        <v>0</v>
      </c>
      <c r="F64" s="104">
        <f t="shared" si="21"/>
        <v>0</v>
      </c>
      <c r="G64" s="104">
        <f t="shared" si="21"/>
        <v>0</v>
      </c>
      <c r="H64" s="104">
        <f t="shared" si="21"/>
        <v>0</v>
      </c>
      <c r="I64" s="104">
        <f t="shared" si="21"/>
        <v>0</v>
      </c>
      <c r="J64" s="104">
        <f t="shared" si="21"/>
        <v>0</v>
      </c>
      <c r="K64" s="104">
        <f t="shared" si="21"/>
        <v>0</v>
      </c>
      <c r="L64" s="104">
        <f t="shared" si="21"/>
        <v>0</v>
      </c>
      <c r="M64" s="104">
        <f t="shared" si="21"/>
        <v>0</v>
      </c>
      <c r="N64" s="104">
        <f t="shared" si="21"/>
        <v>0</v>
      </c>
      <c r="O64" s="104">
        <f t="shared" si="21"/>
        <v>0</v>
      </c>
      <c r="P64" s="104">
        <f t="shared" si="21"/>
        <v>0</v>
      </c>
      <c r="Q64" s="104">
        <f t="shared" si="21"/>
        <v>0</v>
      </c>
      <c r="R64" s="104">
        <f t="shared" si="21"/>
        <v>0</v>
      </c>
      <c r="S64" s="104">
        <f t="shared" si="21"/>
        <v>0</v>
      </c>
      <c r="T64" s="104">
        <f t="shared" si="21"/>
        <v>0</v>
      </c>
      <c r="U64" s="104">
        <f t="shared" si="21"/>
        <v>0</v>
      </c>
      <c r="V64" s="104">
        <f t="shared" si="21"/>
        <v>0</v>
      </c>
      <c r="W64" s="104">
        <f t="shared" si="21"/>
        <v>0</v>
      </c>
      <c r="X64" s="104">
        <f t="shared" si="21"/>
        <v>0</v>
      </c>
      <c r="Y64" s="104">
        <f t="shared" si="21"/>
        <v>0</v>
      </c>
      <c r="Z64" s="104">
        <f t="shared" si="21"/>
        <v>0</v>
      </c>
      <c r="AA64" s="104">
        <f t="shared" si="21"/>
        <v>0</v>
      </c>
      <c r="AB64" s="104">
        <f t="shared" si="21"/>
        <v>0</v>
      </c>
      <c r="AC64" s="104">
        <f t="shared" si="21"/>
        <v>0</v>
      </c>
      <c r="AD64" s="104">
        <f t="shared" si="21"/>
        <v>0</v>
      </c>
      <c r="AE64" s="104">
        <f t="shared" si="21"/>
        <v>0</v>
      </c>
      <c r="AF64" s="104">
        <f t="shared" si="21"/>
        <v>0</v>
      </c>
      <c r="AG64" s="104">
        <f t="shared" si="21"/>
        <v>0</v>
      </c>
      <c r="AH64" s="104">
        <f t="shared" si="21"/>
        <v>0</v>
      </c>
      <c r="AI64" s="104">
        <f t="shared" si="21"/>
        <v>0</v>
      </c>
      <c r="AJ64" s="104">
        <f t="shared" si="21"/>
        <v>0</v>
      </c>
      <c r="AK64" s="104">
        <f t="shared" si="18"/>
        <v>0</v>
      </c>
      <c r="AL64" s="104">
        <f t="shared" si="18"/>
        <v>0</v>
      </c>
      <c r="AM64" s="104">
        <f t="shared" si="18"/>
        <v>0</v>
      </c>
      <c r="AN64" s="104">
        <f t="shared" si="18"/>
        <v>0</v>
      </c>
      <c r="AO64" s="104">
        <f t="shared" si="18"/>
        <v>0</v>
      </c>
      <c r="AP64" s="104">
        <f t="shared" si="18"/>
        <v>0</v>
      </c>
      <c r="AQ64" s="104">
        <f t="shared" si="18"/>
        <v>0</v>
      </c>
      <c r="AR64" s="104">
        <f t="shared" si="18"/>
        <v>0</v>
      </c>
      <c r="AS64" s="104">
        <f t="shared" ref="AS64:AY64" si="28">AS31*$C64</f>
        <v>0</v>
      </c>
      <c r="AT64" s="104">
        <f t="shared" si="28"/>
        <v>0</v>
      </c>
      <c r="AU64" s="104">
        <f t="shared" si="28"/>
        <v>0</v>
      </c>
      <c r="AV64" s="104">
        <f t="shared" si="28"/>
        <v>0</v>
      </c>
      <c r="AW64" s="104">
        <f t="shared" si="28"/>
        <v>0</v>
      </c>
      <c r="AX64" s="104">
        <f t="shared" si="28"/>
        <v>0</v>
      </c>
      <c r="AY64" s="104">
        <f t="shared" si="28"/>
        <v>0</v>
      </c>
      <c r="AZ64" s="104">
        <f t="shared" ref="AZ64" si="29">AZ31*$C64</f>
        <v>0</v>
      </c>
    </row>
    <row r="65" spans="2:52">
      <c r="B65" s="96" t="s">
        <v>53</v>
      </c>
      <c r="C65" s="111">
        <v>19</v>
      </c>
      <c r="D65" s="97">
        <f t="shared" si="21"/>
        <v>0</v>
      </c>
      <c r="E65" s="104">
        <f t="shared" si="21"/>
        <v>0</v>
      </c>
      <c r="F65" s="104">
        <f t="shared" si="21"/>
        <v>0</v>
      </c>
      <c r="G65" s="104">
        <f t="shared" si="21"/>
        <v>0</v>
      </c>
      <c r="H65" s="104">
        <f t="shared" si="21"/>
        <v>0</v>
      </c>
      <c r="I65" s="104">
        <f t="shared" si="21"/>
        <v>0</v>
      </c>
      <c r="J65" s="104">
        <f t="shared" si="21"/>
        <v>0</v>
      </c>
      <c r="K65" s="104">
        <f t="shared" si="21"/>
        <v>0</v>
      </c>
      <c r="L65" s="104">
        <f t="shared" si="21"/>
        <v>0</v>
      </c>
      <c r="M65" s="104">
        <f t="shared" si="21"/>
        <v>0</v>
      </c>
      <c r="N65" s="104">
        <f t="shared" si="21"/>
        <v>0</v>
      </c>
      <c r="O65" s="104">
        <f t="shared" si="21"/>
        <v>0</v>
      </c>
      <c r="P65" s="104">
        <f t="shared" si="21"/>
        <v>0</v>
      </c>
      <c r="Q65" s="104">
        <f t="shared" si="21"/>
        <v>0</v>
      </c>
      <c r="R65" s="104">
        <f t="shared" si="21"/>
        <v>0</v>
      </c>
      <c r="S65" s="104">
        <f t="shared" si="21"/>
        <v>0</v>
      </c>
      <c r="T65" s="104">
        <f t="shared" si="21"/>
        <v>0</v>
      </c>
      <c r="U65" s="104">
        <f t="shared" si="21"/>
        <v>0</v>
      </c>
      <c r="V65" s="104">
        <f t="shared" si="21"/>
        <v>0</v>
      </c>
      <c r="W65" s="104">
        <f t="shared" si="21"/>
        <v>0</v>
      </c>
      <c r="X65" s="104">
        <f t="shared" si="21"/>
        <v>0</v>
      </c>
      <c r="Y65" s="104">
        <f t="shared" si="21"/>
        <v>0</v>
      </c>
      <c r="Z65" s="104">
        <f t="shared" si="21"/>
        <v>0</v>
      </c>
      <c r="AA65" s="104">
        <f t="shared" si="21"/>
        <v>0</v>
      </c>
      <c r="AB65" s="104">
        <f t="shared" si="21"/>
        <v>0</v>
      </c>
      <c r="AC65" s="104">
        <f t="shared" si="21"/>
        <v>0</v>
      </c>
      <c r="AD65" s="104">
        <f t="shared" si="21"/>
        <v>0</v>
      </c>
      <c r="AE65" s="104">
        <f t="shared" si="21"/>
        <v>0</v>
      </c>
      <c r="AF65" s="104">
        <f t="shared" si="21"/>
        <v>0</v>
      </c>
      <c r="AG65" s="104">
        <f t="shared" si="21"/>
        <v>0</v>
      </c>
      <c r="AH65" s="104">
        <f t="shared" si="21"/>
        <v>0</v>
      </c>
      <c r="AI65" s="104">
        <f t="shared" si="21"/>
        <v>0</v>
      </c>
      <c r="AJ65" s="104">
        <f t="shared" si="21"/>
        <v>0</v>
      </c>
      <c r="AK65" s="104">
        <f t="shared" si="18"/>
        <v>0</v>
      </c>
      <c r="AL65" s="104">
        <f t="shared" si="18"/>
        <v>0</v>
      </c>
      <c r="AM65" s="104">
        <f t="shared" si="18"/>
        <v>0</v>
      </c>
      <c r="AN65" s="104">
        <f t="shared" si="18"/>
        <v>0</v>
      </c>
      <c r="AO65" s="104">
        <f t="shared" si="18"/>
        <v>0</v>
      </c>
      <c r="AP65" s="104">
        <f t="shared" si="18"/>
        <v>0</v>
      </c>
      <c r="AQ65" s="104">
        <f t="shared" si="18"/>
        <v>0</v>
      </c>
      <c r="AR65" s="104">
        <f t="shared" si="18"/>
        <v>0</v>
      </c>
      <c r="AS65" s="104">
        <f t="shared" ref="AS65:AY65" si="30">AS32*$C65</f>
        <v>0</v>
      </c>
      <c r="AT65" s="104">
        <f t="shared" si="30"/>
        <v>0</v>
      </c>
      <c r="AU65" s="104">
        <f t="shared" si="30"/>
        <v>0</v>
      </c>
      <c r="AV65" s="104">
        <f t="shared" si="30"/>
        <v>0</v>
      </c>
      <c r="AW65" s="104">
        <f t="shared" si="30"/>
        <v>0</v>
      </c>
      <c r="AX65" s="104">
        <f t="shared" si="30"/>
        <v>0</v>
      </c>
      <c r="AY65" s="104">
        <f t="shared" si="30"/>
        <v>0</v>
      </c>
      <c r="AZ65" s="104">
        <f t="shared" ref="AZ65" si="31">AZ32*$C65</f>
        <v>0</v>
      </c>
    </row>
    <row r="66" spans="2:52">
      <c r="B66" s="96" t="s">
        <v>54</v>
      </c>
      <c r="C66" s="111">
        <v>10</v>
      </c>
      <c r="D66" s="97">
        <f t="shared" si="21"/>
        <v>0</v>
      </c>
      <c r="E66" s="104">
        <f t="shared" si="21"/>
        <v>0</v>
      </c>
      <c r="F66" s="104">
        <f t="shared" si="21"/>
        <v>0</v>
      </c>
      <c r="G66" s="104">
        <f t="shared" si="21"/>
        <v>0</v>
      </c>
      <c r="H66" s="104">
        <f t="shared" si="21"/>
        <v>0</v>
      </c>
      <c r="I66" s="104">
        <f t="shared" si="21"/>
        <v>0</v>
      </c>
      <c r="J66" s="104">
        <f t="shared" si="21"/>
        <v>0</v>
      </c>
      <c r="K66" s="104">
        <f t="shared" si="21"/>
        <v>0</v>
      </c>
      <c r="L66" s="104">
        <f t="shared" si="21"/>
        <v>0</v>
      </c>
      <c r="M66" s="104">
        <f t="shared" si="21"/>
        <v>0</v>
      </c>
      <c r="N66" s="104">
        <f t="shared" si="21"/>
        <v>0</v>
      </c>
      <c r="O66" s="104">
        <f t="shared" si="21"/>
        <v>0</v>
      </c>
      <c r="P66" s="104">
        <f t="shared" si="21"/>
        <v>0</v>
      </c>
      <c r="Q66" s="104">
        <f t="shared" si="21"/>
        <v>0</v>
      </c>
      <c r="R66" s="104">
        <f t="shared" si="21"/>
        <v>0</v>
      </c>
      <c r="S66" s="104">
        <f t="shared" si="21"/>
        <v>0</v>
      </c>
      <c r="T66" s="104">
        <f t="shared" si="21"/>
        <v>0</v>
      </c>
      <c r="U66" s="104">
        <f t="shared" si="21"/>
        <v>0</v>
      </c>
      <c r="V66" s="104">
        <f t="shared" si="21"/>
        <v>0</v>
      </c>
      <c r="W66" s="104">
        <f t="shared" si="21"/>
        <v>0</v>
      </c>
      <c r="X66" s="104">
        <f t="shared" si="21"/>
        <v>0</v>
      </c>
      <c r="Y66" s="104">
        <f t="shared" si="21"/>
        <v>0</v>
      </c>
      <c r="Z66" s="104">
        <f t="shared" si="21"/>
        <v>0</v>
      </c>
      <c r="AA66" s="104">
        <f t="shared" si="21"/>
        <v>0</v>
      </c>
      <c r="AB66" s="104">
        <f t="shared" si="21"/>
        <v>0</v>
      </c>
      <c r="AC66" s="104">
        <f t="shared" si="21"/>
        <v>0</v>
      </c>
      <c r="AD66" s="104">
        <f t="shared" si="21"/>
        <v>0</v>
      </c>
      <c r="AE66" s="104">
        <f t="shared" si="21"/>
        <v>0</v>
      </c>
      <c r="AF66" s="104">
        <f t="shared" si="21"/>
        <v>0</v>
      </c>
      <c r="AG66" s="104">
        <f t="shared" si="21"/>
        <v>0</v>
      </c>
      <c r="AH66" s="104">
        <f t="shared" si="21"/>
        <v>0</v>
      </c>
      <c r="AI66" s="104">
        <f t="shared" si="21"/>
        <v>0</v>
      </c>
      <c r="AJ66" s="104">
        <f t="shared" si="21"/>
        <v>0</v>
      </c>
      <c r="AK66" s="104">
        <f t="shared" si="18"/>
        <v>0</v>
      </c>
      <c r="AL66" s="104">
        <f t="shared" si="18"/>
        <v>0</v>
      </c>
      <c r="AM66" s="104">
        <f t="shared" si="18"/>
        <v>0</v>
      </c>
      <c r="AN66" s="104">
        <f t="shared" si="18"/>
        <v>0</v>
      </c>
      <c r="AO66" s="104">
        <f t="shared" si="18"/>
        <v>0</v>
      </c>
      <c r="AP66" s="104">
        <f t="shared" si="18"/>
        <v>0</v>
      </c>
      <c r="AQ66" s="104">
        <f t="shared" si="18"/>
        <v>0</v>
      </c>
      <c r="AR66" s="104">
        <f t="shared" si="18"/>
        <v>0</v>
      </c>
      <c r="AS66" s="104">
        <f t="shared" ref="AS66:AY66" si="32">AS33*$C66</f>
        <v>0</v>
      </c>
      <c r="AT66" s="104">
        <f t="shared" si="32"/>
        <v>0</v>
      </c>
      <c r="AU66" s="104">
        <f t="shared" si="32"/>
        <v>0</v>
      </c>
      <c r="AV66" s="104">
        <f t="shared" si="32"/>
        <v>0</v>
      </c>
      <c r="AW66" s="104">
        <f t="shared" si="32"/>
        <v>0</v>
      </c>
      <c r="AX66" s="104">
        <f t="shared" si="32"/>
        <v>0</v>
      </c>
      <c r="AY66" s="104">
        <f t="shared" si="32"/>
        <v>0</v>
      </c>
      <c r="AZ66" s="104">
        <f t="shared" ref="AZ66" si="33">AZ33*$C66</f>
        <v>0</v>
      </c>
    </row>
    <row r="67" spans="2:52">
      <c r="B67" s="96" t="s">
        <v>55</v>
      </c>
      <c r="C67" s="111">
        <v>50</v>
      </c>
      <c r="D67" s="97">
        <f t="shared" si="21"/>
        <v>0</v>
      </c>
      <c r="E67" s="104">
        <f t="shared" si="21"/>
        <v>0</v>
      </c>
      <c r="F67" s="104">
        <f t="shared" si="21"/>
        <v>0</v>
      </c>
      <c r="G67" s="104">
        <f t="shared" si="21"/>
        <v>0</v>
      </c>
      <c r="H67" s="104">
        <f t="shared" si="21"/>
        <v>0</v>
      </c>
      <c r="I67" s="104">
        <f t="shared" si="21"/>
        <v>0</v>
      </c>
      <c r="J67" s="104">
        <f t="shared" si="21"/>
        <v>0</v>
      </c>
      <c r="K67" s="104">
        <f t="shared" si="21"/>
        <v>0</v>
      </c>
      <c r="L67" s="104">
        <f t="shared" si="21"/>
        <v>0</v>
      </c>
      <c r="M67" s="104">
        <f t="shared" si="21"/>
        <v>0</v>
      </c>
      <c r="N67" s="104">
        <f t="shared" si="21"/>
        <v>0</v>
      </c>
      <c r="O67" s="104">
        <f t="shared" si="21"/>
        <v>0</v>
      </c>
      <c r="P67" s="104">
        <f t="shared" si="21"/>
        <v>0</v>
      </c>
      <c r="Q67" s="104">
        <f t="shared" si="21"/>
        <v>0</v>
      </c>
      <c r="R67" s="104">
        <f t="shared" si="21"/>
        <v>0</v>
      </c>
      <c r="S67" s="104">
        <f t="shared" si="21"/>
        <v>0</v>
      </c>
      <c r="T67" s="104">
        <f t="shared" si="21"/>
        <v>0</v>
      </c>
      <c r="U67" s="104">
        <f t="shared" si="21"/>
        <v>0</v>
      </c>
      <c r="V67" s="104">
        <f t="shared" si="21"/>
        <v>0</v>
      </c>
      <c r="W67" s="104">
        <f t="shared" si="21"/>
        <v>0</v>
      </c>
      <c r="X67" s="104">
        <f t="shared" si="21"/>
        <v>0</v>
      </c>
      <c r="Y67" s="104">
        <f t="shared" si="21"/>
        <v>0</v>
      </c>
      <c r="Z67" s="104">
        <f t="shared" si="21"/>
        <v>0</v>
      </c>
      <c r="AA67" s="104">
        <f t="shared" si="21"/>
        <v>0</v>
      </c>
      <c r="AB67" s="104">
        <f t="shared" si="21"/>
        <v>0</v>
      </c>
      <c r="AC67" s="104">
        <f t="shared" si="21"/>
        <v>0</v>
      </c>
      <c r="AD67" s="104">
        <f t="shared" si="21"/>
        <v>0</v>
      </c>
      <c r="AE67" s="104">
        <f t="shared" si="21"/>
        <v>0</v>
      </c>
      <c r="AF67" s="104">
        <f t="shared" si="21"/>
        <v>0</v>
      </c>
      <c r="AG67" s="104">
        <f t="shared" si="21"/>
        <v>0</v>
      </c>
      <c r="AH67" s="104">
        <f t="shared" si="21"/>
        <v>0</v>
      </c>
      <c r="AI67" s="104">
        <f t="shared" si="21"/>
        <v>0</v>
      </c>
      <c r="AJ67" s="104">
        <f t="shared" si="21"/>
        <v>0</v>
      </c>
      <c r="AK67" s="104">
        <f t="shared" si="18"/>
        <v>0</v>
      </c>
      <c r="AL67" s="104">
        <f t="shared" si="18"/>
        <v>0</v>
      </c>
      <c r="AM67" s="104">
        <f t="shared" si="18"/>
        <v>0</v>
      </c>
      <c r="AN67" s="104">
        <f t="shared" si="18"/>
        <v>0</v>
      </c>
      <c r="AO67" s="104">
        <f t="shared" si="18"/>
        <v>0</v>
      </c>
      <c r="AP67" s="104">
        <f t="shared" si="18"/>
        <v>0</v>
      </c>
      <c r="AQ67" s="104">
        <f t="shared" si="18"/>
        <v>0</v>
      </c>
      <c r="AR67" s="104">
        <f t="shared" si="18"/>
        <v>0</v>
      </c>
      <c r="AS67" s="104">
        <f t="shared" ref="AS67:AY67" si="34">AS34*$C67</f>
        <v>0</v>
      </c>
      <c r="AT67" s="104">
        <f t="shared" si="34"/>
        <v>0</v>
      </c>
      <c r="AU67" s="104">
        <f t="shared" si="34"/>
        <v>0</v>
      </c>
      <c r="AV67" s="104">
        <f t="shared" si="34"/>
        <v>0</v>
      </c>
      <c r="AW67" s="104">
        <f t="shared" si="34"/>
        <v>0</v>
      </c>
      <c r="AX67" s="104">
        <f t="shared" si="34"/>
        <v>0</v>
      </c>
      <c r="AY67" s="104">
        <f t="shared" si="34"/>
        <v>0</v>
      </c>
      <c r="AZ67" s="104">
        <f t="shared" ref="AZ67" si="35">AZ34*$C67</f>
        <v>0</v>
      </c>
    </row>
    <row r="68" spans="2:52">
      <c r="B68" s="96" t="s">
        <v>56</v>
      </c>
      <c r="C68" s="111">
        <v>27.39</v>
      </c>
      <c r="D68" s="97">
        <f t="shared" si="21"/>
        <v>0</v>
      </c>
      <c r="E68" s="104">
        <f t="shared" si="21"/>
        <v>0</v>
      </c>
      <c r="F68" s="104">
        <f t="shared" si="21"/>
        <v>0</v>
      </c>
      <c r="G68" s="104">
        <f t="shared" si="21"/>
        <v>0</v>
      </c>
      <c r="H68" s="104">
        <f t="shared" si="21"/>
        <v>0</v>
      </c>
      <c r="I68" s="104">
        <f t="shared" si="21"/>
        <v>0</v>
      </c>
      <c r="J68" s="104">
        <f t="shared" si="21"/>
        <v>0</v>
      </c>
      <c r="K68" s="104">
        <f t="shared" si="21"/>
        <v>0</v>
      </c>
      <c r="L68" s="104">
        <f t="shared" si="21"/>
        <v>0</v>
      </c>
      <c r="M68" s="104">
        <f t="shared" si="21"/>
        <v>0</v>
      </c>
      <c r="N68" s="104">
        <f t="shared" si="21"/>
        <v>0</v>
      </c>
      <c r="O68" s="104">
        <f t="shared" si="21"/>
        <v>0</v>
      </c>
      <c r="P68" s="104">
        <f t="shared" si="21"/>
        <v>0</v>
      </c>
      <c r="Q68" s="104">
        <f t="shared" si="21"/>
        <v>0</v>
      </c>
      <c r="R68" s="104">
        <f t="shared" si="21"/>
        <v>0</v>
      </c>
      <c r="S68" s="104">
        <f t="shared" si="21"/>
        <v>0</v>
      </c>
      <c r="T68" s="104">
        <f t="shared" si="21"/>
        <v>0</v>
      </c>
      <c r="U68" s="104">
        <f t="shared" si="21"/>
        <v>0</v>
      </c>
      <c r="V68" s="104">
        <f t="shared" si="21"/>
        <v>0</v>
      </c>
      <c r="W68" s="104">
        <f t="shared" si="21"/>
        <v>0</v>
      </c>
      <c r="X68" s="104">
        <f t="shared" si="21"/>
        <v>0</v>
      </c>
      <c r="Y68" s="104">
        <f t="shared" si="21"/>
        <v>0</v>
      </c>
      <c r="Z68" s="104">
        <f t="shared" si="21"/>
        <v>0</v>
      </c>
      <c r="AA68" s="104">
        <f t="shared" si="21"/>
        <v>0</v>
      </c>
      <c r="AB68" s="104">
        <f t="shared" ref="AB68:AJ68" si="36">AB35*$C68</f>
        <v>0</v>
      </c>
      <c r="AC68" s="104">
        <f t="shared" si="36"/>
        <v>0</v>
      </c>
      <c r="AD68" s="104">
        <f t="shared" si="36"/>
        <v>0</v>
      </c>
      <c r="AE68" s="104">
        <f t="shared" si="36"/>
        <v>0</v>
      </c>
      <c r="AF68" s="104">
        <f t="shared" si="36"/>
        <v>0</v>
      </c>
      <c r="AG68" s="104">
        <f t="shared" si="36"/>
        <v>0</v>
      </c>
      <c r="AH68" s="104">
        <f t="shared" si="36"/>
        <v>0</v>
      </c>
      <c r="AI68" s="104">
        <f t="shared" si="36"/>
        <v>0</v>
      </c>
      <c r="AJ68" s="104">
        <f t="shared" si="36"/>
        <v>0</v>
      </c>
      <c r="AK68" s="104">
        <f t="shared" si="18"/>
        <v>0</v>
      </c>
      <c r="AL68" s="104">
        <f t="shared" si="18"/>
        <v>0</v>
      </c>
      <c r="AM68" s="104">
        <f t="shared" si="18"/>
        <v>0</v>
      </c>
      <c r="AN68" s="104">
        <f t="shared" si="18"/>
        <v>0</v>
      </c>
      <c r="AO68" s="104">
        <f t="shared" si="18"/>
        <v>0</v>
      </c>
      <c r="AP68" s="104">
        <f t="shared" si="18"/>
        <v>0</v>
      </c>
      <c r="AQ68" s="104">
        <f t="shared" si="18"/>
        <v>0</v>
      </c>
      <c r="AR68" s="104">
        <f t="shared" si="18"/>
        <v>0</v>
      </c>
      <c r="AS68" s="104">
        <f t="shared" ref="AS68:AY68" si="37">AS35*$C68</f>
        <v>0</v>
      </c>
      <c r="AT68" s="104">
        <f t="shared" si="37"/>
        <v>0</v>
      </c>
      <c r="AU68" s="104">
        <f t="shared" si="37"/>
        <v>0</v>
      </c>
      <c r="AV68" s="104">
        <f t="shared" si="37"/>
        <v>0</v>
      </c>
      <c r="AW68" s="104">
        <f t="shared" si="37"/>
        <v>0</v>
      </c>
      <c r="AX68" s="104">
        <f t="shared" si="37"/>
        <v>0</v>
      </c>
      <c r="AY68" s="104">
        <f t="shared" si="37"/>
        <v>0</v>
      </c>
      <c r="AZ68" s="104">
        <f t="shared" ref="AZ68" si="38">AZ35*$C68</f>
        <v>0</v>
      </c>
    </row>
    <row r="69" spans="2:52">
      <c r="B69" s="96" t="s">
        <v>57</v>
      </c>
      <c r="C69" s="111">
        <v>28</v>
      </c>
      <c r="D69" s="97">
        <f>D36*$C69</f>
        <v>2897664</v>
      </c>
      <c r="E69" s="104">
        <f t="shared" ref="D69:E71" si="39">E36*$C69</f>
        <v>0</v>
      </c>
      <c r="F69" s="104">
        <f t="shared" ref="F69:AZ69" si="40">F36*$C69</f>
        <v>0</v>
      </c>
      <c r="G69" s="104">
        <f t="shared" si="40"/>
        <v>0</v>
      </c>
      <c r="H69" s="104">
        <f t="shared" si="40"/>
        <v>0</v>
      </c>
      <c r="I69" s="104">
        <f t="shared" si="40"/>
        <v>0</v>
      </c>
      <c r="J69" s="104">
        <f t="shared" si="40"/>
        <v>0</v>
      </c>
      <c r="K69" s="104">
        <f t="shared" si="40"/>
        <v>0</v>
      </c>
      <c r="L69" s="104">
        <f>L36*$C69</f>
        <v>45276</v>
      </c>
      <c r="M69" s="104">
        <f t="shared" si="40"/>
        <v>74676</v>
      </c>
      <c r="N69" s="104">
        <f t="shared" si="40"/>
        <v>63756</v>
      </c>
      <c r="O69" s="104">
        <f t="shared" si="40"/>
        <v>46452</v>
      </c>
      <c r="P69" s="104">
        <f t="shared" si="40"/>
        <v>71148</v>
      </c>
      <c r="Q69" s="104">
        <f t="shared" si="40"/>
        <v>41748</v>
      </c>
      <c r="R69" s="104">
        <f t="shared" si="40"/>
        <v>29400</v>
      </c>
      <c r="S69" s="104">
        <f t="shared" si="40"/>
        <v>75264</v>
      </c>
      <c r="T69" s="104">
        <f t="shared" si="40"/>
        <v>178752</v>
      </c>
      <c r="U69" s="104">
        <f t="shared" si="40"/>
        <v>115836</v>
      </c>
      <c r="V69" s="104">
        <f t="shared" si="40"/>
        <v>81732</v>
      </c>
      <c r="W69" s="104">
        <f t="shared" si="40"/>
        <v>142884</v>
      </c>
      <c r="X69" s="104">
        <f t="shared" si="40"/>
        <v>88788</v>
      </c>
      <c r="Y69" s="104">
        <f t="shared" si="40"/>
        <v>99372</v>
      </c>
      <c r="Z69" s="104">
        <f t="shared" si="40"/>
        <v>167580</v>
      </c>
      <c r="AA69" s="104">
        <f t="shared" si="40"/>
        <v>141708</v>
      </c>
      <c r="AB69" s="104">
        <f t="shared" si="40"/>
        <v>108780</v>
      </c>
      <c r="AC69" s="104">
        <f t="shared" si="40"/>
        <v>51156</v>
      </c>
      <c r="AD69" s="104">
        <f t="shared" si="40"/>
        <v>64680</v>
      </c>
      <c r="AE69" s="104">
        <f t="shared" si="40"/>
        <v>131712</v>
      </c>
      <c r="AF69" s="104">
        <f t="shared" si="40"/>
        <v>79380</v>
      </c>
      <c r="AG69" s="104">
        <f t="shared" si="40"/>
        <v>24696</v>
      </c>
      <c r="AH69" s="104">
        <f t="shared" si="40"/>
        <v>14112</v>
      </c>
      <c r="AI69" s="104">
        <f t="shared" si="40"/>
        <v>99372</v>
      </c>
      <c r="AJ69" s="104">
        <f t="shared" si="40"/>
        <v>157584</v>
      </c>
      <c r="AK69" s="104">
        <f t="shared" si="40"/>
        <v>88788</v>
      </c>
      <c r="AL69" s="104">
        <f t="shared" si="40"/>
        <v>89376</v>
      </c>
      <c r="AM69" s="104">
        <f t="shared" si="40"/>
        <v>78792</v>
      </c>
      <c r="AN69" s="104">
        <f t="shared" si="40"/>
        <v>61152</v>
      </c>
      <c r="AO69" s="104">
        <f t="shared" si="40"/>
        <v>47040</v>
      </c>
      <c r="AP69" s="104">
        <f t="shared" si="40"/>
        <v>5880</v>
      </c>
      <c r="AQ69" s="104">
        <f t="shared" si="40"/>
        <v>112056</v>
      </c>
      <c r="AR69" s="104">
        <f t="shared" si="40"/>
        <v>121128</v>
      </c>
      <c r="AS69" s="104">
        <f t="shared" si="40"/>
        <v>32928</v>
      </c>
      <c r="AT69" s="104">
        <f t="shared" si="40"/>
        <v>18228</v>
      </c>
      <c r="AU69" s="104">
        <f t="shared" si="40"/>
        <v>31164</v>
      </c>
      <c r="AV69" s="104">
        <f t="shared" si="40"/>
        <v>15288</v>
      </c>
      <c r="AW69" s="104">
        <f t="shared" si="40"/>
        <v>0</v>
      </c>
      <c r="AX69" s="104">
        <f t="shared" si="40"/>
        <v>0</v>
      </c>
      <c r="AY69" s="104">
        <f t="shared" si="40"/>
        <v>0</v>
      </c>
      <c r="AZ69" s="104">
        <f t="shared" si="40"/>
        <v>0</v>
      </c>
    </row>
    <row r="70" spans="2:52">
      <c r="B70" s="96" t="s">
        <v>58</v>
      </c>
      <c r="C70" s="111">
        <v>60</v>
      </c>
      <c r="D70" s="97">
        <f t="shared" si="39"/>
        <v>12989700</v>
      </c>
      <c r="E70" s="104">
        <f t="shared" si="39"/>
        <v>0</v>
      </c>
      <c r="F70" s="104">
        <f t="shared" ref="F70:AZ70" si="41">F37*$C70</f>
        <v>0</v>
      </c>
      <c r="G70" s="104">
        <f t="shared" si="41"/>
        <v>0</v>
      </c>
      <c r="H70" s="104">
        <f t="shared" si="41"/>
        <v>0</v>
      </c>
      <c r="I70" s="104">
        <f t="shared" si="41"/>
        <v>0</v>
      </c>
      <c r="J70" s="104">
        <f t="shared" si="41"/>
        <v>0</v>
      </c>
      <c r="K70" s="104">
        <f t="shared" si="41"/>
        <v>0</v>
      </c>
      <c r="L70" s="104">
        <f t="shared" si="41"/>
        <v>119100</v>
      </c>
      <c r="M70" s="104">
        <f t="shared" si="41"/>
        <v>360900</v>
      </c>
      <c r="N70" s="104">
        <f t="shared" si="41"/>
        <v>108300</v>
      </c>
      <c r="O70" s="104">
        <f t="shared" si="41"/>
        <v>283800</v>
      </c>
      <c r="P70" s="104">
        <f t="shared" si="41"/>
        <v>432900</v>
      </c>
      <c r="Q70" s="104">
        <f t="shared" si="41"/>
        <v>229800</v>
      </c>
      <c r="R70" s="104">
        <f t="shared" si="41"/>
        <v>144900</v>
      </c>
      <c r="S70" s="104">
        <f t="shared" si="41"/>
        <v>359400</v>
      </c>
      <c r="T70" s="104">
        <f t="shared" si="41"/>
        <v>492000</v>
      </c>
      <c r="U70" s="104">
        <f t="shared" si="41"/>
        <v>559200</v>
      </c>
      <c r="V70" s="104">
        <f t="shared" si="41"/>
        <v>387600</v>
      </c>
      <c r="W70" s="104">
        <f t="shared" si="41"/>
        <v>504600</v>
      </c>
      <c r="X70" s="104">
        <f t="shared" si="41"/>
        <v>367500</v>
      </c>
      <c r="Y70" s="104">
        <f t="shared" si="41"/>
        <v>425700</v>
      </c>
      <c r="Z70" s="104">
        <f t="shared" si="41"/>
        <v>598200</v>
      </c>
      <c r="AA70" s="104">
        <f t="shared" si="41"/>
        <v>477600</v>
      </c>
      <c r="AB70" s="104">
        <f t="shared" si="41"/>
        <v>417000</v>
      </c>
      <c r="AC70" s="104">
        <f t="shared" si="41"/>
        <v>455700</v>
      </c>
      <c r="AD70" s="104">
        <f t="shared" si="41"/>
        <v>538200</v>
      </c>
      <c r="AE70" s="104">
        <f t="shared" si="41"/>
        <v>549300</v>
      </c>
      <c r="AF70" s="104">
        <f t="shared" si="41"/>
        <v>402900</v>
      </c>
      <c r="AG70" s="104">
        <f t="shared" si="41"/>
        <v>278400</v>
      </c>
      <c r="AH70" s="104">
        <f t="shared" si="41"/>
        <v>79800</v>
      </c>
      <c r="AI70" s="104">
        <f t="shared" si="41"/>
        <v>333600</v>
      </c>
      <c r="AJ70" s="104">
        <f t="shared" si="41"/>
        <v>610500</v>
      </c>
      <c r="AK70" s="104">
        <f t="shared" si="41"/>
        <v>273000</v>
      </c>
      <c r="AL70" s="104">
        <f t="shared" si="41"/>
        <v>357000</v>
      </c>
      <c r="AM70" s="104">
        <f t="shared" si="41"/>
        <v>544200</v>
      </c>
      <c r="AN70" s="104">
        <f t="shared" si="41"/>
        <v>359100</v>
      </c>
      <c r="AO70" s="104">
        <f t="shared" si="41"/>
        <v>253500</v>
      </c>
      <c r="AP70" s="104">
        <f t="shared" si="41"/>
        <v>24300</v>
      </c>
      <c r="AQ70" s="104">
        <f t="shared" si="41"/>
        <v>371100</v>
      </c>
      <c r="AR70" s="104">
        <f t="shared" si="41"/>
        <v>492300</v>
      </c>
      <c r="AS70" s="104">
        <f t="shared" si="41"/>
        <v>305400</v>
      </c>
      <c r="AT70" s="104">
        <f t="shared" si="41"/>
        <v>117900</v>
      </c>
      <c r="AU70" s="104">
        <f t="shared" si="41"/>
        <v>255900</v>
      </c>
      <c r="AV70" s="104">
        <f t="shared" si="41"/>
        <v>119100</v>
      </c>
      <c r="AW70" s="104">
        <f t="shared" si="41"/>
        <v>0</v>
      </c>
      <c r="AX70" s="104">
        <f t="shared" si="41"/>
        <v>0</v>
      </c>
      <c r="AY70" s="104">
        <f t="shared" si="41"/>
        <v>0</v>
      </c>
      <c r="AZ70" s="104">
        <f t="shared" si="41"/>
        <v>0</v>
      </c>
    </row>
    <row r="71" spans="2:52">
      <c r="B71" s="96" t="s">
        <v>59</v>
      </c>
      <c r="C71" s="112">
        <v>42</v>
      </c>
      <c r="D71" s="97">
        <f t="shared" si="39"/>
        <v>2808288</v>
      </c>
      <c r="E71" s="104">
        <f t="shared" si="39"/>
        <v>0</v>
      </c>
      <c r="F71" s="104">
        <f t="shared" ref="F71:AZ71" si="42">F38*$C71</f>
        <v>0</v>
      </c>
      <c r="G71" s="104">
        <f t="shared" si="42"/>
        <v>0</v>
      </c>
      <c r="H71" s="104">
        <f t="shared" si="42"/>
        <v>0</v>
      </c>
      <c r="I71" s="104">
        <f t="shared" si="42"/>
        <v>0</v>
      </c>
      <c r="J71" s="104">
        <f t="shared" si="42"/>
        <v>0</v>
      </c>
      <c r="K71" s="104">
        <f t="shared" si="42"/>
        <v>0</v>
      </c>
      <c r="L71" s="104">
        <f t="shared" si="42"/>
        <v>0</v>
      </c>
      <c r="M71" s="104">
        <f t="shared" si="42"/>
        <v>0</v>
      </c>
      <c r="N71" s="104">
        <f t="shared" si="42"/>
        <v>0</v>
      </c>
      <c r="O71" s="104">
        <f t="shared" si="42"/>
        <v>22512</v>
      </c>
      <c r="P71" s="104">
        <f t="shared" si="42"/>
        <v>22848</v>
      </c>
      <c r="Q71" s="104">
        <f t="shared" si="42"/>
        <v>23184</v>
      </c>
      <c r="R71" s="104">
        <f t="shared" si="42"/>
        <v>1680</v>
      </c>
      <c r="S71" s="104">
        <f t="shared" si="42"/>
        <v>97440</v>
      </c>
      <c r="T71" s="104">
        <f t="shared" si="42"/>
        <v>151872</v>
      </c>
      <c r="U71" s="104">
        <f t="shared" si="42"/>
        <v>105504</v>
      </c>
      <c r="V71" s="104">
        <f t="shared" si="42"/>
        <v>101472</v>
      </c>
      <c r="W71" s="104">
        <f t="shared" si="42"/>
        <v>131376</v>
      </c>
      <c r="X71" s="104">
        <f t="shared" si="42"/>
        <v>104496</v>
      </c>
      <c r="Y71" s="104">
        <f t="shared" si="42"/>
        <v>110880</v>
      </c>
      <c r="Z71" s="104">
        <f t="shared" si="42"/>
        <v>29568</v>
      </c>
      <c r="AA71" s="104">
        <f t="shared" si="42"/>
        <v>66192</v>
      </c>
      <c r="AB71" s="104">
        <f t="shared" si="42"/>
        <v>20160</v>
      </c>
      <c r="AC71" s="104">
        <f t="shared" si="42"/>
        <v>70896</v>
      </c>
      <c r="AD71" s="104">
        <f t="shared" si="42"/>
        <v>96096</v>
      </c>
      <c r="AE71" s="104">
        <f t="shared" si="42"/>
        <v>150192</v>
      </c>
      <c r="AF71" s="104">
        <f t="shared" si="42"/>
        <v>55440</v>
      </c>
      <c r="AG71" s="104">
        <f t="shared" si="42"/>
        <v>43008</v>
      </c>
      <c r="AH71" s="104">
        <f t="shared" si="42"/>
        <v>0</v>
      </c>
      <c r="AI71" s="104">
        <f t="shared" si="42"/>
        <v>65520</v>
      </c>
      <c r="AJ71" s="104">
        <f t="shared" si="42"/>
        <v>142464</v>
      </c>
      <c r="AK71" s="104">
        <f t="shared" si="42"/>
        <v>57792</v>
      </c>
      <c r="AL71" s="104">
        <f t="shared" si="42"/>
        <v>52752</v>
      </c>
      <c r="AM71" s="104">
        <f t="shared" si="42"/>
        <v>124992</v>
      </c>
      <c r="AN71" s="104">
        <f t="shared" si="42"/>
        <v>95760</v>
      </c>
      <c r="AO71" s="104">
        <f t="shared" si="42"/>
        <v>75264</v>
      </c>
      <c r="AP71" s="104">
        <f t="shared" si="42"/>
        <v>0</v>
      </c>
      <c r="AQ71" s="104">
        <f t="shared" si="42"/>
        <v>127008</v>
      </c>
      <c r="AR71" s="104">
        <f t="shared" si="42"/>
        <v>32592</v>
      </c>
      <c r="AS71" s="104">
        <f t="shared" si="42"/>
        <v>183456</v>
      </c>
      <c r="AT71" s="104">
        <f t="shared" si="42"/>
        <v>63504</v>
      </c>
      <c r="AU71" s="104">
        <f t="shared" si="42"/>
        <v>263424</v>
      </c>
      <c r="AV71" s="104">
        <f t="shared" si="42"/>
        <v>118944</v>
      </c>
      <c r="AW71" s="104">
        <f t="shared" si="42"/>
        <v>0</v>
      </c>
      <c r="AX71" s="104">
        <f t="shared" si="42"/>
        <v>0</v>
      </c>
      <c r="AY71" s="104">
        <f t="shared" si="42"/>
        <v>0</v>
      </c>
      <c r="AZ71" s="104">
        <f t="shared" si="42"/>
        <v>0</v>
      </c>
    </row>
    <row r="72" spans="2:52">
      <c r="B72" s="35" t="s">
        <v>85</v>
      </c>
      <c r="C72" s="113">
        <v>3.5</v>
      </c>
      <c r="D72" s="98">
        <f t="shared" ref="D72:AR72" si="43">D50*C72</f>
        <v>0</v>
      </c>
      <c r="E72" s="107">
        <f>E50*$C$72</f>
        <v>0</v>
      </c>
      <c r="F72" s="107">
        <f t="shared" si="43"/>
        <v>0</v>
      </c>
      <c r="G72" s="107">
        <f t="shared" si="43"/>
        <v>0</v>
      </c>
      <c r="H72" s="107">
        <f t="shared" si="43"/>
        <v>0</v>
      </c>
      <c r="I72" s="107">
        <f t="shared" si="43"/>
        <v>0</v>
      </c>
      <c r="J72" s="107">
        <f t="shared" si="43"/>
        <v>0</v>
      </c>
      <c r="K72" s="107">
        <f t="shared" si="43"/>
        <v>0</v>
      </c>
      <c r="L72" s="107">
        <f t="shared" si="43"/>
        <v>0</v>
      </c>
      <c r="M72" s="107">
        <f t="shared" si="43"/>
        <v>0</v>
      </c>
      <c r="N72" s="107">
        <f t="shared" si="43"/>
        <v>0</v>
      </c>
      <c r="O72" s="107">
        <f t="shared" si="43"/>
        <v>0</v>
      </c>
      <c r="P72" s="107">
        <f t="shared" si="43"/>
        <v>0</v>
      </c>
      <c r="Q72" s="107">
        <f t="shared" si="43"/>
        <v>0</v>
      </c>
      <c r="R72" s="107">
        <f t="shared" si="43"/>
        <v>0</v>
      </c>
      <c r="S72" s="107">
        <f t="shared" si="43"/>
        <v>0</v>
      </c>
      <c r="T72" s="107">
        <f t="shared" si="43"/>
        <v>0</v>
      </c>
      <c r="U72" s="107">
        <f t="shared" si="43"/>
        <v>0</v>
      </c>
      <c r="V72" s="107">
        <f t="shared" si="43"/>
        <v>0</v>
      </c>
      <c r="W72" s="107">
        <f t="shared" si="43"/>
        <v>0</v>
      </c>
      <c r="X72" s="107">
        <f t="shared" si="43"/>
        <v>0</v>
      </c>
      <c r="Y72" s="107">
        <f t="shared" si="43"/>
        <v>0</v>
      </c>
      <c r="Z72" s="107">
        <f t="shared" si="43"/>
        <v>0</v>
      </c>
      <c r="AA72" s="107">
        <f t="shared" si="43"/>
        <v>0</v>
      </c>
      <c r="AB72" s="107">
        <f t="shared" si="43"/>
        <v>0</v>
      </c>
      <c r="AC72" s="107">
        <f t="shared" si="43"/>
        <v>0</v>
      </c>
      <c r="AD72" s="107">
        <f t="shared" si="43"/>
        <v>0</v>
      </c>
      <c r="AE72" s="107">
        <f t="shared" si="43"/>
        <v>0</v>
      </c>
      <c r="AF72" s="107">
        <f t="shared" si="43"/>
        <v>0</v>
      </c>
      <c r="AG72" s="107">
        <f t="shared" si="43"/>
        <v>0</v>
      </c>
      <c r="AH72" s="107">
        <f t="shared" si="43"/>
        <v>0</v>
      </c>
      <c r="AI72" s="107">
        <f t="shared" si="43"/>
        <v>0</v>
      </c>
      <c r="AJ72" s="107">
        <f t="shared" si="43"/>
        <v>0</v>
      </c>
      <c r="AK72" s="107">
        <f t="shared" si="43"/>
        <v>0</v>
      </c>
      <c r="AL72" s="107">
        <f t="shared" si="43"/>
        <v>0</v>
      </c>
      <c r="AM72" s="107">
        <f t="shared" si="43"/>
        <v>0</v>
      </c>
      <c r="AN72" s="107">
        <f t="shared" si="43"/>
        <v>0</v>
      </c>
      <c r="AO72" s="107">
        <f t="shared" si="43"/>
        <v>0</v>
      </c>
      <c r="AP72" s="107">
        <f t="shared" si="43"/>
        <v>0</v>
      </c>
      <c r="AQ72" s="107">
        <f t="shared" si="43"/>
        <v>0</v>
      </c>
      <c r="AR72" s="107">
        <f t="shared" si="43"/>
        <v>0</v>
      </c>
      <c r="AS72" s="107">
        <f t="shared" ref="AS72" si="44">AS50*AR72</f>
        <v>0</v>
      </c>
      <c r="AT72" s="107">
        <f t="shared" ref="AT72" si="45">AT50*AS72</f>
        <v>0</v>
      </c>
      <c r="AU72" s="107">
        <f t="shared" ref="AU72" si="46">AU50*AT72</f>
        <v>0</v>
      </c>
      <c r="AV72" s="107">
        <f t="shared" ref="AV72" si="47">AV50*AU72</f>
        <v>0</v>
      </c>
      <c r="AW72" s="107">
        <f t="shared" ref="AW72" si="48">AW50*AV72</f>
        <v>0</v>
      </c>
      <c r="AX72" s="107">
        <f t="shared" ref="AX72" si="49">AX50*AW72</f>
        <v>0</v>
      </c>
      <c r="AY72" s="107">
        <f t="shared" ref="AY72:AZ72" si="50">AY50*AX72</f>
        <v>0</v>
      </c>
      <c r="AZ72" s="107">
        <f t="shared" si="50"/>
        <v>0</v>
      </c>
    </row>
    <row r="74" spans="2:52">
      <c r="B74" s="318" t="s">
        <v>86</v>
      </c>
      <c r="C74" s="319"/>
      <c r="D74" s="108">
        <f>AVERAGEIF(E59:N59, "&gt;0")</f>
        <v>257336</v>
      </c>
      <c r="E74" s="11">
        <f>+D59/D26</f>
        <v>48.32828482578384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</row>
    <row r="76" spans="2:52">
      <c r="B76" s="12" t="s">
        <v>87</v>
      </c>
      <c r="C76" s="13">
        <v>0.28999999999999998</v>
      </c>
      <c r="D76" s="231">
        <f t="shared" ref="D76:D77" si="51">SUM(E76:AZ76)</f>
        <v>5421739.0800000001</v>
      </c>
      <c r="E76" s="171">
        <f t="shared" ref="E76:AR76" si="52">E59*$C$76</f>
        <v>0</v>
      </c>
      <c r="F76" s="14">
        <f t="shared" si="52"/>
        <v>0</v>
      </c>
      <c r="G76" s="14">
        <f t="shared" si="52"/>
        <v>0</v>
      </c>
      <c r="H76" s="14">
        <f t="shared" si="52"/>
        <v>0</v>
      </c>
      <c r="I76" s="14">
        <f t="shared" si="52"/>
        <v>0</v>
      </c>
      <c r="J76" s="14">
        <f t="shared" si="52"/>
        <v>0</v>
      </c>
      <c r="K76" s="15">
        <f t="shared" si="52"/>
        <v>0</v>
      </c>
      <c r="L76" s="14">
        <f t="shared" si="52"/>
        <v>47669.039999999994</v>
      </c>
      <c r="M76" s="15">
        <f t="shared" si="52"/>
        <v>126317.04</v>
      </c>
      <c r="N76" s="14">
        <f t="shared" si="52"/>
        <v>49896.24</v>
      </c>
      <c r="O76" s="14">
        <f t="shared" si="52"/>
        <v>102301.56</v>
      </c>
      <c r="P76" s="14">
        <f t="shared" si="52"/>
        <v>152799.84</v>
      </c>
      <c r="Q76" s="14">
        <f t="shared" si="52"/>
        <v>85472.28</v>
      </c>
      <c r="R76" s="14">
        <f t="shared" si="52"/>
        <v>51034.2</v>
      </c>
      <c r="S76" s="14">
        <f t="shared" si="52"/>
        <v>154310.16</v>
      </c>
      <c r="T76" s="14">
        <f t="shared" si="52"/>
        <v>238560.96</v>
      </c>
      <c r="U76" s="14">
        <f t="shared" si="52"/>
        <v>226356.59999999998</v>
      </c>
      <c r="V76" s="14">
        <f t="shared" si="52"/>
        <v>165533.15999999997</v>
      </c>
      <c r="W76" s="14">
        <f t="shared" si="52"/>
        <v>225869.4</v>
      </c>
      <c r="X76" s="14">
        <f t="shared" si="52"/>
        <v>162627.35999999999</v>
      </c>
      <c r="Y76" s="14">
        <f t="shared" si="52"/>
        <v>184426.08</v>
      </c>
      <c r="Z76" s="14">
        <f t="shared" si="52"/>
        <v>230650.91999999998</v>
      </c>
      <c r="AA76" s="14">
        <f t="shared" si="52"/>
        <v>198795</v>
      </c>
      <c r="AB76" s="14">
        <f t="shared" si="52"/>
        <v>158322.59999999998</v>
      </c>
      <c r="AC76" s="14">
        <f t="shared" si="52"/>
        <v>167548.07999999999</v>
      </c>
      <c r="AD76" s="14">
        <f t="shared" si="52"/>
        <v>202703.03999999998</v>
      </c>
      <c r="AE76" s="14">
        <f t="shared" si="52"/>
        <v>241049.15999999997</v>
      </c>
      <c r="AF76" s="14">
        <f t="shared" si="52"/>
        <v>155938.79999999999</v>
      </c>
      <c r="AG76" s="14">
        <f t="shared" si="52"/>
        <v>100370.15999999999</v>
      </c>
      <c r="AH76" s="14">
        <f t="shared" si="52"/>
        <v>27234.48</v>
      </c>
      <c r="AI76" s="14">
        <f t="shared" si="52"/>
        <v>144562.68</v>
      </c>
      <c r="AJ76" s="14">
        <f t="shared" si="52"/>
        <v>264058.92</v>
      </c>
      <c r="AK76" s="14">
        <f t="shared" si="52"/>
        <v>121678.2</v>
      </c>
      <c r="AL76" s="14">
        <f t="shared" si="52"/>
        <v>144747.12</v>
      </c>
      <c r="AM76" s="14">
        <f t="shared" si="52"/>
        <v>216915.36</v>
      </c>
      <c r="AN76" s="14">
        <f t="shared" si="52"/>
        <v>149643.47999999998</v>
      </c>
      <c r="AO76" s="14">
        <f t="shared" si="52"/>
        <v>108983.15999999999</v>
      </c>
      <c r="AP76" s="14">
        <f t="shared" si="52"/>
        <v>8752.1999999999989</v>
      </c>
      <c r="AQ76" s="14">
        <f t="shared" si="52"/>
        <v>176947.56</v>
      </c>
      <c r="AR76" s="14">
        <f t="shared" si="52"/>
        <v>187345.8</v>
      </c>
      <c r="AS76" s="14">
        <f t="shared" ref="AS76:AY76" si="53">AS59*$C$76</f>
        <v>151317.35999999999</v>
      </c>
      <c r="AT76" s="14">
        <f t="shared" si="53"/>
        <v>57893.279999999999</v>
      </c>
      <c r="AU76" s="14">
        <f t="shared" si="53"/>
        <v>159641.51999999999</v>
      </c>
      <c r="AV76" s="14">
        <f t="shared" si="53"/>
        <v>73466.28</v>
      </c>
      <c r="AW76" s="14">
        <f t="shared" si="53"/>
        <v>0</v>
      </c>
      <c r="AX76" s="14">
        <f t="shared" si="53"/>
        <v>0</v>
      </c>
      <c r="AY76" s="14">
        <f t="shared" si="53"/>
        <v>0</v>
      </c>
      <c r="AZ76" s="14">
        <f t="shared" ref="AZ76" si="54">AZ59*$C$76</f>
        <v>0</v>
      </c>
    </row>
    <row r="77" spans="2:52">
      <c r="B77" s="16" t="s">
        <v>88</v>
      </c>
      <c r="C77" s="17">
        <f>11800000/322</f>
        <v>36645.962732919252</v>
      </c>
      <c r="D77" s="232">
        <f t="shared" si="51"/>
        <v>1759006.2111801242</v>
      </c>
      <c r="E77" s="172">
        <f t="shared" ref="E77:AZ77" si="55">$C$77</f>
        <v>36645.962732919252</v>
      </c>
      <c r="F77" s="18">
        <f t="shared" si="55"/>
        <v>36645.962732919252</v>
      </c>
      <c r="G77" s="18">
        <f t="shared" si="55"/>
        <v>36645.962732919252</v>
      </c>
      <c r="H77" s="18">
        <f t="shared" si="55"/>
        <v>36645.962732919252</v>
      </c>
      <c r="I77" s="18">
        <f t="shared" si="55"/>
        <v>36645.962732919252</v>
      </c>
      <c r="J77" s="18">
        <f t="shared" si="55"/>
        <v>36645.962732919252</v>
      </c>
      <c r="K77" s="19">
        <f t="shared" si="55"/>
        <v>36645.962732919252</v>
      </c>
      <c r="L77" s="18">
        <f t="shared" si="55"/>
        <v>36645.962732919252</v>
      </c>
      <c r="M77" s="19">
        <f t="shared" si="55"/>
        <v>36645.962732919252</v>
      </c>
      <c r="N77" s="18">
        <f t="shared" si="55"/>
        <v>36645.962732919252</v>
      </c>
      <c r="O77" s="18">
        <f t="shared" si="55"/>
        <v>36645.962732919252</v>
      </c>
      <c r="P77" s="18">
        <f t="shared" si="55"/>
        <v>36645.962732919252</v>
      </c>
      <c r="Q77" s="18">
        <f t="shared" si="55"/>
        <v>36645.962732919252</v>
      </c>
      <c r="R77" s="18">
        <f t="shared" si="55"/>
        <v>36645.962732919252</v>
      </c>
      <c r="S77" s="18">
        <f t="shared" si="55"/>
        <v>36645.962732919252</v>
      </c>
      <c r="T77" s="18">
        <f t="shared" si="55"/>
        <v>36645.962732919252</v>
      </c>
      <c r="U77" s="18">
        <f t="shared" si="55"/>
        <v>36645.962732919252</v>
      </c>
      <c r="V77" s="18">
        <f t="shared" si="55"/>
        <v>36645.962732919252</v>
      </c>
      <c r="W77" s="18">
        <f t="shared" si="55"/>
        <v>36645.962732919252</v>
      </c>
      <c r="X77" s="18">
        <f t="shared" si="55"/>
        <v>36645.962732919252</v>
      </c>
      <c r="Y77" s="18">
        <f t="shared" si="55"/>
        <v>36645.962732919252</v>
      </c>
      <c r="Z77" s="18">
        <f t="shared" si="55"/>
        <v>36645.962732919252</v>
      </c>
      <c r="AA77" s="18">
        <f t="shared" si="55"/>
        <v>36645.962732919252</v>
      </c>
      <c r="AB77" s="18">
        <f t="shared" si="55"/>
        <v>36645.962732919252</v>
      </c>
      <c r="AC77" s="18">
        <f t="shared" si="55"/>
        <v>36645.962732919252</v>
      </c>
      <c r="AD77" s="18">
        <f t="shared" si="55"/>
        <v>36645.962732919252</v>
      </c>
      <c r="AE77" s="18">
        <f t="shared" si="55"/>
        <v>36645.962732919252</v>
      </c>
      <c r="AF77" s="18">
        <f t="shared" si="55"/>
        <v>36645.962732919252</v>
      </c>
      <c r="AG77" s="18">
        <f t="shared" si="55"/>
        <v>36645.962732919252</v>
      </c>
      <c r="AH77" s="18">
        <f t="shared" si="55"/>
        <v>36645.962732919252</v>
      </c>
      <c r="AI77" s="18">
        <f t="shared" si="55"/>
        <v>36645.962732919252</v>
      </c>
      <c r="AJ77" s="18">
        <f t="shared" si="55"/>
        <v>36645.962732919252</v>
      </c>
      <c r="AK77" s="18">
        <f t="shared" si="55"/>
        <v>36645.962732919252</v>
      </c>
      <c r="AL77" s="18">
        <f t="shared" si="55"/>
        <v>36645.962732919252</v>
      </c>
      <c r="AM77" s="18">
        <f t="shared" si="55"/>
        <v>36645.962732919252</v>
      </c>
      <c r="AN77" s="18">
        <f t="shared" si="55"/>
        <v>36645.962732919252</v>
      </c>
      <c r="AO77" s="18">
        <f t="shared" si="55"/>
        <v>36645.962732919252</v>
      </c>
      <c r="AP77" s="18">
        <f t="shared" si="55"/>
        <v>36645.962732919252</v>
      </c>
      <c r="AQ77" s="18">
        <f t="shared" si="55"/>
        <v>36645.962732919252</v>
      </c>
      <c r="AR77" s="18">
        <f t="shared" si="55"/>
        <v>36645.962732919252</v>
      </c>
      <c r="AS77" s="18">
        <f t="shared" si="55"/>
        <v>36645.962732919252</v>
      </c>
      <c r="AT77" s="18">
        <f t="shared" si="55"/>
        <v>36645.962732919252</v>
      </c>
      <c r="AU77" s="18">
        <f t="shared" si="55"/>
        <v>36645.962732919252</v>
      </c>
      <c r="AV77" s="18">
        <f t="shared" si="55"/>
        <v>36645.962732919252</v>
      </c>
      <c r="AW77" s="18">
        <f t="shared" si="55"/>
        <v>36645.962732919252</v>
      </c>
      <c r="AX77" s="18">
        <f t="shared" si="55"/>
        <v>36645.962732919252</v>
      </c>
      <c r="AY77" s="18">
        <f t="shared" si="55"/>
        <v>36645.962732919252</v>
      </c>
      <c r="AZ77" s="18">
        <f t="shared" si="55"/>
        <v>36645.962732919252</v>
      </c>
    </row>
    <row r="78" spans="2:52">
      <c r="B78" s="16" t="s">
        <v>89</v>
      </c>
      <c r="C78" s="17">
        <v>50000</v>
      </c>
      <c r="D78" s="232">
        <f>SUM(E78:AZ78)</f>
        <v>2400000</v>
      </c>
      <c r="E78" s="172">
        <f t="shared" ref="E78:AZ78" si="56">$C$78</f>
        <v>50000</v>
      </c>
      <c r="F78" s="18">
        <f t="shared" si="56"/>
        <v>50000</v>
      </c>
      <c r="G78" s="18">
        <f t="shared" si="56"/>
        <v>50000</v>
      </c>
      <c r="H78" s="18">
        <f t="shared" si="56"/>
        <v>50000</v>
      </c>
      <c r="I78" s="18">
        <f t="shared" si="56"/>
        <v>50000</v>
      </c>
      <c r="J78" s="18">
        <f t="shared" si="56"/>
        <v>50000</v>
      </c>
      <c r="K78" s="19">
        <f t="shared" si="56"/>
        <v>50000</v>
      </c>
      <c r="L78" s="18">
        <f t="shared" si="56"/>
        <v>50000</v>
      </c>
      <c r="M78" s="19">
        <f t="shared" si="56"/>
        <v>50000</v>
      </c>
      <c r="N78" s="18">
        <f t="shared" si="56"/>
        <v>50000</v>
      </c>
      <c r="O78" s="18">
        <f t="shared" si="56"/>
        <v>50000</v>
      </c>
      <c r="P78" s="18">
        <f t="shared" si="56"/>
        <v>50000</v>
      </c>
      <c r="Q78" s="18">
        <f t="shared" si="56"/>
        <v>50000</v>
      </c>
      <c r="R78" s="18">
        <f t="shared" si="56"/>
        <v>50000</v>
      </c>
      <c r="S78" s="18">
        <f t="shared" si="56"/>
        <v>50000</v>
      </c>
      <c r="T78" s="18">
        <f t="shared" si="56"/>
        <v>50000</v>
      </c>
      <c r="U78" s="18">
        <f t="shared" si="56"/>
        <v>50000</v>
      </c>
      <c r="V78" s="18">
        <f t="shared" si="56"/>
        <v>50000</v>
      </c>
      <c r="W78" s="18">
        <f t="shared" si="56"/>
        <v>50000</v>
      </c>
      <c r="X78" s="18">
        <f t="shared" si="56"/>
        <v>50000</v>
      </c>
      <c r="Y78" s="18">
        <f t="shared" si="56"/>
        <v>50000</v>
      </c>
      <c r="Z78" s="18">
        <f t="shared" si="56"/>
        <v>50000</v>
      </c>
      <c r="AA78" s="18">
        <f t="shared" si="56"/>
        <v>50000</v>
      </c>
      <c r="AB78" s="18">
        <f t="shared" si="56"/>
        <v>50000</v>
      </c>
      <c r="AC78" s="18">
        <f t="shared" si="56"/>
        <v>50000</v>
      </c>
      <c r="AD78" s="18">
        <f t="shared" si="56"/>
        <v>50000</v>
      </c>
      <c r="AE78" s="18">
        <f t="shared" si="56"/>
        <v>50000</v>
      </c>
      <c r="AF78" s="18">
        <f t="shared" si="56"/>
        <v>50000</v>
      </c>
      <c r="AG78" s="18">
        <f t="shared" si="56"/>
        <v>50000</v>
      </c>
      <c r="AH78" s="18">
        <f t="shared" si="56"/>
        <v>50000</v>
      </c>
      <c r="AI78" s="18">
        <f t="shared" si="56"/>
        <v>50000</v>
      </c>
      <c r="AJ78" s="18">
        <f t="shared" si="56"/>
        <v>50000</v>
      </c>
      <c r="AK78" s="18">
        <f t="shared" si="56"/>
        <v>50000</v>
      </c>
      <c r="AL78" s="18">
        <f t="shared" si="56"/>
        <v>50000</v>
      </c>
      <c r="AM78" s="18">
        <f t="shared" si="56"/>
        <v>50000</v>
      </c>
      <c r="AN78" s="18">
        <f t="shared" si="56"/>
        <v>50000</v>
      </c>
      <c r="AO78" s="18">
        <f t="shared" si="56"/>
        <v>50000</v>
      </c>
      <c r="AP78" s="18">
        <f t="shared" si="56"/>
        <v>50000</v>
      </c>
      <c r="AQ78" s="18">
        <f t="shared" si="56"/>
        <v>50000</v>
      </c>
      <c r="AR78" s="18">
        <f t="shared" si="56"/>
        <v>50000</v>
      </c>
      <c r="AS78" s="18">
        <f t="shared" si="56"/>
        <v>50000</v>
      </c>
      <c r="AT78" s="18">
        <f t="shared" si="56"/>
        <v>50000</v>
      </c>
      <c r="AU78" s="18">
        <f t="shared" si="56"/>
        <v>50000</v>
      </c>
      <c r="AV78" s="18">
        <f t="shared" si="56"/>
        <v>50000</v>
      </c>
      <c r="AW78" s="18">
        <f t="shared" si="56"/>
        <v>50000</v>
      </c>
      <c r="AX78" s="18">
        <f t="shared" si="56"/>
        <v>50000</v>
      </c>
      <c r="AY78" s="18">
        <f t="shared" si="56"/>
        <v>50000</v>
      </c>
      <c r="AZ78" s="18">
        <f t="shared" si="56"/>
        <v>50000</v>
      </c>
    </row>
    <row r="79" spans="2:52">
      <c r="B79" s="20" t="s">
        <v>90</v>
      </c>
      <c r="C79" s="21">
        <v>7.8</v>
      </c>
      <c r="D79" s="233">
        <f>SUM(E79:AZ79)</f>
        <v>5776680</v>
      </c>
      <c r="E79" s="173">
        <f>$C$79*E41</f>
        <v>15600</v>
      </c>
      <c r="F79" s="23">
        <f t="shared" ref="F79:AR79" si="57">$C$79*F41</f>
        <v>31200</v>
      </c>
      <c r="G79" s="23">
        <f t="shared" si="57"/>
        <v>23400</v>
      </c>
      <c r="H79" s="23">
        <f t="shared" si="57"/>
        <v>59280</v>
      </c>
      <c r="I79" s="23">
        <f t="shared" si="57"/>
        <v>148200</v>
      </c>
      <c r="J79" s="23">
        <f t="shared" si="57"/>
        <v>148200</v>
      </c>
      <c r="K79" s="22">
        <f t="shared" si="57"/>
        <v>132600</v>
      </c>
      <c r="L79" s="23">
        <f t="shared" si="57"/>
        <v>101400</v>
      </c>
      <c r="M79" s="22">
        <f t="shared" si="57"/>
        <v>117000</v>
      </c>
      <c r="N79" s="23">
        <f t="shared" si="57"/>
        <v>117000</v>
      </c>
      <c r="O79" s="23">
        <f t="shared" si="57"/>
        <v>117000</v>
      </c>
      <c r="P79" s="23">
        <f t="shared" si="57"/>
        <v>117000</v>
      </c>
      <c r="Q79" s="23">
        <f t="shared" si="57"/>
        <v>117000</v>
      </c>
      <c r="R79" s="23">
        <f t="shared" si="57"/>
        <v>117000</v>
      </c>
      <c r="S79" s="23">
        <f t="shared" si="57"/>
        <v>132600</v>
      </c>
      <c r="T79" s="23">
        <f t="shared" si="57"/>
        <v>156000</v>
      </c>
      <c r="U79" s="23">
        <f t="shared" si="57"/>
        <v>148200</v>
      </c>
      <c r="V79" s="23">
        <f t="shared" si="57"/>
        <v>132600</v>
      </c>
      <c r="W79" s="23">
        <f t="shared" si="57"/>
        <v>156000</v>
      </c>
      <c r="X79" s="23">
        <f t="shared" si="57"/>
        <v>124800</v>
      </c>
      <c r="Y79" s="23">
        <f t="shared" si="57"/>
        <v>124800</v>
      </c>
      <c r="Z79" s="23">
        <f t="shared" si="57"/>
        <v>132600</v>
      </c>
      <c r="AA79" s="23">
        <f t="shared" si="57"/>
        <v>148200</v>
      </c>
      <c r="AB79" s="23">
        <f t="shared" si="57"/>
        <v>140400</v>
      </c>
      <c r="AC79" s="23">
        <f t="shared" si="57"/>
        <v>117000</v>
      </c>
      <c r="AD79" s="23">
        <f t="shared" si="57"/>
        <v>140400</v>
      </c>
      <c r="AE79" s="23">
        <f t="shared" si="57"/>
        <v>156000</v>
      </c>
      <c r="AF79" s="23">
        <f t="shared" si="57"/>
        <v>148200</v>
      </c>
      <c r="AG79" s="23">
        <f t="shared" si="57"/>
        <v>117000</v>
      </c>
      <c r="AH79" s="23">
        <f t="shared" si="57"/>
        <v>101400</v>
      </c>
      <c r="AI79" s="23">
        <f t="shared" si="57"/>
        <v>117000</v>
      </c>
      <c r="AJ79" s="23">
        <f t="shared" si="57"/>
        <v>156000</v>
      </c>
      <c r="AK79" s="23">
        <f t="shared" si="57"/>
        <v>140400</v>
      </c>
      <c r="AL79" s="23">
        <f t="shared" si="57"/>
        <v>132600</v>
      </c>
      <c r="AM79" s="23">
        <f t="shared" si="57"/>
        <v>132600</v>
      </c>
      <c r="AN79" s="23">
        <f t="shared" si="57"/>
        <v>140400</v>
      </c>
      <c r="AO79" s="23">
        <f t="shared" si="57"/>
        <v>156000</v>
      </c>
      <c r="AP79" s="23">
        <f t="shared" si="57"/>
        <v>93600</v>
      </c>
      <c r="AQ79" s="23">
        <f t="shared" si="57"/>
        <v>132600</v>
      </c>
      <c r="AR79" s="23">
        <f t="shared" si="57"/>
        <v>140400</v>
      </c>
      <c r="AS79" s="23">
        <f t="shared" ref="AS79:AY79" si="58">$C$79*AS41</f>
        <v>140400</v>
      </c>
      <c r="AT79" s="23">
        <f t="shared" si="58"/>
        <v>124800</v>
      </c>
      <c r="AU79" s="23">
        <f t="shared" si="58"/>
        <v>132600</v>
      </c>
      <c r="AV79" s="23">
        <f t="shared" si="58"/>
        <v>117000</v>
      </c>
      <c r="AW79" s="23">
        <f t="shared" si="58"/>
        <v>124800</v>
      </c>
      <c r="AX79" s="23">
        <f t="shared" si="58"/>
        <v>140400</v>
      </c>
      <c r="AY79" s="23">
        <f t="shared" si="58"/>
        <v>117000</v>
      </c>
      <c r="AZ79" s="23">
        <f t="shared" ref="AZ79" si="59">$C$79*AZ41</f>
        <v>0</v>
      </c>
    </row>
    <row r="80" spans="2:52">
      <c r="B80" s="24" t="s">
        <v>91</v>
      </c>
      <c r="C80" s="25">
        <f>SUM(E80:AZ80)</f>
        <v>3338226.7088198755</v>
      </c>
      <c r="D80" s="252">
        <f>D59-D76-D77-D78-D79</f>
        <v>3338226.7088198755</v>
      </c>
      <c r="E80" s="177">
        <f t="shared" ref="E80:AR80" si="60">E59-E76-E77-E78-E79</f>
        <v>-102245.96273291926</v>
      </c>
      <c r="F80" s="26">
        <f t="shared" si="60"/>
        <v>-117845.96273291926</v>
      </c>
      <c r="G80" s="26">
        <f t="shared" si="60"/>
        <v>-110045.96273291926</v>
      </c>
      <c r="H80" s="26">
        <f t="shared" si="60"/>
        <v>-145925.96273291926</v>
      </c>
      <c r="I80" s="26">
        <f t="shared" si="60"/>
        <v>-234845.96273291926</v>
      </c>
      <c r="J80" s="26">
        <f t="shared" si="60"/>
        <v>-234845.96273291926</v>
      </c>
      <c r="K80" s="27">
        <f t="shared" si="60"/>
        <v>-219245.96273291926</v>
      </c>
      <c r="L80" s="26">
        <f t="shared" si="60"/>
        <v>-71339.002732919238</v>
      </c>
      <c r="M80" s="27">
        <f t="shared" si="60"/>
        <v>105612.99726708076</v>
      </c>
      <c r="N80" s="26">
        <f t="shared" si="60"/>
        <v>-81486.20273291925</v>
      </c>
      <c r="O80" s="26">
        <f t="shared" si="60"/>
        <v>46816.477267080743</v>
      </c>
      <c r="P80" s="26">
        <f t="shared" si="60"/>
        <v>170450.19726708077</v>
      </c>
      <c r="Q80" s="26">
        <f t="shared" si="60"/>
        <v>5613.7572670807422</v>
      </c>
      <c r="R80" s="26">
        <f t="shared" si="60"/>
        <v>-78700.162732919242</v>
      </c>
      <c r="S80" s="26">
        <f t="shared" si="60"/>
        <v>158547.87726708071</v>
      </c>
      <c r="T80" s="26">
        <f t="shared" si="60"/>
        <v>341417.07726708078</v>
      </c>
      <c r="U80" s="26">
        <f t="shared" si="60"/>
        <v>319337.43726708076</v>
      </c>
      <c r="V80" s="26">
        <f t="shared" si="60"/>
        <v>186024.87726708077</v>
      </c>
      <c r="W80" s="26">
        <f t="shared" si="60"/>
        <v>310344.63726708072</v>
      </c>
      <c r="X80" s="26">
        <f t="shared" si="60"/>
        <v>186710.67726708075</v>
      </c>
      <c r="Y80" s="26">
        <f t="shared" si="60"/>
        <v>240079.95726708078</v>
      </c>
      <c r="Z80" s="26">
        <f t="shared" si="60"/>
        <v>345451.11726708082</v>
      </c>
      <c r="AA80" s="26">
        <f t="shared" si="60"/>
        <v>251859.03726708074</v>
      </c>
      <c r="AB80" s="26">
        <f t="shared" si="60"/>
        <v>160571.43726708076</v>
      </c>
      <c r="AC80" s="26">
        <f t="shared" si="60"/>
        <v>206557.95726708078</v>
      </c>
      <c r="AD80" s="26">
        <f t="shared" si="60"/>
        <v>269226.99726708076</v>
      </c>
      <c r="AE80" s="26">
        <f t="shared" si="60"/>
        <v>347508.87726708082</v>
      </c>
      <c r="AF80" s="26">
        <f t="shared" si="60"/>
        <v>146935.23726708075</v>
      </c>
      <c r="AG80" s="26">
        <f t="shared" si="60"/>
        <v>42087.877267080767</v>
      </c>
      <c r="AH80" s="26">
        <f t="shared" si="60"/>
        <v>-121368.44273291924</v>
      </c>
      <c r="AI80" s="26">
        <f t="shared" si="60"/>
        <v>150283.35726708075</v>
      </c>
      <c r="AJ80" s="26">
        <f t="shared" si="60"/>
        <v>403843.11726708082</v>
      </c>
      <c r="AK80" s="26">
        <f t="shared" si="60"/>
        <v>70855.837267080729</v>
      </c>
      <c r="AL80" s="26">
        <f t="shared" si="60"/>
        <v>135134.91726708075</v>
      </c>
      <c r="AM80" s="26">
        <f t="shared" si="60"/>
        <v>311822.67726708075</v>
      </c>
      <c r="AN80" s="26">
        <f t="shared" si="60"/>
        <v>139322.55726708076</v>
      </c>
      <c r="AO80" s="26">
        <f t="shared" si="60"/>
        <v>24174.877267080767</v>
      </c>
      <c r="AP80" s="26">
        <f t="shared" si="60"/>
        <v>-158818.16273291924</v>
      </c>
      <c r="AQ80" s="26">
        <f t="shared" si="60"/>
        <v>213970.47726708074</v>
      </c>
      <c r="AR80" s="26">
        <f t="shared" si="60"/>
        <v>231628.23726708075</v>
      </c>
      <c r="AS80" s="26">
        <f t="shared" ref="AS80:AY80" si="61">AS59-AS76-AS77-AS78-AS79</f>
        <v>143420.67726708075</v>
      </c>
      <c r="AT80" s="26">
        <f t="shared" si="61"/>
        <v>-69707.242732919258</v>
      </c>
      <c r="AU80" s="26">
        <f t="shared" si="61"/>
        <v>171600.51726708072</v>
      </c>
      <c r="AV80" s="26">
        <f t="shared" si="61"/>
        <v>-23780.242732919258</v>
      </c>
      <c r="AW80" s="26">
        <f t="shared" si="61"/>
        <v>-211445.96273291926</v>
      </c>
      <c r="AX80" s="26">
        <f t="shared" si="61"/>
        <v>-227045.96273291926</v>
      </c>
      <c r="AY80" s="26">
        <f t="shared" si="61"/>
        <v>-203645.96273291926</v>
      </c>
      <c r="AZ80" s="26">
        <f t="shared" ref="AZ80" si="62">AZ59-AZ76-AZ77-AZ78-AZ79</f>
        <v>-86645.962732919259</v>
      </c>
    </row>
    <row r="81" spans="2:52">
      <c r="B81" s="320" t="s">
        <v>92</v>
      </c>
      <c r="C81" s="321"/>
      <c r="D81" s="326"/>
      <c r="E81" s="29">
        <f>+E80</f>
        <v>-102245.96273291926</v>
      </c>
      <c r="F81" s="29">
        <f t="shared" ref="F81:AR81" si="63">F80+E81</f>
        <v>-220091.92546583852</v>
      </c>
      <c r="G81" s="29">
        <f t="shared" si="63"/>
        <v>-330137.88819875778</v>
      </c>
      <c r="H81" s="29">
        <f t="shared" si="63"/>
        <v>-476063.85093167704</v>
      </c>
      <c r="I81" s="29">
        <f t="shared" si="63"/>
        <v>-710909.81366459629</v>
      </c>
      <c r="J81" s="29">
        <f t="shared" si="63"/>
        <v>-945755.77639751555</v>
      </c>
      <c r="K81" s="28">
        <f t="shared" si="63"/>
        <v>-1165001.7391304348</v>
      </c>
      <c r="L81" s="29">
        <f t="shared" si="63"/>
        <v>-1236340.7418633541</v>
      </c>
      <c r="M81" s="28">
        <f t="shared" si="63"/>
        <v>-1130727.7445962734</v>
      </c>
      <c r="N81" s="29">
        <f t="shared" si="63"/>
        <v>-1212213.9473291927</v>
      </c>
      <c r="O81" s="29">
        <f t="shared" si="63"/>
        <v>-1165397.470062112</v>
      </c>
      <c r="P81" s="29">
        <f t="shared" si="63"/>
        <v>-994947.2727950312</v>
      </c>
      <c r="Q81" s="29">
        <f t="shared" si="63"/>
        <v>-989333.51552795048</v>
      </c>
      <c r="R81" s="29">
        <f t="shared" si="63"/>
        <v>-1068033.6782608698</v>
      </c>
      <c r="S81" s="29">
        <f t="shared" si="63"/>
        <v>-909485.8009937891</v>
      </c>
      <c r="T81" s="29">
        <f t="shared" si="63"/>
        <v>-568068.72372670833</v>
      </c>
      <c r="U81" s="29">
        <f t="shared" si="63"/>
        <v>-248731.28645962756</v>
      </c>
      <c r="V81" s="29">
        <f t="shared" si="63"/>
        <v>-62706.409192546795</v>
      </c>
      <c r="W81" s="29">
        <f t="shared" si="63"/>
        <v>247638.22807453392</v>
      </c>
      <c r="X81" s="29">
        <f t="shared" si="63"/>
        <v>434348.90534161468</v>
      </c>
      <c r="Y81" s="29">
        <f t="shared" si="63"/>
        <v>674428.8626086954</v>
      </c>
      <c r="Z81" s="29">
        <f t="shared" si="63"/>
        <v>1019879.9798757762</v>
      </c>
      <c r="AA81" s="29">
        <f t="shared" si="63"/>
        <v>1271739.017142857</v>
      </c>
      <c r="AB81" s="29">
        <f t="shared" si="63"/>
        <v>1432310.4544099378</v>
      </c>
      <c r="AC81" s="29">
        <f t="shared" si="63"/>
        <v>1638868.4116770187</v>
      </c>
      <c r="AD81" s="29">
        <f t="shared" si="63"/>
        <v>1908095.4089440994</v>
      </c>
      <c r="AE81" s="29">
        <f t="shared" si="63"/>
        <v>2255604.2862111805</v>
      </c>
      <c r="AF81" s="29">
        <f t="shared" si="63"/>
        <v>2402539.5234782612</v>
      </c>
      <c r="AG81" s="29">
        <f t="shared" si="63"/>
        <v>2444627.400745342</v>
      </c>
      <c r="AH81" s="29">
        <f t="shared" si="63"/>
        <v>2323258.9580124225</v>
      </c>
      <c r="AI81" s="29">
        <f t="shared" si="63"/>
        <v>2473542.3152795034</v>
      </c>
      <c r="AJ81" s="29">
        <f t="shared" si="63"/>
        <v>2877385.4325465839</v>
      </c>
      <c r="AK81" s="29">
        <f t="shared" si="63"/>
        <v>2948241.2698136647</v>
      </c>
      <c r="AL81" s="29">
        <f t="shared" si="63"/>
        <v>3083376.1870807456</v>
      </c>
      <c r="AM81" s="29">
        <f t="shared" si="63"/>
        <v>3395198.8643478262</v>
      </c>
      <c r="AN81" s="29">
        <f t="shared" si="63"/>
        <v>3534521.4216149068</v>
      </c>
      <c r="AO81" s="29">
        <f t="shared" si="63"/>
        <v>3558696.2988819876</v>
      </c>
      <c r="AP81" s="29">
        <f t="shared" si="63"/>
        <v>3399878.1361490684</v>
      </c>
      <c r="AQ81" s="29">
        <f t="shared" si="63"/>
        <v>3613848.6134161493</v>
      </c>
      <c r="AR81" s="29">
        <f t="shared" si="63"/>
        <v>3845476.85068323</v>
      </c>
      <c r="AS81" s="29">
        <f t="shared" ref="AS81" si="64">AS80+AR81</f>
        <v>3988897.5279503106</v>
      </c>
      <c r="AT81" s="29">
        <f t="shared" ref="AT81" si="65">AT80+AS81</f>
        <v>3919190.2852173913</v>
      </c>
      <c r="AU81" s="29">
        <f t="shared" ref="AU81" si="66">AU80+AT81</f>
        <v>4090790.8024844723</v>
      </c>
      <c r="AV81" s="29">
        <f t="shared" ref="AV81" si="67">AV80+AU81</f>
        <v>4067010.559751553</v>
      </c>
      <c r="AW81" s="29">
        <f t="shared" ref="AW81" si="68">AW80+AV81</f>
        <v>3855564.597018634</v>
      </c>
      <c r="AX81" s="29">
        <f t="shared" ref="AX81" si="69">AX80+AW81</f>
        <v>3628518.6342857145</v>
      </c>
      <c r="AY81" s="29">
        <f t="shared" ref="AY81:AZ81" si="70">AY80+AX81</f>
        <v>3424872.671552795</v>
      </c>
      <c r="AZ81" s="29">
        <f t="shared" si="70"/>
        <v>3338226.7088198755</v>
      </c>
    </row>
    <row r="82" spans="2:52">
      <c r="D82">
        <f>D80/D59</f>
        <v>0.17855631399321487</v>
      </c>
    </row>
    <row r="84" spans="2:52">
      <c r="B84" s="30" t="s">
        <v>93</v>
      </c>
      <c r="C84" s="31">
        <f>D41/D26</f>
        <v>1.6171768166742924</v>
      </c>
    </row>
    <row r="100" spans="3:4">
      <c r="C100" s="10"/>
      <c r="D100" s="308"/>
    </row>
    <row r="101" spans="3:4" hidden="1"/>
    <row r="102" spans="3:4">
      <c r="C102" s="10">
        <f>SUM(D37*70)+(D69+D71)</f>
        <v>20860602</v>
      </c>
    </row>
  </sheetData>
  <mergeCells count="6">
    <mergeCell ref="B81:D81"/>
    <mergeCell ref="A26:A38"/>
    <mergeCell ref="A41:A42"/>
    <mergeCell ref="A46:A51"/>
    <mergeCell ref="A53:A57"/>
    <mergeCell ref="B74:C74"/>
  </mergeCells>
  <phoneticPr fontId="19" type="noConversion"/>
  <conditionalFormatting sqref="E81:AZ81 B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DE5E-6709-40AF-9575-F887FC4220BD}">
  <dimension ref="A1"/>
  <sheetViews>
    <sheetView tabSelected="1" workbookViewId="0"/>
  </sheetViews>
  <sheetFormatPr defaultColWidth="9.140625"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C7C8-BF65-4CB5-86FA-B837490438D5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B96A-A90C-411C-835B-8BB5D22A9E9E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8665-3061-4D5D-A4D4-F61715EA0768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b8804b-b123-4711-b609-7ab9861aa2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B6679E20A284DA87558C55EBF3563" ma:contentTypeVersion="18" ma:contentTypeDescription="Create a new document." ma:contentTypeScope="" ma:versionID="02d88029ac48ade9a976224c14cd8935">
  <xsd:schema xmlns:xsd="http://www.w3.org/2001/XMLSchema" xmlns:xs="http://www.w3.org/2001/XMLSchema" xmlns:p="http://schemas.microsoft.com/office/2006/metadata/properties" xmlns:ns3="04c8654e-5c9d-42a4-ab70-83c531aa97ef" xmlns:ns4="cbb8804b-b123-4711-b609-7ab9861aa2ea" targetNamespace="http://schemas.microsoft.com/office/2006/metadata/properties" ma:root="true" ma:fieldsID="e80d74c5a59e9e59f736f8a284046bac" ns3:_="" ns4:_="">
    <xsd:import namespace="04c8654e-5c9d-42a4-ab70-83c531aa97ef"/>
    <xsd:import namespace="cbb8804b-b123-4711-b609-7ab9861aa2e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8654e-5c9d-42a4-ab70-83c531aa97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8804b-b123-4711-b609-7ab9861aa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85816F-1DEA-4618-A2FA-A0348CDE2546}"/>
</file>

<file path=customXml/itemProps2.xml><?xml version="1.0" encoding="utf-8"?>
<ds:datastoreItem xmlns:ds="http://schemas.openxmlformats.org/officeDocument/2006/customXml" ds:itemID="{58767E27-E4C8-4743-A05F-AF6F49072D81}"/>
</file>

<file path=customXml/itemProps3.xml><?xml version="1.0" encoding="utf-8"?>
<ds:datastoreItem xmlns:ds="http://schemas.openxmlformats.org/officeDocument/2006/customXml" ds:itemID="{36A74033-C409-4B03-B2CD-5935B6C11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Holmøy</dc:creator>
  <cp:keywords/>
  <dc:description/>
  <cp:lastModifiedBy/>
  <cp:revision/>
  <dcterms:created xsi:type="dcterms:W3CDTF">2022-02-06T17:05:07Z</dcterms:created>
  <dcterms:modified xsi:type="dcterms:W3CDTF">2025-02-21T11:31:52Z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0x0101004BEB6679E20A284DA87558C55EBF3563</vt:lpwstr>
  </property>
</Properties>
</file>