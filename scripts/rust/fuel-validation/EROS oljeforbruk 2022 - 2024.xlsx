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V1PEPF00000619\EXCELCNV\688d8a28-e8bb-4a0b-a6d6-0f4b71c845e5\"/>
    </mc:Choice>
  </mc:AlternateContent>
  <xr:revisionPtr revIDLastSave="0" documentId="8_{DF9E75CD-5638-4E5E-BF5E-9EE32D93D77E}" xr6:coauthVersionLast="47" xr6:coauthVersionMax="47" xr10:uidLastSave="{00000000-0000-0000-0000-000000000000}"/>
  <bookViews>
    <workbookView xWindow="-60" yWindow="-60" windowWidth="15480" windowHeight="11640" xr2:uid="{B63C6645-DB04-451C-946E-ABB4A35B4F10}"/>
  </bookViews>
  <sheets>
    <sheet name="Ark1" sheetId="1" r:id="rId1"/>
    <sheet name="Ark2" sheetId="2" r:id="rId2"/>
    <sheet name="Ark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1" i="1" l="1"/>
  <c r="I130" i="1"/>
  <c r="I129" i="1"/>
  <c r="I128" i="1"/>
  <c r="D131" i="1"/>
  <c r="D130" i="1"/>
  <c r="D129" i="1"/>
  <c r="D128" i="1"/>
  <c r="D127" i="1"/>
  <c r="D125" i="1"/>
  <c r="I125" i="1"/>
  <c r="H125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H105" i="1"/>
  <c r="I103" i="1"/>
  <c r="H103" i="1"/>
  <c r="I102" i="1"/>
  <c r="H102" i="1"/>
  <c r="I100" i="1"/>
  <c r="H100" i="1"/>
  <c r="I99" i="1"/>
  <c r="H99" i="1"/>
  <c r="H98" i="1"/>
  <c r="H97" i="1"/>
  <c r="I96" i="1"/>
  <c r="H96" i="1"/>
  <c r="I87" i="1"/>
  <c r="I86" i="1"/>
  <c r="I84" i="1"/>
  <c r="I82" i="1"/>
  <c r="I81" i="1"/>
  <c r="I80" i="1"/>
  <c r="D87" i="1"/>
  <c r="D86" i="1"/>
  <c r="D84" i="1"/>
  <c r="D83" i="1"/>
  <c r="D82" i="1"/>
  <c r="D81" i="1"/>
  <c r="D80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H63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H53" i="1"/>
  <c r="I52" i="1"/>
  <c r="H52" i="1"/>
  <c r="E43" i="1"/>
  <c r="D38" i="1"/>
  <c r="G43" i="1"/>
  <c r="I43" i="1"/>
  <c r="G45" i="1"/>
  <c r="I45" i="1"/>
  <c r="D43" i="1"/>
  <c r="E45" i="1"/>
  <c r="D45" i="1"/>
  <c r="D41" i="1"/>
  <c r="I41" i="1"/>
  <c r="D46" i="1"/>
  <c r="D40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5" i="1"/>
  <c r="I14" i="1"/>
  <c r="I13" i="1"/>
  <c r="I11" i="1"/>
  <c r="I10" i="1"/>
  <c r="I9" i="1"/>
  <c r="I8" i="1"/>
  <c r="I7" i="1"/>
  <c r="I6" i="1"/>
  <c r="I5" i="1"/>
  <c r="H35" i="1"/>
  <c r="H34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46" i="1"/>
  <c r="I46" i="1"/>
  <c r="E46" i="1"/>
  <c r="G38" i="1"/>
  <c r="E38" i="1"/>
  <c r="H44" i="1"/>
  <c r="H42" i="1"/>
  <c r="H41" i="1"/>
  <c r="G40" i="1"/>
  <c r="E40" i="1"/>
  <c r="G80" i="1"/>
  <c r="H80" i="1"/>
  <c r="G87" i="1"/>
  <c r="H87" i="1"/>
  <c r="E87" i="1"/>
  <c r="E80" i="1"/>
  <c r="G86" i="1"/>
  <c r="H86" i="1"/>
  <c r="E86" i="1"/>
  <c r="G84" i="1"/>
  <c r="H84" i="1"/>
  <c r="E84" i="1"/>
  <c r="H85" i="1"/>
  <c r="G83" i="1"/>
  <c r="E83" i="1"/>
  <c r="H83" i="1"/>
  <c r="G82" i="1"/>
  <c r="H82" i="1"/>
  <c r="E82" i="1"/>
  <c r="G81" i="1"/>
  <c r="H81" i="1"/>
  <c r="E81" i="1"/>
  <c r="D59" i="1"/>
  <c r="G131" i="1"/>
  <c r="H131" i="1"/>
  <c r="E131" i="1"/>
  <c r="G130" i="1"/>
  <c r="E130" i="1"/>
  <c r="H130" i="1"/>
  <c r="E125" i="1"/>
  <c r="G127" i="1"/>
  <c r="H127" i="1"/>
  <c r="E127" i="1"/>
  <c r="G99" i="1"/>
  <c r="G125" i="1"/>
  <c r="E129" i="1"/>
  <c r="E128" i="1"/>
  <c r="G128" i="1"/>
  <c r="H128" i="1"/>
  <c r="V355" i="1"/>
  <c r="V356" i="1"/>
  <c r="V357" i="1"/>
  <c r="V358" i="1"/>
  <c r="S477" i="1"/>
  <c r="S479" i="1"/>
  <c r="G129" i="1"/>
  <c r="H129" i="1"/>
  <c r="H38" i="1"/>
  <c r="H40" i="1"/>
  <c r="H46" i="1"/>
  <c r="I40" i="1"/>
  <c r="H45" i="1"/>
  <c r="I38" i="1"/>
  <c r="H43" i="1"/>
</calcChain>
</file>

<file path=xl/sharedStrings.xml><?xml version="1.0" encoding="utf-8"?>
<sst xmlns="http://schemas.openxmlformats.org/spreadsheetml/2006/main" count="311" uniqueCount="173">
  <si>
    <t>TUROVERSIKT EROS 2024</t>
  </si>
  <si>
    <t>Dato</t>
  </si>
  <si>
    <t>Fiskeri</t>
  </si>
  <si>
    <t>Losset</t>
  </si>
  <si>
    <t>Kvantum</t>
  </si>
  <si>
    <t>Ant.dager</t>
  </si>
  <si>
    <t>Oljeforbruk</t>
  </si>
  <si>
    <t>Forbruk/dg</t>
  </si>
  <si>
    <t>Forbruk/mt</t>
  </si>
  <si>
    <t>11.02 -26.02</t>
  </si>
  <si>
    <t>NVG tokt</t>
  </si>
  <si>
    <t>27.02 - 3.03</t>
  </si>
  <si>
    <t>Lodde</t>
  </si>
  <si>
    <t>Pelagia Lød/Træna</t>
  </si>
  <si>
    <t>4.03 - 11.03</t>
  </si>
  <si>
    <t>Kolmule</t>
  </si>
  <si>
    <t>Eskja, Island</t>
  </si>
  <si>
    <t>12.03 - 19.03</t>
  </si>
  <si>
    <t>Prima, Egersund</t>
  </si>
  <si>
    <t>20.03 - 29.03</t>
  </si>
  <si>
    <t>Pelagia Måløy</t>
  </si>
  <si>
    <t>15.04 - 24.04</t>
  </si>
  <si>
    <t>Pelagis Karms.</t>
  </si>
  <si>
    <t>24.05 - 3.06</t>
  </si>
  <si>
    <t>Nordsjøsild</t>
  </si>
  <si>
    <t>Kalvåg/Vedde</t>
  </si>
  <si>
    <t>5.06 - 10.06</t>
  </si>
  <si>
    <t>Vedde</t>
  </si>
  <si>
    <t>30.06 - 6.08</t>
  </si>
  <si>
    <t>Makrelltokt</t>
  </si>
  <si>
    <t>09.08 - 13.08</t>
  </si>
  <si>
    <t xml:space="preserve">Makrell   </t>
  </si>
  <si>
    <t>Olav E</t>
  </si>
  <si>
    <t>14.08 - 18.08</t>
  </si>
  <si>
    <t>Makrell</t>
  </si>
  <si>
    <t>19.08 - 21.08</t>
  </si>
  <si>
    <t>22.08 - 25.08</t>
  </si>
  <si>
    <t>Bomtur</t>
  </si>
  <si>
    <t>26.08 - 27.08</t>
  </si>
  <si>
    <t>28.08 - 29.08</t>
  </si>
  <si>
    <t>30.08 - 31.08</t>
  </si>
  <si>
    <t>1.09 - 02.09</t>
  </si>
  <si>
    <t>Nils Sperre</t>
  </si>
  <si>
    <t>3.09 - 04.09</t>
  </si>
  <si>
    <t>Vikomar</t>
  </si>
  <si>
    <t>5.09 - 8.09</t>
  </si>
  <si>
    <t>Pelagia Selje</t>
  </si>
  <si>
    <t>9.09 - 11.09</t>
  </si>
  <si>
    <t>12.09 - 19.09</t>
  </si>
  <si>
    <t>Grønntvedt</t>
  </si>
  <si>
    <t>29.09 - 03.10</t>
  </si>
  <si>
    <t>4.10 -6.10</t>
  </si>
  <si>
    <t>7.10 -8.10</t>
  </si>
  <si>
    <t>9.10 - 12.10</t>
  </si>
  <si>
    <t>Fosnavåg</t>
  </si>
  <si>
    <t>13.10 - 17.10</t>
  </si>
  <si>
    <t>NVG sild</t>
  </si>
  <si>
    <t>Pel. Træna</t>
  </si>
  <si>
    <t>18.10 - 23.10</t>
  </si>
  <si>
    <t>NVG-sild</t>
  </si>
  <si>
    <t>Pel. Lødingen</t>
  </si>
  <si>
    <t>24.10 - 30.10</t>
  </si>
  <si>
    <t>Pell. Træna</t>
  </si>
  <si>
    <t>7.11 - 13.11</t>
  </si>
  <si>
    <t>Pel. Kalvåg</t>
  </si>
  <si>
    <t>Pel Måløy</t>
  </si>
  <si>
    <t>14.11 - 17.11</t>
  </si>
  <si>
    <t>18.11 - 25.11</t>
  </si>
  <si>
    <t>Pel. Måløy</t>
  </si>
  <si>
    <t>Totalt</t>
  </si>
  <si>
    <t>Lodde B.h.</t>
  </si>
  <si>
    <t>Tokt, NVG</t>
  </si>
  <si>
    <t xml:space="preserve">Makrell  </t>
  </si>
  <si>
    <t>TUROVERSIKT EROS 2023</t>
  </si>
  <si>
    <t>25.01 - 31.01</t>
  </si>
  <si>
    <t>Lodde Isl.</t>
  </si>
  <si>
    <t>Sperre</t>
  </si>
  <si>
    <t>12.02 - 28.02</t>
  </si>
  <si>
    <t>Forskning NVG</t>
  </si>
  <si>
    <t>1.03 - 10.03</t>
  </si>
  <si>
    <t>11.03 - 21.03</t>
  </si>
  <si>
    <t>Prima Protein</t>
  </si>
  <si>
    <t>22.03 - 30.03</t>
  </si>
  <si>
    <t>31.03 - 11.04</t>
  </si>
  <si>
    <t>22.5 - 25.05</t>
  </si>
  <si>
    <t>26.05 - 29.05</t>
  </si>
  <si>
    <t>Pelagia Egers</t>
  </si>
  <si>
    <t>30.05 - 03.06</t>
  </si>
  <si>
    <t>4.06 - 08.06</t>
  </si>
  <si>
    <t>Opplag</t>
  </si>
  <si>
    <t>2.07 - 06.08</t>
  </si>
  <si>
    <t>21.08 - 25.08</t>
  </si>
  <si>
    <t>26.08 - 28.08</t>
  </si>
  <si>
    <t xml:space="preserve">Makrell </t>
  </si>
  <si>
    <t>Pelagis Selje</t>
  </si>
  <si>
    <t>29.08 -03.09</t>
  </si>
  <si>
    <t>Prima Seafood</t>
  </si>
  <si>
    <t>4.09 - 6.09</t>
  </si>
  <si>
    <t>7.09 - 8.09</t>
  </si>
  <si>
    <t>Liavåg</t>
  </si>
  <si>
    <t>Pel. Selje</t>
  </si>
  <si>
    <t>12.09 - 14.09</t>
  </si>
  <si>
    <t>Skude</t>
  </si>
  <si>
    <t>15.09 - 17.09</t>
  </si>
  <si>
    <t>Olav E. Fiskers</t>
  </si>
  <si>
    <t>26.09 - 29.09</t>
  </si>
  <si>
    <t>30.09 - 3.10</t>
  </si>
  <si>
    <t>4.10 - 6.10</t>
  </si>
  <si>
    <t>Brdr. Sperre</t>
  </si>
  <si>
    <t>11.10 - 19.10</t>
  </si>
  <si>
    <t>20.10 - 27.10</t>
  </si>
  <si>
    <t>Pelagia Lødingen</t>
  </si>
  <si>
    <t>28.10 - 2.11</t>
  </si>
  <si>
    <t>Scandic Pelagic</t>
  </si>
  <si>
    <t>3.11 - 16.11</t>
  </si>
  <si>
    <t>Pelagia</t>
  </si>
  <si>
    <t>Forskn. NVG</t>
  </si>
  <si>
    <t>TUROVERSIKT EROS 2022</t>
  </si>
  <si>
    <t>21.01 - 8.02</t>
  </si>
  <si>
    <t>Lodde Island</t>
  </si>
  <si>
    <t>13.02 - 27.02</t>
  </si>
  <si>
    <t>NVG Tokt</t>
  </si>
  <si>
    <t>HI</t>
  </si>
  <si>
    <t>28.02 - 15.03</t>
  </si>
  <si>
    <t>Loddetokt</t>
  </si>
  <si>
    <t>16.03 - 24.03</t>
  </si>
  <si>
    <t>Pelagia Karms.</t>
  </si>
  <si>
    <t>25.03 - 06.04</t>
  </si>
  <si>
    <t>Verksetedopphold/opplag</t>
  </si>
  <si>
    <t>20.05 - 25.05</t>
  </si>
  <si>
    <t>Pelgaia Måløy</t>
  </si>
  <si>
    <t xml:space="preserve">30.05 - 05.06 </t>
  </si>
  <si>
    <t>Pelagia Kalvåg</t>
  </si>
  <si>
    <t>03.07 - 7.08</t>
  </si>
  <si>
    <t>10.08 - 14.08</t>
  </si>
  <si>
    <t>15.08 - 20.08</t>
  </si>
  <si>
    <t>Gøntvedt</t>
  </si>
  <si>
    <t xml:space="preserve">21.08 - 23.08 </t>
  </si>
  <si>
    <t>Brødrene Sp.</t>
  </si>
  <si>
    <t>24.08 - 26.08</t>
  </si>
  <si>
    <t>Tranvåg</t>
  </si>
  <si>
    <t>27.08-29.08</t>
  </si>
  <si>
    <t>30.8 - 6.8</t>
  </si>
  <si>
    <t xml:space="preserve">7.9 - 9.09 </t>
  </si>
  <si>
    <t>Fosnavåb Pel.</t>
  </si>
  <si>
    <t>10.09 - 13.09</t>
  </si>
  <si>
    <t>Pelagia Egers.</t>
  </si>
  <si>
    <t>14.09 - 17.09</t>
  </si>
  <si>
    <t>19.09 - 21.09</t>
  </si>
  <si>
    <t>Pelagia Liavåg</t>
  </si>
  <si>
    <t>22.09 - 23.09</t>
  </si>
  <si>
    <t>Br.Sperre</t>
  </si>
  <si>
    <t>24.09 - 25.09</t>
  </si>
  <si>
    <t>26.09 - 03.10</t>
  </si>
  <si>
    <t>Pel. Liavåg</t>
  </si>
  <si>
    <t>16.10- 21.10</t>
  </si>
  <si>
    <t>Lofoten Viking</t>
  </si>
  <si>
    <t>22.10 - 28.10</t>
  </si>
  <si>
    <t>29.10 -31.10</t>
  </si>
  <si>
    <t>1.11 - 9.11</t>
  </si>
  <si>
    <t>10.11 - 18.11</t>
  </si>
  <si>
    <t>Tokt</t>
  </si>
  <si>
    <t>Sild</t>
  </si>
  <si>
    <t>Verksted</t>
  </si>
  <si>
    <t>Urea</t>
  </si>
  <si>
    <t>1dgn Mørenot/Larsnes/Nox-test/Prøvekast Vikedjupet/Hareid</t>
  </si>
  <si>
    <t>(sponset Yarwill)</t>
  </si>
  <si>
    <t>4,455 pr. l</t>
  </si>
  <si>
    <t>(33  mt må rapporteres på 2013 fra 12)</t>
  </si>
  <si>
    <t>Forbruk prøvekasting/Nox-testing 4 dgn</t>
  </si>
  <si>
    <t>Bunkerslager avlest 3.02</t>
  </si>
  <si>
    <t>101 m3 msd etter lossing H.våg</t>
  </si>
  <si>
    <t>Kostnad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</si>
</sst>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5">
    <font>
      <sz val="10"/>
      <name val="Arial"/>
    </font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16" fontId="0" fillId="0" borderId="0" xfId="0" applyNumberFormat="1"/>
    <xf numFmtId="2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2" fillId="0" borderId="0" xfId="0" applyFont="1" applyAlignment="1">
      <alignment horizontal="right"/>
    </xf>
    <xf numFmtId="10" fontId="0" fillId="0" borderId="0" xfId="2" applyNumberFormat="1" applyFont="1"/>
    <xf numFmtId="165" fontId="0" fillId="0" borderId="0" xfId="1" applyNumberFormat="1" applyFont="1"/>
    <xf numFmtId="165" fontId="4" fillId="0" borderId="0" xfId="1" applyNumberFormat="1" applyFont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43" fontId="0" fillId="0" borderId="0" xfId="1" applyFont="1"/>
    <xf numFmtId="2" fontId="3" fillId="0" borderId="0" xfId="0" applyNumberFormat="1" applyFont="1"/>
    <xf numFmtId="14" fontId="0" fillId="0" borderId="0" xfId="0" applyNumberFormat="1"/>
    <xf numFmtId="0" fontId="0" fillId="0" borderId="0" xfId="0" quotePrefix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455E-3CD3-4A7D-8E86-424C11D64E40}">
  <dimension ref="A1:AC606"/>
  <sheetViews>
    <sheetView tabSelected="1" workbookViewId="0">
      <selection activeCell="A19" sqref="A19"/>
    </sheetView>
  </sheetViews>
  <sheetFormatPr defaultRowHeight="12.75"/>
  <cols>
    <col min="1" max="1" width="13.28515625" bestFit="1" customWidth="1"/>
    <col min="2" max="2" width="11.42578125" customWidth="1"/>
    <col min="3" max="3" width="13.42578125" customWidth="1"/>
    <col min="4" max="4" width="11.42578125" customWidth="1"/>
    <col min="5" max="5" width="8.7109375" customWidth="1"/>
    <col min="6" max="6" width="6.85546875" bestFit="1" customWidth="1"/>
    <col min="7" max="7" width="15.5703125" customWidth="1"/>
    <col min="8" max="12" width="11.42578125" customWidth="1"/>
    <col min="13" max="13" width="20.7109375" customWidth="1"/>
    <col min="14" max="256" width="11.42578125" customWidth="1"/>
  </cols>
  <sheetData>
    <row r="1" spans="1:11">
      <c r="A1" s="2" t="s">
        <v>0</v>
      </c>
      <c r="K1" s="1"/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  <c r="I3" s="1" t="s">
        <v>8</v>
      </c>
      <c r="K3" s="1"/>
    </row>
    <row r="4" spans="1:11">
      <c r="A4" s="5" t="s">
        <v>9</v>
      </c>
      <c r="B4" s="5" t="s">
        <v>10</v>
      </c>
      <c r="E4">
        <v>16</v>
      </c>
      <c r="G4">
        <v>102</v>
      </c>
      <c r="H4" s="4">
        <f>+G4/E4</f>
        <v>6.375</v>
      </c>
    </row>
    <row r="5" spans="1:11">
      <c r="A5" t="s">
        <v>11</v>
      </c>
      <c r="B5" t="s">
        <v>12</v>
      </c>
      <c r="C5" t="s">
        <v>13</v>
      </c>
      <c r="D5">
        <v>1294</v>
      </c>
      <c r="E5">
        <v>6</v>
      </c>
      <c r="G5">
        <v>40</v>
      </c>
      <c r="H5" s="4">
        <f t="shared" ref="H5:H35" si="0">+G5/E5</f>
        <v>6.666666666666667</v>
      </c>
      <c r="I5" s="4">
        <f>+G5/D5</f>
        <v>3.0911901081916538E-2</v>
      </c>
    </row>
    <row r="6" spans="1:11">
      <c r="A6" t="s">
        <v>14</v>
      </c>
      <c r="B6" t="s">
        <v>15</v>
      </c>
      <c r="C6" t="s">
        <v>16</v>
      </c>
      <c r="D6">
        <v>2326</v>
      </c>
      <c r="E6">
        <v>8</v>
      </c>
      <c r="G6">
        <v>90</v>
      </c>
      <c r="H6" s="4">
        <f t="shared" si="0"/>
        <v>11.25</v>
      </c>
      <c r="I6" s="4">
        <f t="shared" ref="I6:I35" si="1">+G6/D6</f>
        <v>3.8693035253654341E-2</v>
      </c>
    </row>
    <row r="7" spans="1:11">
      <c r="A7" t="s">
        <v>17</v>
      </c>
      <c r="B7" t="s">
        <v>15</v>
      </c>
      <c r="C7" t="s">
        <v>18</v>
      </c>
      <c r="D7">
        <v>2126</v>
      </c>
      <c r="E7">
        <v>8</v>
      </c>
      <c r="G7">
        <v>86</v>
      </c>
      <c r="H7" s="4">
        <f t="shared" si="0"/>
        <v>10.75</v>
      </c>
      <c r="I7" s="4">
        <f t="shared" si="1"/>
        <v>4.0451552210724363E-2</v>
      </c>
    </row>
    <row r="8" spans="1:11">
      <c r="A8" t="s">
        <v>19</v>
      </c>
      <c r="B8" t="s">
        <v>15</v>
      </c>
      <c r="C8" t="s">
        <v>20</v>
      </c>
      <c r="D8">
        <v>2179</v>
      </c>
      <c r="E8">
        <v>10</v>
      </c>
      <c r="G8">
        <v>90</v>
      </c>
      <c r="H8" s="4">
        <f t="shared" si="0"/>
        <v>9</v>
      </c>
      <c r="I8" s="4">
        <f t="shared" si="1"/>
        <v>4.1303350160624142E-2</v>
      </c>
    </row>
    <row r="9" spans="1:11">
      <c r="A9" t="s">
        <v>21</v>
      </c>
      <c r="B9" t="s">
        <v>15</v>
      </c>
      <c r="C9" t="s">
        <v>22</v>
      </c>
      <c r="D9">
        <v>1774</v>
      </c>
      <c r="E9">
        <v>10</v>
      </c>
      <c r="G9">
        <v>90</v>
      </c>
      <c r="H9" s="4">
        <f t="shared" si="0"/>
        <v>9</v>
      </c>
      <c r="I9" s="4">
        <f t="shared" si="1"/>
        <v>5.0732807215332583E-2</v>
      </c>
    </row>
    <row r="10" spans="1:11">
      <c r="A10" t="s">
        <v>23</v>
      </c>
      <c r="B10" t="s">
        <v>24</v>
      </c>
      <c r="C10" t="s">
        <v>25</v>
      </c>
      <c r="D10">
        <v>562</v>
      </c>
      <c r="E10">
        <v>11</v>
      </c>
      <c r="G10">
        <v>90</v>
      </c>
      <c r="H10" s="4">
        <f t="shared" si="0"/>
        <v>8.1818181818181817</v>
      </c>
      <c r="I10" s="4">
        <f t="shared" si="1"/>
        <v>0.16014234875444841</v>
      </c>
    </row>
    <row r="11" spans="1:11">
      <c r="A11" t="s">
        <v>26</v>
      </c>
      <c r="B11" t="s">
        <v>24</v>
      </c>
      <c r="C11" t="s">
        <v>27</v>
      </c>
      <c r="D11">
        <v>244</v>
      </c>
      <c r="E11">
        <v>6</v>
      </c>
      <c r="G11">
        <v>51</v>
      </c>
      <c r="H11" s="4">
        <f t="shared" si="0"/>
        <v>8.5</v>
      </c>
      <c r="I11" s="4">
        <f t="shared" si="1"/>
        <v>0.20901639344262296</v>
      </c>
    </row>
    <row r="12" spans="1:11">
      <c r="A12" t="s">
        <v>28</v>
      </c>
      <c r="B12" t="s">
        <v>29</v>
      </c>
      <c r="E12">
        <v>38</v>
      </c>
      <c r="G12">
        <v>294</v>
      </c>
      <c r="H12" s="4">
        <f t="shared" si="0"/>
        <v>7.7368421052631575</v>
      </c>
      <c r="I12" s="4"/>
    </row>
    <row r="13" spans="1:11">
      <c r="A13" t="s">
        <v>30</v>
      </c>
      <c r="B13" t="s">
        <v>31</v>
      </c>
      <c r="C13" t="s">
        <v>32</v>
      </c>
      <c r="D13">
        <v>85</v>
      </c>
      <c r="E13">
        <v>5</v>
      </c>
      <c r="F13" s="4"/>
      <c r="G13">
        <v>40</v>
      </c>
      <c r="H13" s="4">
        <f t="shared" si="0"/>
        <v>8</v>
      </c>
      <c r="I13" s="4">
        <f t="shared" si="1"/>
        <v>0.47058823529411764</v>
      </c>
    </row>
    <row r="14" spans="1:11">
      <c r="A14" t="s">
        <v>33</v>
      </c>
      <c r="B14" t="s">
        <v>34</v>
      </c>
      <c r="C14" t="s">
        <v>32</v>
      </c>
      <c r="D14">
        <v>42</v>
      </c>
      <c r="E14">
        <v>5</v>
      </c>
      <c r="F14" s="4"/>
      <c r="G14">
        <v>40</v>
      </c>
      <c r="H14" s="4">
        <f t="shared" si="0"/>
        <v>8</v>
      </c>
      <c r="I14" s="4">
        <f t="shared" si="1"/>
        <v>0.95238095238095233</v>
      </c>
    </row>
    <row r="15" spans="1:11">
      <c r="A15" t="s">
        <v>35</v>
      </c>
      <c r="B15" t="s">
        <v>34</v>
      </c>
      <c r="C15" t="s">
        <v>32</v>
      </c>
      <c r="D15">
        <v>73</v>
      </c>
      <c r="E15">
        <v>3</v>
      </c>
      <c r="F15" s="4"/>
      <c r="G15">
        <v>25</v>
      </c>
      <c r="H15" s="4">
        <f t="shared" si="0"/>
        <v>8.3333333333333339</v>
      </c>
      <c r="I15" s="4">
        <f t="shared" si="1"/>
        <v>0.34246575342465752</v>
      </c>
    </row>
    <row r="16" spans="1:11">
      <c r="A16" t="s">
        <v>36</v>
      </c>
      <c r="B16" t="s">
        <v>34</v>
      </c>
      <c r="C16" t="s">
        <v>37</v>
      </c>
      <c r="D16">
        <v>0</v>
      </c>
      <c r="E16">
        <v>4</v>
      </c>
      <c r="F16" s="4"/>
      <c r="G16">
        <v>30</v>
      </c>
      <c r="H16" s="4">
        <f t="shared" si="0"/>
        <v>7.5</v>
      </c>
      <c r="I16" s="4"/>
    </row>
    <row r="17" spans="1:9">
      <c r="A17" t="s">
        <v>38</v>
      </c>
      <c r="B17" t="s">
        <v>34</v>
      </c>
      <c r="C17" t="s">
        <v>32</v>
      </c>
      <c r="D17">
        <v>72</v>
      </c>
      <c r="E17">
        <v>2</v>
      </c>
      <c r="F17" s="4"/>
      <c r="G17">
        <v>20</v>
      </c>
      <c r="H17" s="4">
        <f t="shared" si="0"/>
        <v>10</v>
      </c>
      <c r="I17" s="4">
        <f t="shared" si="1"/>
        <v>0.27777777777777779</v>
      </c>
    </row>
    <row r="18" spans="1:9">
      <c r="A18" t="s">
        <v>39</v>
      </c>
      <c r="B18" t="s">
        <v>34</v>
      </c>
      <c r="C18" t="s">
        <v>32</v>
      </c>
      <c r="D18">
        <v>209</v>
      </c>
      <c r="E18">
        <v>2</v>
      </c>
      <c r="F18" s="4"/>
      <c r="G18">
        <v>20</v>
      </c>
      <c r="H18" s="4">
        <f t="shared" si="0"/>
        <v>10</v>
      </c>
      <c r="I18" s="4">
        <f t="shared" si="1"/>
        <v>9.569377990430622E-2</v>
      </c>
    </row>
    <row r="19" spans="1:9">
      <c r="A19" t="s">
        <v>40</v>
      </c>
      <c r="B19" t="s">
        <v>34</v>
      </c>
      <c r="C19" t="s">
        <v>32</v>
      </c>
      <c r="D19">
        <v>123</v>
      </c>
      <c r="E19">
        <v>2</v>
      </c>
      <c r="F19" s="4"/>
      <c r="G19">
        <v>20</v>
      </c>
      <c r="H19" s="4">
        <f t="shared" si="0"/>
        <v>10</v>
      </c>
      <c r="I19" s="4">
        <f t="shared" si="1"/>
        <v>0.16260162601626016</v>
      </c>
    </row>
    <row r="20" spans="1:9">
      <c r="A20" t="s">
        <v>41</v>
      </c>
      <c r="B20" t="s">
        <v>34</v>
      </c>
      <c r="C20" t="s">
        <v>42</v>
      </c>
      <c r="D20">
        <v>320</v>
      </c>
      <c r="E20">
        <v>2</v>
      </c>
      <c r="F20" s="4"/>
      <c r="G20">
        <v>20</v>
      </c>
      <c r="H20" s="4">
        <f t="shared" si="0"/>
        <v>10</v>
      </c>
      <c r="I20" s="4">
        <f t="shared" si="1"/>
        <v>6.25E-2</v>
      </c>
    </row>
    <row r="21" spans="1:9">
      <c r="A21" t="s">
        <v>43</v>
      </c>
      <c r="B21" t="s">
        <v>34</v>
      </c>
      <c r="C21" t="s">
        <v>44</v>
      </c>
      <c r="D21">
        <v>120</v>
      </c>
      <c r="E21">
        <v>2</v>
      </c>
      <c r="F21" s="4"/>
      <c r="G21">
        <v>30</v>
      </c>
      <c r="H21" s="4">
        <f t="shared" si="0"/>
        <v>15</v>
      </c>
      <c r="I21" s="4">
        <f t="shared" si="1"/>
        <v>0.25</v>
      </c>
    </row>
    <row r="22" spans="1:9">
      <c r="A22" t="s">
        <v>45</v>
      </c>
      <c r="B22" t="s">
        <v>34</v>
      </c>
      <c r="C22" t="s">
        <v>46</v>
      </c>
      <c r="D22">
        <v>175</v>
      </c>
      <c r="E22">
        <v>4</v>
      </c>
      <c r="F22" s="4"/>
      <c r="G22">
        <v>40</v>
      </c>
      <c r="H22" s="4">
        <f t="shared" si="0"/>
        <v>10</v>
      </c>
      <c r="I22" s="4">
        <f t="shared" si="1"/>
        <v>0.22857142857142856</v>
      </c>
    </row>
    <row r="23" spans="1:9">
      <c r="A23" t="s">
        <v>47</v>
      </c>
      <c r="B23" t="s">
        <v>34</v>
      </c>
      <c r="C23" t="s">
        <v>44</v>
      </c>
      <c r="D23">
        <v>404</v>
      </c>
      <c r="E23">
        <v>3</v>
      </c>
      <c r="F23" s="4"/>
      <c r="G23">
        <v>30</v>
      </c>
      <c r="H23" s="4">
        <f t="shared" si="0"/>
        <v>10</v>
      </c>
      <c r="I23" s="4">
        <f t="shared" si="1"/>
        <v>7.4257425742574254E-2</v>
      </c>
    </row>
    <row r="24" spans="1:9">
      <c r="A24" t="s">
        <v>48</v>
      </c>
      <c r="B24" t="s">
        <v>24</v>
      </c>
      <c r="C24" t="s">
        <v>49</v>
      </c>
      <c r="D24">
        <v>435</v>
      </c>
      <c r="E24">
        <v>8</v>
      </c>
      <c r="F24" s="4"/>
      <c r="G24">
        <v>65</v>
      </c>
      <c r="H24" s="4">
        <f t="shared" si="0"/>
        <v>8.125</v>
      </c>
      <c r="I24" s="4">
        <f t="shared" si="1"/>
        <v>0.14942528735632185</v>
      </c>
    </row>
    <row r="25" spans="1:9">
      <c r="A25" t="s">
        <v>50</v>
      </c>
      <c r="B25" t="s">
        <v>34</v>
      </c>
      <c r="C25" t="s">
        <v>20</v>
      </c>
      <c r="D25">
        <v>560</v>
      </c>
      <c r="E25">
        <v>5</v>
      </c>
      <c r="F25" s="4"/>
      <c r="G25">
        <v>45</v>
      </c>
      <c r="H25" s="4">
        <f t="shared" si="0"/>
        <v>9</v>
      </c>
      <c r="I25" s="4">
        <f t="shared" si="1"/>
        <v>8.0357142857142863E-2</v>
      </c>
    </row>
    <row r="26" spans="1:9">
      <c r="A26" t="s">
        <v>51</v>
      </c>
      <c r="B26" t="s">
        <v>34</v>
      </c>
      <c r="C26" t="s">
        <v>20</v>
      </c>
      <c r="D26">
        <v>320</v>
      </c>
      <c r="E26">
        <v>3</v>
      </c>
      <c r="F26" s="4"/>
      <c r="G26">
        <v>30</v>
      </c>
      <c r="H26" s="4">
        <f t="shared" si="0"/>
        <v>10</v>
      </c>
      <c r="I26" s="4">
        <f t="shared" si="1"/>
        <v>9.375E-2</v>
      </c>
    </row>
    <row r="27" spans="1:9">
      <c r="A27" t="s">
        <v>52</v>
      </c>
      <c r="B27" t="s">
        <v>34</v>
      </c>
      <c r="C27" t="s">
        <v>20</v>
      </c>
      <c r="D27">
        <v>405</v>
      </c>
      <c r="E27">
        <v>2</v>
      </c>
      <c r="F27" s="4"/>
      <c r="G27">
        <v>20</v>
      </c>
      <c r="H27" s="4">
        <f t="shared" si="0"/>
        <v>10</v>
      </c>
      <c r="I27" s="4">
        <f t="shared" si="1"/>
        <v>4.9382716049382713E-2</v>
      </c>
    </row>
    <row r="28" spans="1:9">
      <c r="A28" t="s">
        <v>53</v>
      </c>
      <c r="B28" t="s">
        <v>34</v>
      </c>
      <c r="C28" t="s">
        <v>54</v>
      </c>
      <c r="D28">
        <v>320</v>
      </c>
      <c r="E28">
        <v>4</v>
      </c>
      <c r="F28" s="4"/>
      <c r="G28">
        <v>40</v>
      </c>
      <c r="H28" s="4">
        <f t="shared" si="0"/>
        <v>10</v>
      </c>
      <c r="I28" s="4">
        <f t="shared" si="1"/>
        <v>0.125</v>
      </c>
    </row>
    <row r="29" spans="1:9">
      <c r="A29" t="s">
        <v>55</v>
      </c>
      <c r="B29" t="s">
        <v>56</v>
      </c>
      <c r="C29" t="s">
        <v>57</v>
      </c>
      <c r="D29">
        <v>1146</v>
      </c>
      <c r="E29">
        <v>5</v>
      </c>
      <c r="F29" s="4"/>
      <c r="G29">
        <v>40</v>
      </c>
      <c r="H29" s="4">
        <f t="shared" si="0"/>
        <v>8</v>
      </c>
      <c r="I29" s="4">
        <f t="shared" si="1"/>
        <v>3.4904013961605584E-2</v>
      </c>
    </row>
    <row r="30" spans="1:9">
      <c r="A30" t="s">
        <v>58</v>
      </c>
      <c r="B30" t="s">
        <v>59</v>
      </c>
      <c r="C30" t="s">
        <v>60</v>
      </c>
      <c r="D30">
        <v>583</v>
      </c>
      <c r="E30">
        <v>6</v>
      </c>
      <c r="F30" s="4"/>
      <c r="G30">
        <v>40</v>
      </c>
      <c r="H30" s="4">
        <f t="shared" si="0"/>
        <v>6.666666666666667</v>
      </c>
      <c r="I30" s="4">
        <f t="shared" si="1"/>
        <v>6.86106346483705E-2</v>
      </c>
    </row>
    <row r="31" spans="1:9">
      <c r="A31" t="s">
        <v>61</v>
      </c>
      <c r="B31" t="s">
        <v>59</v>
      </c>
      <c r="C31" t="s">
        <v>62</v>
      </c>
      <c r="D31">
        <v>975</v>
      </c>
      <c r="E31">
        <v>7</v>
      </c>
      <c r="F31" s="4"/>
      <c r="G31">
        <v>60</v>
      </c>
      <c r="H31" s="4">
        <f t="shared" si="0"/>
        <v>8.5714285714285712</v>
      </c>
      <c r="I31" s="4">
        <f t="shared" si="1"/>
        <v>6.1538461538461542E-2</v>
      </c>
    </row>
    <row r="32" spans="1:9">
      <c r="A32" t="s">
        <v>63</v>
      </c>
      <c r="B32" t="s">
        <v>24</v>
      </c>
      <c r="C32" t="s">
        <v>64</v>
      </c>
      <c r="D32">
        <v>247</v>
      </c>
      <c r="E32">
        <v>7</v>
      </c>
      <c r="F32" s="4"/>
      <c r="G32">
        <v>60</v>
      </c>
      <c r="H32" s="4">
        <f t="shared" si="0"/>
        <v>8.5714285714285712</v>
      </c>
      <c r="I32" s="4">
        <f t="shared" si="1"/>
        <v>0.24291497975708501</v>
      </c>
    </row>
    <row r="33" spans="1:15">
      <c r="C33" t="s">
        <v>65</v>
      </c>
      <c r="D33">
        <v>38</v>
      </c>
      <c r="F33" s="4"/>
      <c r="H33" s="4"/>
      <c r="I33" s="4">
        <f t="shared" si="1"/>
        <v>0</v>
      </c>
    </row>
    <row r="34" spans="1:15">
      <c r="A34" t="s">
        <v>66</v>
      </c>
      <c r="B34" t="s">
        <v>24</v>
      </c>
      <c r="C34" t="s">
        <v>64</v>
      </c>
      <c r="D34">
        <v>137</v>
      </c>
      <c r="E34">
        <v>4</v>
      </c>
      <c r="F34" s="4"/>
      <c r="G34">
        <v>40</v>
      </c>
      <c r="H34" s="4">
        <f t="shared" si="0"/>
        <v>10</v>
      </c>
      <c r="I34" s="4">
        <f t="shared" si="1"/>
        <v>0.29197080291970801</v>
      </c>
    </row>
    <row r="35" spans="1:15">
      <c r="A35" t="s">
        <v>67</v>
      </c>
      <c r="B35" t="s">
        <v>24</v>
      </c>
      <c r="C35" t="s">
        <v>68</v>
      </c>
      <c r="D35">
        <v>86</v>
      </c>
      <c r="E35">
        <v>8</v>
      </c>
      <c r="F35" s="4"/>
      <c r="G35">
        <v>80</v>
      </c>
      <c r="H35" s="4">
        <f t="shared" si="0"/>
        <v>10</v>
      </c>
      <c r="I35" s="4">
        <f t="shared" si="1"/>
        <v>0.93023255813953487</v>
      </c>
    </row>
    <row r="36" spans="1:15">
      <c r="E36">
        <v>2</v>
      </c>
      <c r="F36" s="4"/>
    </row>
    <row r="37" spans="1:15">
      <c r="F37" s="4"/>
    </row>
    <row r="38" spans="1:15">
      <c r="C38" t="s">
        <v>69</v>
      </c>
      <c r="D38">
        <f>SUM(D4:D36)</f>
        <v>17380</v>
      </c>
      <c r="E38">
        <f>SUM(E4:E36)</f>
        <v>208</v>
      </c>
      <c r="G38">
        <f>SUM(G4:G36)</f>
        <v>1768</v>
      </c>
      <c r="H38" s="4">
        <f>+G38/E38</f>
        <v>8.5</v>
      </c>
      <c r="I38" s="4">
        <f>+G38/D38</f>
        <v>0.10172612197928653</v>
      </c>
    </row>
    <row r="40" spans="1:15">
      <c r="C40" t="s">
        <v>15</v>
      </c>
      <c r="D40">
        <f>+D9+D8+D7+D6</f>
        <v>8405</v>
      </c>
      <c r="E40">
        <f>+E9+E8+E7+E6</f>
        <v>36</v>
      </c>
      <c r="G40">
        <f>+G9+G8+G7+G6</f>
        <v>356</v>
      </c>
      <c r="H40" s="4">
        <f>+G40/E40</f>
        <v>9.8888888888888893</v>
      </c>
      <c r="I40" s="4">
        <f t="shared" ref="I40:I46" si="2">+G40/D40</f>
        <v>4.2355740630577038E-2</v>
      </c>
    </row>
    <row r="41" spans="1:15">
      <c r="C41" t="s">
        <v>70</v>
      </c>
      <c r="D41">
        <f>+D5</f>
        <v>1294</v>
      </c>
      <c r="E41">
        <v>6</v>
      </c>
      <c r="G41">
        <v>40</v>
      </c>
      <c r="H41" s="4">
        <f>+G41/E41</f>
        <v>6.666666666666667</v>
      </c>
      <c r="I41" s="4">
        <f t="shared" si="2"/>
        <v>3.0911901081916538E-2</v>
      </c>
    </row>
    <row r="42" spans="1:15">
      <c r="C42" t="s">
        <v>71</v>
      </c>
      <c r="D42">
        <v>0</v>
      </c>
      <c r="E42">
        <v>16</v>
      </c>
      <c r="G42">
        <v>102</v>
      </c>
      <c r="H42" s="4">
        <f>+G42/E42</f>
        <v>6.375</v>
      </c>
      <c r="I42" s="4"/>
    </row>
    <row r="43" spans="1:15">
      <c r="C43" t="s">
        <v>24</v>
      </c>
      <c r="D43">
        <f>+D10+D11+D24+D32+D33+D34+D35</f>
        <v>1749</v>
      </c>
      <c r="E43">
        <f>+E10+E11+E24+E32+E33+E34+E35+E36</f>
        <v>46</v>
      </c>
      <c r="G43">
        <f>+G10+G11+G24+G32+G33+G34+G35</f>
        <v>386</v>
      </c>
      <c r="H43" s="4">
        <f>+G43/E43</f>
        <v>8.3913043478260878</v>
      </c>
      <c r="I43" s="4">
        <f t="shared" si="2"/>
        <v>0.22069754145225842</v>
      </c>
    </row>
    <row r="44" spans="1:15">
      <c r="C44" t="s">
        <v>29</v>
      </c>
      <c r="D44">
        <v>0</v>
      </c>
      <c r="E44">
        <v>38</v>
      </c>
      <c r="G44">
        <v>294</v>
      </c>
      <c r="H44" s="4">
        <f>+G44/E45</f>
        <v>6.125</v>
      </c>
      <c r="I44" s="4"/>
    </row>
    <row r="45" spans="1:15">
      <c r="C45" t="s">
        <v>72</v>
      </c>
      <c r="D45">
        <f>SUM(D13:D28)-D24</f>
        <v>3228</v>
      </c>
      <c r="E45">
        <f>SUM(E13:E28)-E24</f>
        <v>48</v>
      </c>
      <c r="G45">
        <f>SUM(G13:G28)-G24</f>
        <v>450</v>
      </c>
      <c r="H45" s="4">
        <f>+G45/E45</f>
        <v>9.375</v>
      </c>
      <c r="I45" s="4">
        <f t="shared" si="2"/>
        <v>0.13940520446096655</v>
      </c>
      <c r="M45" s="1"/>
      <c r="N45" s="1"/>
      <c r="O45" s="1"/>
    </row>
    <row r="46" spans="1:15">
      <c r="C46" t="s">
        <v>56</v>
      </c>
      <c r="D46">
        <f>+D29+D30+D31</f>
        <v>2704</v>
      </c>
      <c r="E46">
        <f>+E29+E30+E31</f>
        <v>18</v>
      </c>
      <c r="G46">
        <f>+G29+G30+G31</f>
        <v>140</v>
      </c>
      <c r="H46" s="4">
        <f>+G46/E46</f>
        <v>7.7777777777777777</v>
      </c>
      <c r="I46" s="4">
        <f t="shared" si="2"/>
        <v>5.1775147928994084E-2</v>
      </c>
    </row>
    <row r="47" spans="1:15">
      <c r="J47" s="1"/>
    </row>
    <row r="49" spans="1:13">
      <c r="A49" s="2" t="s">
        <v>73</v>
      </c>
      <c r="B49" s="2"/>
      <c r="C49" s="2"/>
      <c r="M49" s="5"/>
    </row>
    <row r="51" spans="1:13">
      <c r="A51" s="1" t="s">
        <v>1</v>
      </c>
      <c r="B51" s="1" t="s">
        <v>2</v>
      </c>
      <c r="C51" s="1" t="s">
        <v>3</v>
      </c>
      <c r="D51" s="1" t="s">
        <v>4</v>
      </c>
      <c r="E51" s="1" t="s">
        <v>5</v>
      </c>
      <c r="F51" s="1"/>
      <c r="G51" s="1" t="s">
        <v>6</v>
      </c>
      <c r="H51" s="1" t="s">
        <v>7</v>
      </c>
      <c r="I51" s="1" t="s">
        <v>8</v>
      </c>
      <c r="J51" s="1"/>
    </row>
    <row r="52" spans="1:13">
      <c r="A52" t="s">
        <v>74</v>
      </c>
      <c r="B52" t="s">
        <v>75</v>
      </c>
      <c r="C52" t="s">
        <v>76</v>
      </c>
      <c r="D52">
        <v>825</v>
      </c>
      <c r="E52">
        <v>7</v>
      </c>
      <c r="G52">
        <v>64</v>
      </c>
      <c r="H52" s="4">
        <f>+G52/E52</f>
        <v>9.1428571428571423</v>
      </c>
      <c r="I52" s="4">
        <f>+G52/D52</f>
        <v>7.7575757575757576E-2</v>
      </c>
    </row>
    <row r="53" spans="1:13">
      <c r="A53" t="s">
        <v>77</v>
      </c>
      <c r="B53" t="s">
        <v>78</v>
      </c>
      <c r="E53">
        <v>17</v>
      </c>
      <c r="G53">
        <v>136</v>
      </c>
      <c r="H53" s="4">
        <f t="shared" ref="H53:H78" si="3">+G53/E53</f>
        <v>8</v>
      </c>
      <c r="I53" s="4"/>
    </row>
    <row r="54" spans="1:13">
      <c r="A54" t="s">
        <v>79</v>
      </c>
      <c r="B54" t="s">
        <v>15</v>
      </c>
      <c r="C54" t="s">
        <v>27</v>
      </c>
      <c r="D54">
        <v>2205</v>
      </c>
      <c r="E54">
        <v>10</v>
      </c>
      <c r="G54">
        <v>110</v>
      </c>
      <c r="H54" s="4">
        <f t="shared" si="3"/>
        <v>11</v>
      </c>
      <c r="I54" s="4">
        <f t="shared" ref="I54:I78" si="4">+G54/D54</f>
        <v>4.9886621315192746E-2</v>
      </c>
    </row>
    <row r="55" spans="1:13">
      <c r="A55" t="s">
        <v>80</v>
      </c>
      <c r="B55" t="s">
        <v>15</v>
      </c>
      <c r="C55" t="s">
        <v>81</v>
      </c>
      <c r="D55">
        <v>2270</v>
      </c>
      <c r="E55">
        <v>11</v>
      </c>
      <c r="G55">
        <v>120</v>
      </c>
      <c r="H55" s="4">
        <f t="shared" si="3"/>
        <v>10.909090909090908</v>
      </c>
      <c r="I55" s="4">
        <f t="shared" si="4"/>
        <v>5.2863436123348019E-2</v>
      </c>
    </row>
    <row r="56" spans="1:13">
      <c r="A56" t="s">
        <v>82</v>
      </c>
      <c r="B56" t="s">
        <v>15</v>
      </c>
      <c r="C56" t="s">
        <v>81</v>
      </c>
      <c r="D56">
        <v>2203</v>
      </c>
      <c r="E56">
        <v>9</v>
      </c>
      <c r="G56">
        <v>116</v>
      </c>
      <c r="H56" s="4">
        <f t="shared" si="3"/>
        <v>12.888888888888889</v>
      </c>
      <c r="I56" s="4">
        <f t="shared" si="4"/>
        <v>5.2655469813890153E-2</v>
      </c>
    </row>
    <row r="57" spans="1:13">
      <c r="A57" t="s">
        <v>83</v>
      </c>
      <c r="B57" t="s">
        <v>15</v>
      </c>
      <c r="C57" t="s">
        <v>81</v>
      </c>
      <c r="D57">
        <v>2270</v>
      </c>
      <c r="E57">
        <v>12</v>
      </c>
      <c r="G57">
        <v>145</v>
      </c>
      <c r="H57" s="4">
        <f t="shared" si="3"/>
        <v>12.083333333333334</v>
      </c>
      <c r="I57" s="4">
        <f t="shared" si="4"/>
        <v>6.3876651982378851E-2</v>
      </c>
    </row>
    <row r="58" spans="1:13">
      <c r="A58" t="s">
        <v>84</v>
      </c>
      <c r="B58" t="s">
        <v>24</v>
      </c>
      <c r="C58" t="s">
        <v>49</v>
      </c>
      <c r="D58">
        <v>410</v>
      </c>
      <c r="E58">
        <v>4</v>
      </c>
      <c r="G58">
        <v>25</v>
      </c>
      <c r="H58" s="4">
        <f t="shared" si="3"/>
        <v>6.25</v>
      </c>
      <c r="I58" s="4">
        <f t="shared" si="4"/>
        <v>6.097560975609756E-2</v>
      </c>
    </row>
    <row r="59" spans="1:13">
      <c r="A59" t="s">
        <v>85</v>
      </c>
      <c r="B59" t="s">
        <v>24</v>
      </c>
      <c r="C59" t="s">
        <v>86</v>
      </c>
      <c r="D59">
        <f>684+19</f>
        <v>703</v>
      </c>
      <c r="E59">
        <v>4</v>
      </c>
      <c r="G59">
        <v>35</v>
      </c>
      <c r="H59" s="4">
        <f t="shared" si="3"/>
        <v>8.75</v>
      </c>
      <c r="I59" s="4">
        <f t="shared" si="4"/>
        <v>4.9786628733997154E-2</v>
      </c>
    </row>
    <row r="60" spans="1:13">
      <c r="A60" t="s">
        <v>87</v>
      </c>
      <c r="B60" t="s">
        <v>24</v>
      </c>
      <c r="C60" t="s">
        <v>86</v>
      </c>
      <c r="D60">
        <v>300</v>
      </c>
      <c r="E60">
        <v>5</v>
      </c>
      <c r="G60">
        <v>35</v>
      </c>
      <c r="H60" s="4">
        <f t="shared" si="3"/>
        <v>7</v>
      </c>
      <c r="I60" s="4">
        <f t="shared" si="4"/>
        <v>0.11666666666666667</v>
      </c>
    </row>
    <row r="61" spans="1:13">
      <c r="A61" t="s">
        <v>88</v>
      </c>
      <c r="B61" t="s">
        <v>24</v>
      </c>
      <c r="C61" t="s">
        <v>27</v>
      </c>
      <c r="D61">
        <v>570</v>
      </c>
      <c r="E61">
        <v>5</v>
      </c>
      <c r="G61">
        <v>35</v>
      </c>
      <c r="H61" s="4">
        <f t="shared" si="3"/>
        <v>7</v>
      </c>
      <c r="I61" s="4">
        <f t="shared" si="4"/>
        <v>6.1403508771929821E-2</v>
      </c>
    </row>
    <row r="62" spans="1:13">
      <c r="B62" t="s">
        <v>89</v>
      </c>
      <c r="G62">
        <v>11</v>
      </c>
      <c r="H62" s="4"/>
      <c r="I62" s="4"/>
    </row>
    <row r="63" spans="1:13">
      <c r="A63" t="s">
        <v>90</v>
      </c>
      <c r="B63" t="s">
        <v>29</v>
      </c>
      <c r="E63">
        <v>36</v>
      </c>
      <c r="G63">
        <v>270</v>
      </c>
      <c r="H63" s="4">
        <f t="shared" si="3"/>
        <v>7.5</v>
      </c>
      <c r="I63" s="4"/>
    </row>
    <row r="64" spans="1:13">
      <c r="A64" t="s">
        <v>91</v>
      </c>
      <c r="B64" t="s">
        <v>24</v>
      </c>
      <c r="C64" t="s">
        <v>49</v>
      </c>
      <c r="D64">
        <v>462</v>
      </c>
      <c r="E64">
        <v>5</v>
      </c>
      <c r="G64">
        <v>47</v>
      </c>
      <c r="H64" s="4">
        <f t="shared" si="3"/>
        <v>9.4</v>
      </c>
      <c r="I64" s="4">
        <f t="shared" si="4"/>
        <v>0.10173160173160173</v>
      </c>
    </row>
    <row r="65" spans="1:15">
      <c r="A65" t="s">
        <v>92</v>
      </c>
      <c r="B65" t="s">
        <v>93</v>
      </c>
      <c r="C65" t="s">
        <v>94</v>
      </c>
      <c r="D65">
        <v>68</v>
      </c>
      <c r="E65">
        <v>3</v>
      </c>
      <c r="G65">
        <v>20</v>
      </c>
      <c r="H65" s="4">
        <f t="shared" si="3"/>
        <v>6.666666666666667</v>
      </c>
      <c r="I65" s="4">
        <f t="shared" si="4"/>
        <v>0.29411764705882354</v>
      </c>
    </row>
    <row r="66" spans="1:15">
      <c r="A66" t="s">
        <v>95</v>
      </c>
      <c r="B66" t="s">
        <v>34</v>
      </c>
      <c r="C66" t="s">
        <v>96</v>
      </c>
      <c r="D66">
        <v>477</v>
      </c>
      <c r="E66">
        <v>6</v>
      </c>
      <c r="G66">
        <v>65</v>
      </c>
      <c r="H66" s="4">
        <f t="shared" si="3"/>
        <v>10.833333333333334</v>
      </c>
      <c r="I66" s="4">
        <f t="shared" si="4"/>
        <v>0.13626834381551362</v>
      </c>
    </row>
    <row r="67" spans="1:15">
      <c r="A67" t="s">
        <v>97</v>
      </c>
      <c r="B67" t="s">
        <v>34</v>
      </c>
      <c r="C67" t="s">
        <v>44</v>
      </c>
      <c r="D67">
        <v>150</v>
      </c>
      <c r="E67">
        <v>3</v>
      </c>
      <c r="G67">
        <v>20</v>
      </c>
      <c r="H67" s="4">
        <f t="shared" si="3"/>
        <v>6.666666666666667</v>
      </c>
      <c r="I67" s="4">
        <f t="shared" si="4"/>
        <v>0.13333333333333333</v>
      </c>
    </row>
    <row r="68" spans="1:15">
      <c r="A68" t="s">
        <v>98</v>
      </c>
      <c r="B68" t="s">
        <v>34</v>
      </c>
      <c r="C68" t="s">
        <v>99</v>
      </c>
      <c r="D68">
        <v>40</v>
      </c>
      <c r="E68">
        <v>2</v>
      </c>
      <c r="G68">
        <v>20</v>
      </c>
      <c r="H68" s="4">
        <f t="shared" si="3"/>
        <v>10</v>
      </c>
      <c r="I68" s="4">
        <f t="shared" si="4"/>
        <v>0.5</v>
      </c>
    </row>
    <row r="69" spans="1:15">
      <c r="A69" t="s">
        <v>47</v>
      </c>
      <c r="B69" t="s">
        <v>34</v>
      </c>
      <c r="C69" t="s">
        <v>100</v>
      </c>
      <c r="D69">
        <v>206</v>
      </c>
      <c r="E69">
        <v>3</v>
      </c>
      <c r="G69">
        <v>20</v>
      </c>
      <c r="H69" s="4">
        <f t="shared" si="3"/>
        <v>6.666666666666667</v>
      </c>
      <c r="I69" s="4">
        <f t="shared" si="4"/>
        <v>9.7087378640776698E-2</v>
      </c>
    </row>
    <row r="70" spans="1:15">
      <c r="A70" t="s">
        <v>101</v>
      </c>
      <c r="B70" t="s">
        <v>34</v>
      </c>
      <c r="C70" t="s">
        <v>102</v>
      </c>
      <c r="D70">
        <v>505</v>
      </c>
      <c r="E70">
        <v>3</v>
      </c>
      <c r="G70">
        <v>25</v>
      </c>
      <c r="H70" s="4">
        <f t="shared" si="3"/>
        <v>8.3333333333333339</v>
      </c>
      <c r="I70" s="4">
        <f t="shared" si="4"/>
        <v>4.9504950495049507E-2</v>
      </c>
    </row>
    <row r="71" spans="1:15">
      <c r="A71" t="s">
        <v>103</v>
      </c>
      <c r="B71" t="s">
        <v>34</v>
      </c>
      <c r="C71" t="s">
        <v>104</v>
      </c>
      <c r="D71">
        <v>290</v>
      </c>
      <c r="E71">
        <v>3</v>
      </c>
      <c r="G71">
        <v>25</v>
      </c>
      <c r="H71" s="4">
        <f t="shared" si="3"/>
        <v>8.3333333333333339</v>
      </c>
      <c r="I71" s="4">
        <f t="shared" si="4"/>
        <v>8.6206896551724144E-2</v>
      </c>
    </row>
    <row r="72" spans="1:15">
      <c r="A72" t="s">
        <v>105</v>
      </c>
      <c r="B72" t="s">
        <v>34</v>
      </c>
      <c r="C72" t="s">
        <v>46</v>
      </c>
      <c r="D72">
        <v>295</v>
      </c>
      <c r="E72">
        <v>4</v>
      </c>
      <c r="G72">
        <v>25</v>
      </c>
      <c r="H72" s="4">
        <f t="shared" si="3"/>
        <v>6.25</v>
      </c>
      <c r="I72" s="4">
        <f t="shared" si="4"/>
        <v>8.4745762711864403E-2</v>
      </c>
      <c r="O72" s="3"/>
    </row>
    <row r="73" spans="1:15">
      <c r="A73" t="s">
        <v>106</v>
      </c>
      <c r="B73" t="s">
        <v>34</v>
      </c>
      <c r="C73" t="s">
        <v>20</v>
      </c>
      <c r="D73">
        <v>555</v>
      </c>
      <c r="E73">
        <v>4</v>
      </c>
      <c r="G73">
        <v>25</v>
      </c>
      <c r="H73" s="4">
        <f t="shared" si="3"/>
        <v>6.25</v>
      </c>
      <c r="I73" s="4">
        <f t="shared" si="4"/>
        <v>4.5045045045045043E-2</v>
      </c>
    </row>
    <row r="74" spans="1:15">
      <c r="A74" t="s">
        <v>107</v>
      </c>
      <c r="B74" t="s">
        <v>34</v>
      </c>
      <c r="C74" t="s">
        <v>108</v>
      </c>
      <c r="D74">
        <v>474</v>
      </c>
      <c r="E74">
        <v>3</v>
      </c>
      <c r="G74">
        <v>25</v>
      </c>
      <c r="H74" s="4">
        <f t="shared" si="3"/>
        <v>8.3333333333333339</v>
      </c>
      <c r="I74" s="4">
        <f t="shared" si="4"/>
        <v>5.2742616033755275E-2</v>
      </c>
    </row>
    <row r="75" spans="1:15">
      <c r="A75" t="s">
        <v>109</v>
      </c>
      <c r="B75" t="s">
        <v>59</v>
      </c>
      <c r="C75" t="s">
        <v>49</v>
      </c>
      <c r="D75">
        <v>504</v>
      </c>
      <c r="E75">
        <v>9</v>
      </c>
      <c r="G75">
        <v>90</v>
      </c>
      <c r="H75" s="4">
        <f t="shared" si="3"/>
        <v>10</v>
      </c>
      <c r="I75" s="4">
        <f t="shared" si="4"/>
        <v>0.17857142857142858</v>
      </c>
    </row>
    <row r="76" spans="1:15">
      <c r="A76" t="s">
        <v>110</v>
      </c>
      <c r="B76" t="s">
        <v>59</v>
      </c>
      <c r="C76" t="s">
        <v>111</v>
      </c>
      <c r="D76">
        <v>941</v>
      </c>
      <c r="E76">
        <v>8</v>
      </c>
      <c r="G76">
        <v>50</v>
      </c>
      <c r="H76" s="4">
        <f t="shared" si="3"/>
        <v>6.25</v>
      </c>
      <c r="I76" s="4">
        <f t="shared" si="4"/>
        <v>5.3134962805526036E-2</v>
      </c>
    </row>
    <row r="77" spans="1:15">
      <c r="A77" t="s">
        <v>112</v>
      </c>
      <c r="B77" t="s">
        <v>59</v>
      </c>
      <c r="C77" t="s">
        <v>113</v>
      </c>
      <c r="D77">
        <v>1205</v>
      </c>
      <c r="E77">
        <v>6</v>
      </c>
      <c r="G77">
        <v>90</v>
      </c>
      <c r="H77" s="4">
        <f t="shared" si="3"/>
        <v>15</v>
      </c>
      <c r="I77" s="4">
        <f t="shared" si="4"/>
        <v>7.4688796680497924E-2</v>
      </c>
    </row>
    <row r="78" spans="1:15">
      <c r="A78" t="s">
        <v>114</v>
      </c>
      <c r="B78" t="s">
        <v>59</v>
      </c>
      <c r="C78" t="s">
        <v>115</v>
      </c>
      <c r="D78">
        <v>620</v>
      </c>
      <c r="E78">
        <v>14</v>
      </c>
      <c r="G78">
        <v>90</v>
      </c>
      <c r="H78" s="4">
        <f t="shared" si="3"/>
        <v>6.4285714285714288</v>
      </c>
      <c r="I78" s="4">
        <f t="shared" si="4"/>
        <v>0.14516129032258066</v>
      </c>
    </row>
    <row r="80" spans="1:15">
      <c r="C80" t="s">
        <v>69</v>
      </c>
      <c r="D80">
        <f>SUM(D52:D78)</f>
        <v>18548</v>
      </c>
      <c r="E80">
        <f>SUM(E52:E78)</f>
        <v>196</v>
      </c>
      <c r="G80">
        <f>SUM(G52:G78)</f>
        <v>1739</v>
      </c>
      <c r="H80" s="4">
        <f t="shared" ref="H80:H87" si="5">+G80/E80</f>
        <v>8.8724489795918373</v>
      </c>
      <c r="I80" s="4">
        <f>+G80/D80</f>
        <v>9.3756739271080441E-2</v>
      </c>
    </row>
    <row r="81" spans="1:15">
      <c r="C81" t="s">
        <v>15</v>
      </c>
      <c r="D81">
        <f>+D54+D55+D56+D57</f>
        <v>8948</v>
      </c>
      <c r="E81">
        <f>+E54+E55+E56+E57</f>
        <v>42</v>
      </c>
      <c r="G81">
        <f>+G54+G55+G56+G57</f>
        <v>491</v>
      </c>
      <c r="H81" s="4">
        <f t="shared" si="5"/>
        <v>11.69047619047619</v>
      </c>
      <c r="I81" s="4">
        <f t="shared" ref="I81:I87" si="6">+G81/D81</f>
        <v>5.4872597228430936E-2</v>
      </c>
    </row>
    <row r="82" spans="1:15">
      <c r="C82" t="s">
        <v>12</v>
      </c>
      <c r="D82">
        <f>+D52</f>
        <v>825</v>
      </c>
      <c r="E82">
        <f>+E52</f>
        <v>7</v>
      </c>
      <c r="G82">
        <f>+G52</f>
        <v>64</v>
      </c>
      <c r="H82" s="4">
        <f t="shared" si="5"/>
        <v>9.1428571428571423</v>
      </c>
      <c r="I82" s="4">
        <f t="shared" si="6"/>
        <v>7.7575757575757576E-2</v>
      </c>
    </row>
    <row r="83" spans="1:15">
      <c r="C83" t="s">
        <v>116</v>
      </c>
      <c r="D83">
        <f>+D53</f>
        <v>0</v>
      </c>
      <c r="E83">
        <f>+E53</f>
        <v>17</v>
      </c>
      <c r="G83">
        <f>+G53</f>
        <v>136</v>
      </c>
      <c r="H83" s="4">
        <f t="shared" si="5"/>
        <v>8</v>
      </c>
      <c r="I83" s="4"/>
    </row>
    <row r="84" spans="1:15">
      <c r="C84" t="s">
        <v>24</v>
      </c>
      <c r="D84">
        <f>+D61+D60+D59+D58+D64</f>
        <v>2445</v>
      </c>
      <c r="E84">
        <f>+E61+E60+E59+E58+E64</f>
        <v>23</v>
      </c>
      <c r="G84">
        <f>+G61+G60+G59+G58+G64</f>
        <v>177</v>
      </c>
      <c r="H84" s="4">
        <f t="shared" si="5"/>
        <v>7.6956521739130439</v>
      </c>
      <c r="I84" s="4">
        <f t="shared" si="6"/>
        <v>7.2392638036809814E-2</v>
      </c>
      <c r="O84" s="3"/>
    </row>
    <row r="85" spans="1:15">
      <c r="C85" t="s">
        <v>29</v>
      </c>
      <c r="D85">
        <v>0</v>
      </c>
      <c r="E85">
        <v>36</v>
      </c>
      <c r="G85">
        <v>270</v>
      </c>
      <c r="H85" s="4">
        <f t="shared" si="5"/>
        <v>7.5</v>
      </c>
      <c r="I85" s="4"/>
    </row>
    <row r="86" spans="1:15">
      <c r="C86" t="s">
        <v>93</v>
      </c>
      <c r="D86">
        <f>SUM(D65:D74)</f>
        <v>3060</v>
      </c>
      <c r="E86">
        <f>SUM(E65:E74)</f>
        <v>34</v>
      </c>
      <c r="G86">
        <f>SUM(G65:G74)</f>
        <v>270</v>
      </c>
      <c r="H86" s="4">
        <f t="shared" si="5"/>
        <v>7.9411764705882355</v>
      </c>
      <c r="I86" s="4">
        <f t="shared" si="6"/>
        <v>8.8235294117647065E-2</v>
      </c>
    </row>
    <row r="87" spans="1:15">
      <c r="C87" t="s">
        <v>56</v>
      </c>
      <c r="D87">
        <f>+D75+D76+D77+D78</f>
        <v>3270</v>
      </c>
      <c r="E87">
        <f>+E75+E76+E77+E78</f>
        <v>37</v>
      </c>
      <c r="G87">
        <f>+G75+G76+G77+G78</f>
        <v>320</v>
      </c>
      <c r="H87" s="4">
        <f t="shared" si="5"/>
        <v>8.6486486486486491</v>
      </c>
      <c r="I87" s="4">
        <f t="shared" si="6"/>
        <v>9.7859327217125383E-2</v>
      </c>
    </row>
    <row r="88" spans="1:15">
      <c r="C88" s="5" t="s">
        <v>89</v>
      </c>
      <c r="G88">
        <v>11</v>
      </c>
    </row>
    <row r="89" spans="1:15">
      <c r="H89" s="4"/>
    </row>
    <row r="92" spans="1:15">
      <c r="A92" s="2" t="s">
        <v>117</v>
      </c>
      <c r="M92" s="2"/>
    </row>
    <row r="94" spans="1:15">
      <c r="A94" s="1" t="s">
        <v>1</v>
      </c>
      <c r="B94" s="1" t="s">
        <v>2</v>
      </c>
      <c r="C94" s="1" t="s">
        <v>3</v>
      </c>
      <c r="D94" s="1" t="s">
        <v>4</v>
      </c>
      <c r="E94" s="1" t="s">
        <v>5</v>
      </c>
      <c r="F94" s="1"/>
      <c r="G94" s="1" t="s">
        <v>6</v>
      </c>
      <c r="H94" s="1" t="s">
        <v>7</v>
      </c>
      <c r="I94" s="1" t="s">
        <v>8</v>
      </c>
    </row>
    <row r="96" spans="1:15">
      <c r="A96" t="s">
        <v>118</v>
      </c>
      <c r="B96" t="s">
        <v>119</v>
      </c>
      <c r="C96" t="s">
        <v>20</v>
      </c>
      <c r="D96">
        <v>1340</v>
      </c>
      <c r="E96">
        <v>19</v>
      </c>
      <c r="G96">
        <v>132</v>
      </c>
      <c r="H96" s="4">
        <f>+G96/E96</f>
        <v>6.9473684210526319</v>
      </c>
      <c r="I96" s="4">
        <f>+G96/D96</f>
        <v>9.8507462686567168E-2</v>
      </c>
    </row>
    <row r="97" spans="1:17">
      <c r="A97" t="s">
        <v>120</v>
      </c>
      <c r="B97" t="s">
        <v>121</v>
      </c>
      <c r="C97" t="s">
        <v>122</v>
      </c>
      <c r="E97">
        <v>15</v>
      </c>
      <c r="G97">
        <v>115</v>
      </c>
      <c r="H97" s="4">
        <f t="shared" ref="H97:H125" si="7">+G97/E97</f>
        <v>7.666666666666667</v>
      </c>
      <c r="I97" s="4"/>
    </row>
    <row r="98" spans="1:17">
      <c r="A98" t="s">
        <v>123</v>
      </c>
      <c r="B98" t="s">
        <v>124</v>
      </c>
      <c r="C98" t="s">
        <v>122</v>
      </c>
      <c r="E98">
        <v>16</v>
      </c>
      <c r="G98">
        <v>115</v>
      </c>
      <c r="H98" s="4">
        <f t="shared" si="7"/>
        <v>7.1875</v>
      </c>
      <c r="I98" s="4"/>
      <c r="P98" s="4"/>
    </row>
    <row r="99" spans="1:17">
      <c r="A99" t="s">
        <v>125</v>
      </c>
      <c r="B99" t="s">
        <v>15</v>
      </c>
      <c r="C99" t="s">
        <v>126</v>
      </c>
      <c r="D99">
        <v>1609</v>
      </c>
      <c r="E99">
        <v>9</v>
      </c>
      <c r="G99">
        <f>9*11</f>
        <v>99</v>
      </c>
      <c r="H99" s="4">
        <f t="shared" si="7"/>
        <v>11</v>
      </c>
      <c r="I99" s="4">
        <f t="shared" ref="I99:I131" si="8">+G99/D99</f>
        <v>6.1528899937849595E-2</v>
      </c>
      <c r="P99" s="4"/>
    </row>
    <row r="100" spans="1:17">
      <c r="A100" t="s">
        <v>127</v>
      </c>
      <c r="B100" t="s">
        <v>15</v>
      </c>
      <c r="C100" s="17" t="s">
        <v>81</v>
      </c>
      <c r="D100">
        <v>1495</v>
      </c>
      <c r="E100">
        <v>13</v>
      </c>
      <c r="G100">
        <v>100</v>
      </c>
      <c r="H100" s="4">
        <f t="shared" si="7"/>
        <v>7.6923076923076925</v>
      </c>
      <c r="I100" s="4">
        <f t="shared" si="8"/>
        <v>6.6889632107023408E-2</v>
      </c>
      <c r="P100" s="4"/>
    </row>
    <row r="101" spans="1:17">
      <c r="B101" t="s">
        <v>128</v>
      </c>
      <c r="G101">
        <v>20</v>
      </c>
      <c r="H101" s="4"/>
      <c r="I101" s="4"/>
      <c r="P101" s="4"/>
    </row>
    <row r="102" spans="1:17">
      <c r="A102" t="s">
        <v>129</v>
      </c>
      <c r="B102" t="s">
        <v>24</v>
      </c>
      <c r="C102" t="s">
        <v>130</v>
      </c>
      <c r="D102">
        <v>1472</v>
      </c>
      <c r="E102">
        <v>6</v>
      </c>
      <c r="G102">
        <v>50</v>
      </c>
      <c r="H102" s="4">
        <f t="shared" si="7"/>
        <v>8.3333333333333339</v>
      </c>
      <c r="I102" s="4">
        <f t="shared" si="8"/>
        <v>3.3967391304347824E-2</v>
      </c>
      <c r="P102" s="4"/>
    </row>
    <row r="103" spans="1:17">
      <c r="A103" t="s">
        <v>131</v>
      </c>
      <c r="B103" t="s">
        <v>24</v>
      </c>
      <c r="C103" t="s">
        <v>132</v>
      </c>
      <c r="D103">
        <v>191</v>
      </c>
      <c r="E103">
        <v>7</v>
      </c>
      <c r="G103">
        <v>58</v>
      </c>
      <c r="H103" s="4">
        <f t="shared" si="7"/>
        <v>8.2857142857142865</v>
      </c>
      <c r="I103" s="4">
        <f t="shared" si="8"/>
        <v>0.30366492146596857</v>
      </c>
      <c r="P103" s="4"/>
    </row>
    <row r="104" spans="1:17">
      <c r="B104" t="s">
        <v>24</v>
      </c>
      <c r="C104" t="s">
        <v>20</v>
      </c>
      <c r="D104">
        <v>218</v>
      </c>
      <c r="H104" s="4"/>
      <c r="I104" s="4"/>
    </row>
    <row r="105" spans="1:17">
      <c r="A105" t="s">
        <v>133</v>
      </c>
      <c r="C105" t="s">
        <v>29</v>
      </c>
      <c r="E105">
        <v>36</v>
      </c>
      <c r="F105" s="14"/>
      <c r="G105">
        <v>253</v>
      </c>
      <c r="H105" s="4">
        <f t="shared" si="7"/>
        <v>7.0277777777777777</v>
      </c>
      <c r="I105" s="4"/>
      <c r="P105" s="4"/>
    </row>
    <row r="106" spans="1:17">
      <c r="A106" t="s">
        <v>134</v>
      </c>
      <c r="B106" t="s">
        <v>34</v>
      </c>
      <c r="C106" t="s">
        <v>42</v>
      </c>
      <c r="D106">
        <v>98</v>
      </c>
      <c r="E106">
        <v>5</v>
      </c>
      <c r="F106" s="14"/>
      <c r="G106">
        <v>40</v>
      </c>
      <c r="H106" s="4">
        <f t="shared" si="7"/>
        <v>8</v>
      </c>
      <c r="I106" s="4">
        <f t="shared" si="8"/>
        <v>0.40816326530612246</v>
      </c>
    </row>
    <row r="107" spans="1:17">
      <c r="A107" t="s">
        <v>135</v>
      </c>
      <c r="B107" t="s">
        <v>34</v>
      </c>
      <c r="C107" t="s">
        <v>136</v>
      </c>
      <c r="D107">
        <v>725</v>
      </c>
      <c r="E107">
        <v>6</v>
      </c>
      <c r="F107" s="14"/>
      <c r="G107">
        <v>50</v>
      </c>
      <c r="H107" s="4">
        <f t="shared" si="7"/>
        <v>8.3333333333333339</v>
      </c>
      <c r="I107" s="4">
        <f t="shared" si="8"/>
        <v>6.8965517241379309E-2</v>
      </c>
    </row>
    <row r="108" spans="1:17">
      <c r="A108" t="s">
        <v>137</v>
      </c>
      <c r="B108" t="s">
        <v>34</v>
      </c>
      <c r="C108" t="s">
        <v>138</v>
      </c>
      <c r="D108">
        <v>414</v>
      </c>
      <c r="E108">
        <v>3</v>
      </c>
      <c r="F108" s="14"/>
      <c r="G108">
        <v>30</v>
      </c>
      <c r="H108" s="4">
        <f t="shared" si="7"/>
        <v>10</v>
      </c>
      <c r="I108" s="4">
        <f t="shared" si="8"/>
        <v>7.2463768115942032E-2</v>
      </c>
      <c r="M108" s="2"/>
    </row>
    <row r="109" spans="1:17">
      <c r="A109" t="s">
        <v>139</v>
      </c>
      <c r="B109" t="s">
        <v>34</v>
      </c>
      <c r="C109" t="s">
        <v>140</v>
      </c>
      <c r="D109">
        <v>178</v>
      </c>
      <c r="E109">
        <v>3</v>
      </c>
      <c r="F109" s="14"/>
      <c r="G109">
        <v>25</v>
      </c>
      <c r="H109" s="4">
        <f t="shared" si="7"/>
        <v>8.3333333333333339</v>
      </c>
      <c r="I109" s="4">
        <f t="shared" si="8"/>
        <v>0.1404494382022472</v>
      </c>
    </row>
    <row r="110" spans="1:17">
      <c r="A110" t="s">
        <v>141</v>
      </c>
      <c r="B110" t="s">
        <v>34</v>
      </c>
      <c r="C110" t="s">
        <v>138</v>
      </c>
      <c r="D110">
        <v>329</v>
      </c>
      <c r="E110">
        <v>3</v>
      </c>
      <c r="F110" s="14"/>
      <c r="G110">
        <v>29</v>
      </c>
      <c r="H110" s="4">
        <f t="shared" si="7"/>
        <v>9.6666666666666661</v>
      </c>
      <c r="I110" s="4">
        <f t="shared" si="8"/>
        <v>8.8145896656534953E-2</v>
      </c>
    </row>
    <row r="111" spans="1:17">
      <c r="A111" t="s">
        <v>142</v>
      </c>
      <c r="B111" t="s">
        <v>34</v>
      </c>
      <c r="C111" t="s">
        <v>46</v>
      </c>
      <c r="D111">
        <v>43</v>
      </c>
      <c r="E111">
        <v>8</v>
      </c>
      <c r="F111" s="14"/>
      <c r="G111">
        <v>50</v>
      </c>
      <c r="H111" s="4">
        <f t="shared" si="7"/>
        <v>6.25</v>
      </c>
      <c r="I111" s="4">
        <f t="shared" si="8"/>
        <v>1.1627906976744187</v>
      </c>
      <c r="Q111" s="4"/>
    </row>
    <row r="112" spans="1:17">
      <c r="A112" t="s">
        <v>143</v>
      </c>
      <c r="B112" t="s">
        <v>34</v>
      </c>
      <c r="C112" t="s">
        <v>144</v>
      </c>
      <c r="D112">
        <v>41</v>
      </c>
      <c r="E112">
        <v>3</v>
      </c>
      <c r="F112" s="14"/>
      <c r="G112">
        <v>25</v>
      </c>
      <c r="H112" s="4">
        <f t="shared" si="7"/>
        <v>8.3333333333333339</v>
      </c>
      <c r="I112" s="4">
        <f t="shared" si="8"/>
        <v>0.6097560975609756</v>
      </c>
      <c r="O112" s="13"/>
      <c r="P112" s="4"/>
    </row>
    <row r="113" spans="1:16">
      <c r="A113" t="s">
        <v>145</v>
      </c>
      <c r="B113" t="s">
        <v>34</v>
      </c>
      <c r="C113" t="s">
        <v>146</v>
      </c>
      <c r="D113">
        <v>385</v>
      </c>
      <c r="E113">
        <v>4</v>
      </c>
      <c r="F113" s="14"/>
      <c r="G113">
        <v>40</v>
      </c>
      <c r="H113" s="4">
        <f t="shared" si="7"/>
        <v>10</v>
      </c>
      <c r="I113" s="4">
        <f t="shared" si="8"/>
        <v>0.1038961038961039</v>
      </c>
      <c r="O113" s="13"/>
      <c r="P113" s="4"/>
    </row>
    <row r="114" spans="1:16">
      <c r="A114" t="s">
        <v>147</v>
      </c>
      <c r="B114" t="s">
        <v>34</v>
      </c>
      <c r="C114" t="s">
        <v>46</v>
      </c>
      <c r="D114">
        <v>39</v>
      </c>
      <c r="E114">
        <v>4</v>
      </c>
      <c r="F114" s="14"/>
      <c r="G114">
        <v>40</v>
      </c>
      <c r="H114" s="4">
        <f t="shared" si="7"/>
        <v>10</v>
      </c>
      <c r="I114" s="4">
        <f t="shared" si="8"/>
        <v>1.0256410256410255</v>
      </c>
      <c r="O114" s="13"/>
      <c r="P114" s="4"/>
    </row>
    <row r="115" spans="1:16">
      <c r="A115" t="s">
        <v>148</v>
      </c>
      <c r="B115" t="s">
        <v>34</v>
      </c>
      <c r="C115" t="s">
        <v>149</v>
      </c>
      <c r="D115">
        <v>573</v>
      </c>
      <c r="E115">
        <v>3</v>
      </c>
      <c r="F115" s="14"/>
      <c r="G115">
        <v>25</v>
      </c>
      <c r="H115" s="4">
        <f t="shared" si="7"/>
        <v>8.3333333333333339</v>
      </c>
      <c r="I115" s="4">
        <f t="shared" si="8"/>
        <v>4.3630017452006981E-2</v>
      </c>
      <c r="O115" s="13"/>
      <c r="P115" s="4"/>
    </row>
    <row r="116" spans="1:16">
      <c r="A116" t="s">
        <v>150</v>
      </c>
      <c r="B116" t="s">
        <v>34</v>
      </c>
      <c r="C116" t="s">
        <v>151</v>
      </c>
      <c r="D116">
        <v>505</v>
      </c>
      <c r="E116">
        <v>2</v>
      </c>
      <c r="F116" s="14"/>
      <c r="G116">
        <v>30</v>
      </c>
      <c r="H116" s="4">
        <f t="shared" si="7"/>
        <v>15</v>
      </c>
      <c r="I116" s="4">
        <f t="shared" si="8"/>
        <v>5.9405940594059403E-2</v>
      </c>
      <c r="O116" s="13"/>
      <c r="P116" s="4"/>
    </row>
    <row r="117" spans="1:16">
      <c r="A117" t="s">
        <v>152</v>
      </c>
      <c r="B117" t="s">
        <v>34</v>
      </c>
      <c r="C117" t="s">
        <v>68</v>
      </c>
      <c r="D117">
        <v>639</v>
      </c>
      <c r="E117">
        <v>2</v>
      </c>
      <c r="F117" s="14"/>
      <c r="G117">
        <v>30</v>
      </c>
      <c r="H117" s="4">
        <f t="shared" si="7"/>
        <v>15</v>
      </c>
      <c r="I117" s="4">
        <f t="shared" si="8"/>
        <v>4.6948356807511735E-2</v>
      </c>
      <c r="O117" s="13"/>
      <c r="P117" s="4"/>
    </row>
    <row r="118" spans="1:16">
      <c r="A118" t="s">
        <v>153</v>
      </c>
      <c r="B118" t="s">
        <v>34</v>
      </c>
      <c r="C118" t="s">
        <v>154</v>
      </c>
      <c r="D118">
        <v>280</v>
      </c>
      <c r="E118">
        <v>8</v>
      </c>
      <c r="F118" s="14"/>
      <c r="G118">
        <v>25</v>
      </c>
      <c r="H118" s="4">
        <f t="shared" si="7"/>
        <v>3.125</v>
      </c>
      <c r="I118" s="4">
        <f t="shared" si="8"/>
        <v>8.9285714285714288E-2</v>
      </c>
      <c r="M118" s="5"/>
      <c r="O118" s="13"/>
      <c r="P118" s="4"/>
    </row>
    <row r="119" spans="1:16">
      <c r="A119" t="s">
        <v>155</v>
      </c>
      <c r="B119" t="s">
        <v>59</v>
      </c>
      <c r="C119" t="s">
        <v>156</v>
      </c>
      <c r="D119">
        <v>1250</v>
      </c>
      <c r="E119">
        <v>6</v>
      </c>
      <c r="F119" s="14"/>
      <c r="G119">
        <v>53</v>
      </c>
      <c r="H119" s="4">
        <f t="shared" si="7"/>
        <v>8.8333333333333339</v>
      </c>
      <c r="I119" s="4">
        <f t="shared" si="8"/>
        <v>4.24E-2</v>
      </c>
      <c r="P119" s="4"/>
    </row>
    <row r="120" spans="1:16">
      <c r="A120" t="s">
        <v>157</v>
      </c>
      <c r="B120" t="s">
        <v>59</v>
      </c>
      <c r="C120" t="s">
        <v>149</v>
      </c>
      <c r="D120">
        <v>1400</v>
      </c>
      <c r="E120">
        <v>7</v>
      </c>
      <c r="F120" s="14"/>
      <c r="G120">
        <v>65</v>
      </c>
      <c r="H120" s="4">
        <f t="shared" si="7"/>
        <v>9.2857142857142865</v>
      </c>
      <c r="I120" s="4">
        <f t="shared" si="8"/>
        <v>4.642857142857143E-2</v>
      </c>
      <c r="O120" s="13"/>
      <c r="P120" s="4"/>
    </row>
    <row r="121" spans="1:16">
      <c r="A121" t="s">
        <v>158</v>
      </c>
      <c r="B121" t="s">
        <v>34</v>
      </c>
      <c r="C121" t="s">
        <v>108</v>
      </c>
      <c r="D121">
        <v>430</v>
      </c>
      <c r="E121">
        <v>3</v>
      </c>
      <c r="F121" s="14"/>
      <c r="G121">
        <v>30</v>
      </c>
      <c r="H121" s="4">
        <f t="shared" si="7"/>
        <v>10</v>
      </c>
      <c r="I121" s="4">
        <f t="shared" si="8"/>
        <v>6.9767441860465115E-2</v>
      </c>
    </row>
    <row r="122" spans="1:16">
      <c r="A122" t="s">
        <v>159</v>
      </c>
      <c r="B122" t="s">
        <v>59</v>
      </c>
      <c r="C122" t="s">
        <v>81</v>
      </c>
      <c r="D122">
        <v>1570</v>
      </c>
      <c r="E122">
        <v>9</v>
      </c>
      <c r="F122" s="14"/>
      <c r="G122">
        <v>80</v>
      </c>
      <c r="H122" s="4">
        <f t="shared" si="7"/>
        <v>8.8888888888888893</v>
      </c>
      <c r="I122" s="4">
        <f t="shared" si="8"/>
        <v>5.0955414012738856E-2</v>
      </c>
    </row>
    <row r="123" spans="1:16">
      <c r="A123" t="s">
        <v>160</v>
      </c>
      <c r="B123" t="s">
        <v>24</v>
      </c>
      <c r="C123" t="s">
        <v>49</v>
      </c>
      <c r="D123">
        <v>340</v>
      </c>
      <c r="E123">
        <v>9</v>
      </c>
      <c r="F123" s="14"/>
      <c r="G123">
        <v>75</v>
      </c>
      <c r="H123" s="4">
        <f t="shared" si="7"/>
        <v>8.3333333333333339</v>
      </c>
      <c r="I123" s="4">
        <f t="shared" si="8"/>
        <v>0.22058823529411764</v>
      </c>
    </row>
    <row r="124" spans="1:16">
      <c r="H124" s="4"/>
      <c r="I124" s="4"/>
    </row>
    <row r="125" spans="1:16">
      <c r="C125" s="5" t="s">
        <v>69</v>
      </c>
      <c r="D125">
        <f>SUM(D96:D123)</f>
        <v>15564</v>
      </c>
      <c r="E125">
        <f>SUM(E96:E123)</f>
        <v>209</v>
      </c>
      <c r="G125">
        <f>SUM(G96:G123)</f>
        <v>1684</v>
      </c>
      <c r="H125" s="4">
        <f t="shared" si="7"/>
        <v>8.0574162679425836</v>
      </c>
      <c r="I125" s="4">
        <f t="shared" si="8"/>
        <v>0.10819840657928553</v>
      </c>
    </row>
    <row r="127" spans="1:16">
      <c r="D127">
        <f>+D98+D97+D105</f>
        <v>0</v>
      </c>
      <c r="E127">
        <f>+E98+E97+E105</f>
        <v>67</v>
      </c>
      <c r="F127" t="s">
        <v>161</v>
      </c>
      <c r="G127">
        <f>+G98+G97+G105</f>
        <v>483</v>
      </c>
      <c r="H127" s="4">
        <f>+G127/E127</f>
        <v>7.2089552238805972</v>
      </c>
      <c r="I127" s="4"/>
    </row>
    <row r="128" spans="1:16">
      <c r="D128">
        <f>+D96</f>
        <v>1340</v>
      </c>
      <c r="E128">
        <f>+E96</f>
        <v>19</v>
      </c>
      <c r="F128" t="s">
        <v>12</v>
      </c>
      <c r="G128">
        <f>+G96</f>
        <v>132</v>
      </c>
      <c r="H128" s="4">
        <f>+G128/E128</f>
        <v>6.9473684210526319</v>
      </c>
      <c r="I128" s="4">
        <f t="shared" si="8"/>
        <v>9.8507462686567168E-2</v>
      </c>
    </row>
    <row r="129" spans="4:9">
      <c r="D129">
        <f>+D100+D99</f>
        <v>3104</v>
      </c>
      <c r="E129">
        <f>+E100+E99</f>
        <v>22</v>
      </c>
      <c r="F129" t="s">
        <v>15</v>
      </c>
      <c r="G129">
        <f>+G100+G99</f>
        <v>199</v>
      </c>
      <c r="H129" s="4">
        <f>+G129/E129</f>
        <v>9.045454545454545</v>
      </c>
      <c r="I129" s="4">
        <f t="shared" si="8"/>
        <v>6.4110824742268036E-2</v>
      </c>
    </row>
    <row r="130" spans="4:9">
      <c r="D130">
        <f>SUM(D106:D118)+D121</f>
        <v>4679</v>
      </c>
      <c r="E130">
        <f>SUM(E106:E118)+E121</f>
        <v>57</v>
      </c>
      <c r="F130" t="s">
        <v>34</v>
      </c>
      <c r="G130">
        <f>SUM(G106:G118)+G121</f>
        <v>469</v>
      </c>
      <c r="H130" s="4">
        <f>+G130/E130</f>
        <v>8.2280701754385959</v>
      </c>
      <c r="I130" s="4">
        <f t="shared" si="8"/>
        <v>0.10023509296858303</v>
      </c>
    </row>
    <row r="131" spans="4:9">
      <c r="D131">
        <f>+D123+D122+D120+D119+D102+D103+D104</f>
        <v>6441</v>
      </c>
      <c r="E131">
        <f>+E123+E122+E120+E119+E102+E103+E104</f>
        <v>44</v>
      </c>
      <c r="F131" t="s">
        <v>162</v>
      </c>
      <c r="G131">
        <f>+G123+G122+G120+G119+G102+G103+G104</f>
        <v>381</v>
      </c>
      <c r="H131" s="4">
        <f>+G131/E131</f>
        <v>8.6590909090909083</v>
      </c>
      <c r="I131" s="4">
        <f t="shared" si="8"/>
        <v>5.9152305542617606E-2</v>
      </c>
    </row>
    <row r="132" spans="4:9">
      <c r="F132" t="s">
        <v>163</v>
      </c>
      <c r="G132">
        <v>20</v>
      </c>
    </row>
    <row r="136" spans="4:9">
      <c r="H136" s="4"/>
    </row>
    <row r="166" spans="10:15">
      <c r="K166" s="1"/>
      <c r="M166" s="1"/>
      <c r="N166" s="1"/>
      <c r="O166" s="1"/>
    </row>
    <row r="168" spans="10:15">
      <c r="J168" s="1"/>
    </row>
    <row r="204" spans="13:13">
      <c r="M204" s="9"/>
    </row>
    <row r="205" spans="13:13">
      <c r="M205" s="9"/>
    </row>
    <row r="206" spans="13:13">
      <c r="M206" s="9"/>
    </row>
    <row r="207" spans="13:13">
      <c r="M207" s="9"/>
    </row>
    <row r="208" spans="13:13">
      <c r="M208" s="9"/>
    </row>
    <row r="210" spans="13:29">
      <c r="M210" s="9"/>
    </row>
    <row r="223" spans="13:29">
      <c r="AC223">
        <v>19</v>
      </c>
    </row>
    <row r="265" spans="1:26">
      <c r="A265" s="3"/>
    </row>
    <row r="268" spans="1:26">
      <c r="A268" s="16"/>
    </row>
    <row r="271" spans="1:26">
      <c r="Z271" t="s">
        <v>164</v>
      </c>
    </row>
    <row r="274" spans="8:8">
      <c r="H274" s="7"/>
    </row>
    <row r="275" spans="8:8">
      <c r="H275" s="12"/>
    </row>
    <row r="276" spans="8:8">
      <c r="H276" s="12"/>
    </row>
    <row r="277" spans="8:8">
      <c r="H277" s="12"/>
    </row>
    <row r="278" spans="8:8">
      <c r="H278" s="12"/>
    </row>
    <row r="279" spans="8:8">
      <c r="H279" s="12"/>
    </row>
    <row r="300" spans="8:8">
      <c r="H300" s="4"/>
    </row>
    <row r="316" spans="1:8">
      <c r="A316" s="5"/>
      <c r="B316" s="5"/>
      <c r="C316" s="5"/>
    </row>
    <row r="318" spans="1:8">
      <c r="H318" s="4"/>
    </row>
    <row r="319" spans="1:8">
      <c r="H319" s="4"/>
    </row>
    <row r="321" spans="1:11">
      <c r="H321" s="4"/>
    </row>
    <row r="322" spans="1:11">
      <c r="H322" s="4"/>
    </row>
    <row r="323" spans="1:11">
      <c r="H323" s="4"/>
    </row>
    <row r="324" spans="1:11">
      <c r="H324" s="4"/>
    </row>
    <row r="325" spans="1:11">
      <c r="H325" s="4"/>
    </row>
    <row r="326" spans="1:11">
      <c r="H326" s="4"/>
    </row>
    <row r="327" spans="1:11">
      <c r="H327" s="4"/>
    </row>
    <row r="331" spans="1:11">
      <c r="A331" s="1"/>
      <c r="B331" s="1"/>
      <c r="C331" s="1"/>
      <c r="D331" s="1"/>
      <c r="E331" s="1"/>
      <c r="F331" s="1"/>
      <c r="G331" s="1"/>
      <c r="H331" s="1"/>
      <c r="K331" s="1"/>
    </row>
    <row r="352" spans="22:22">
      <c r="V352" t="s">
        <v>7</v>
      </c>
    </row>
    <row r="353" spans="3:23">
      <c r="W353" t="s">
        <v>165</v>
      </c>
    </row>
    <row r="355" spans="3:23">
      <c r="V355" t="e">
        <f>+G565/E565</f>
        <v>#DIV/0!</v>
      </c>
    </row>
    <row r="356" spans="3:23">
      <c r="H356" s="5"/>
      <c r="V356" t="e">
        <f>+G566/E566</f>
        <v>#DIV/0!</v>
      </c>
    </row>
    <row r="357" spans="3:23">
      <c r="C357" s="5"/>
      <c r="H357" s="15"/>
      <c r="I357" s="5"/>
      <c r="V357">
        <f>79/8</f>
        <v>9.875</v>
      </c>
    </row>
    <row r="358" spans="3:23">
      <c r="V358">
        <f>84/9</f>
        <v>9.3333333333333339</v>
      </c>
    </row>
    <row r="359" spans="3:23">
      <c r="H359" s="4"/>
    </row>
    <row r="360" spans="3:23">
      <c r="H360" s="4"/>
    </row>
    <row r="361" spans="3:23">
      <c r="H361" s="4"/>
    </row>
    <row r="363" spans="3:23">
      <c r="H363" s="4"/>
    </row>
    <row r="364" spans="3:23">
      <c r="H364" s="4"/>
    </row>
    <row r="366" spans="3:23">
      <c r="H366" s="4"/>
    </row>
    <row r="390" spans="1:7">
      <c r="A390" s="3"/>
    </row>
    <row r="393" spans="1:7">
      <c r="G393" s="14"/>
    </row>
    <row r="395" spans="1:7">
      <c r="G395" s="14"/>
    </row>
    <row r="397" spans="1:7">
      <c r="G397" s="14"/>
    </row>
    <row r="399" spans="1:7">
      <c r="G399" s="4"/>
    </row>
    <row r="411" spans="1:1">
      <c r="A411" s="3"/>
    </row>
    <row r="422" spans="8:20">
      <c r="H422" s="4"/>
    </row>
    <row r="424" spans="8:20">
      <c r="T424" s="5" t="s">
        <v>166</v>
      </c>
    </row>
    <row r="425" spans="8:20">
      <c r="T425" s="5" t="s">
        <v>166</v>
      </c>
    </row>
    <row r="427" spans="8:20">
      <c r="T427" s="5" t="s">
        <v>167</v>
      </c>
    </row>
    <row r="435" spans="1:19">
      <c r="F435" s="4"/>
    </row>
    <row r="436" spans="1:19">
      <c r="F436" s="4"/>
    </row>
    <row r="437" spans="1:19">
      <c r="F437" s="4"/>
    </row>
    <row r="438" spans="1:19">
      <c r="F438" s="4"/>
    </row>
    <row r="439" spans="1:19">
      <c r="F439" s="4"/>
    </row>
    <row r="442" spans="1:19">
      <c r="A442" s="2"/>
      <c r="K442" s="1"/>
      <c r="L442" s="1"/>
      <c r="M442" s="1"/>
      <c r="N442" s="1"/>
      <c r="O442" s="1"/>
      <c r="S442" t="s">
        <v>168</v>
      </c>
    </row>
    <row r="443" spans="1:19">
      <c r="A443" s="1"/>
      <c r="B443" s="1"/>
      <c r="C443" s="1"/>
      <c r="D443" s="1"/>
      <c r="E443" s="1"/>
      <c r="F443" s="1"/>
      <c r="G443" s="1"/>
      <c r="H443" s="1"/>
      <c r="S443" t="s">
        <v>169</v>
      </c>
    </row>
    <row r="444" spans="1:19">
      <c r="S444" t="s">
        <v>170</v>
      </c>
    </row>
    <row r="450" spans="7:19">
      <c r="S450" t="s">
        <v>171</v>
      </c>
    </row>
    <row r="461" spans="7:19">
      <c r="G461" s="13"/>
    </row>
    <row r="469" spans="1:19">
      <c r="S469" s="5" t="s">
        <v>172</v>
      </c>
    </row>
    <row r="470" spans="1:19">
      <c r="S470" s="9">
        <v>84360</v>
      </c>
    </row>
    <row r="472" spans="1:19">
      <c r="S472">
        <v>0</v>
      </c>
    </row>
    <row r="473" spans="1:19">
      <c r="F473" s="4"/>
      <c r="G473" s="13"/>
      <c r="S473">
        <v>0</v>
      </c>
    </row>
    <row r="474" spans="1:19">
      <c r="F474" s="4"/>
      <c r="S474" s="9">
        <v>124696</v>
      </c>
    </row>
    <row r="475" spans="1:19">
      <c r="A475" s="2"/>
      <c r="S475" s="9">
        <v>98901</v>
      </c>
    </row>
    <row r="477" spans="1:19">
      <c r="A477" s="1"/>
      <c r="B477" s="1"/>
      <c r="C477" s="1"/>
      <c r="D477" s="1"/>
      <c r="E477" s="1"/>
      <c r="F477" s="1"/>
      <c r="G477" s="1"/>
      <c r="H477" s="1"/>
      <c r="K477" s="1"/>
      <c r="L477" s="1"/>
      <c r="M477" s="1"/>
      <c r="N477" s="1"/>
      <c r="O477" s="1"/>
      <c r="S477" s="9">
        <f>+R555*4.455</f>
        <v>0</v>
      </c>
    </row>
    <row r="478" spans="1:19">
      <c r="S478" s="9"/>
    </row>
    <row r="479" spans="1:19">
      <c r="S479" s="11">
        <f>+S470+S474+S475+-S477</f>
        <v>307957</v>
      </c>
    </row>
    <row r="504" spans="1:16">
      <c r="K504" s="1"/>
      <c r="L504" s="1"/>
      <c r="M504" s="1"/>
      <c r="N504" s="1"/>
      <c r="O504" s="1"/>
    </row>
    <row r="505" spans="1:16">
      <c r="A505" s="1"/>
      <c r="B505" s="1"/>
      <c r="C505" s="1"/>
      <c r="D505" s="1"/>
    </row>
    <row r="508" spans="1:16">
      <c r="A508" s="3"/>
    </row>
    <row r="511" spans="1:16">
      <c r="P511" s="5"/>
    </row>
    <row r="527" spans="1:1">
      <c r="A527" s="3"/>
    </row>
    <row r="537" spans="4:7">
      <c r="D537" s="4"/>
      <c r="G537" s="4"/>
    </row>
    <row r="539" spans="4:7">
      <c r="D539" s="4"/>
    </row>
    <row r="540" spans="4:7">
      <c r="G540" s="12"/>
    </row>
    <row r="541" spans="4:7">
      <c r="D541" s="4"/>
      <c r="G541" s="4"/>
    </row>
    <row r="544" spans="4:7">
      <c r="D544" s="4"/>
      <c r="G544" s="4"/>
    </row>
    <row r="547" spans="18:18">
      <c r="R547" s="5"/>
    </row>
    <row r="548" spans="18:18">
      <c r="R548" s="9"/>
    </row>
    <row r="550" spans="18:18">
      <c r="R550" s="9"/>
    </row>
    <row r="551" spans="18:18">
      <c r="R551" s="9"/>
    </row>
    <row r="552" spans="18:18">
      <c r="R552" s="9"/>
    </row>
    <row r="553" spans="18:18">
      <c r="R553" s="9"/>
    </row>
    <row r="554" spans="18:18">
      <c r="R554" s="9"/>
    </row>
    <row r="555" spans="18:18">
      <c r="R555" s="9"/>
    </row>
    <row r="557" spans="18:18">
      <c r="R557" s="11"/>
    </row>
    <row r="558" spans="18:18">
      <c r="R558" s="4"/>
    </row>
    <row r="559" spans="18:18">
      <c r="R559" s="11"/>
    </row>
    <row r="562" spans="1:16">
      <c r="K562" s="1"/>
      <c r="L562" s="1"/>
      <c r="M562" s="1"/>
      <c r="N562" s="1"/>
      <c r="O562" s="1"/>
    </row>
    <row r="563" spans="1:16">
      <c r="A563" s="1"/>
      <c r="B563" s="1"/>
      <c r="C563" s="1"/>
      <c r="D563" s="1"/>
      <c r="E563" s="1"/>
      <c r="F563" s="1"/>
      <c r="G563" s="1"/>
      <c r="H563" s="1"/>
      <c r="P563" s="5"/>
    </row>
    <row r="565" spans="1:16">
      <c r="P565" s="5"/>
    </row>
    <row r="566" spans="1:16">
      <c r="P566" s="5"/>
    </row>
    <row r="568" spans="1:16">
      <c r="A568" s="3"/>
    </row>
    <row r="571" spans="1:16">
      <c r="P571" s="5"/>
    </row>
    <row r="574" spans="1:16">
      <c r="A574" s="5"/>
      <c r="H574" s="5"/>
    </row>
    <row r="577" spans="1:17">
      <c r="H577" s="5"/>
    </row>
    <row r="578" spans="1:17">
      <c r="H578" s="5"/>
    </row>
    <row r="579" spans="1:17">
      <c r="H579" s="5"/>
    </row>
    <row r="580" spans="1:17">
      <c r="J580" s="5"/>
    </row>
    <row r="582" spans="1:17">
      <c r="A582" s="3"/>
      <c r="O582" s="8"/>
    </row>
    <row r="583" spans="1:17">
      <c r="Q583" s="10"/>
    </row>
    <row r="587" spans="1:17">
      <c r="O587" s="2"/>
    </row>
    <row r="591" spans="1:17">
      <c r="O591" s="5"/>
      <c r="P591" s="5"/>
    </row>
    <row r="593" spans="8:15">
      <c r="O593" s="5"/>
    </row>
    <row r="594" spans="8:15">
      <c r="O594" s="5"/>
    </row>
    <row r="595" spans="8:15">
      <c r="O595" s="5"/>
    </row>
    <row r="596" spans="8:15">
      <c r="O596" s="5"/>
    </row>
    <row r="598" spans="8:15">
      <c r="O598" s="5"/>
    </row>
    <row r="600" spans="8:15">
      <c r="O600" s="5"/>
    </row>
    <row r="601" spans="8:15">
      <c r="O601" s="5"/>
    </row>
    <row r="602" spans="8:15">
      <c r="O602" s="5"/>
    </row>
    <row r="604" spans="8:15">
      <c r="H604" s="6"/>
    </row>
    <row r="605" spans="8:15">
      <c r="H605" s="6"/>
    </row>
    <row r="606" spans="8:15">
      <c r="H606" s="6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9B5A-BE60-422B-B6B1-8E0F835E8A1A}">
  <dimension ref="A1"/>
  <sheetViews>
    <sheetView workbookViewId="0"/>
  </sheetViews>
  <sheetFormatPr defaultRowHeight="12.75"/>
  <cols>
    <col min="1" max="256" width="11.42578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19B1-8E3F-460D-8EC4-FD771C830EB9}">
  <dimension ref="A1"/>
  <sheetViews>
    <sheetView workbookViewId="0"/>
  </sheetViews>
  <sheetFormatPr defaultRowHeight="12.75"/>
  <cols>
    <col min="1" max="256" width="11.42578125" customWidth="1"/>
  </cols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E4B86492992478DD0C21C4AE410B3" ma:contentTypeVersion="12" ma:contentTypeDescription="Create a new document." ma:contentTypeScope="" ma:versionID="b35eb2634e41ea66c2b292f6d3f507f0">
  <xsd:schema xmlns:xsd="http://www.w3.org/2001/XMLSchema" xmlns:xs="http://www.w3.org/2001/XMLSchema" xmlns:p="http://schemas.microsoft.com/office/2006/metadata/properties" xmlns:ns2="ff4319ef-f653-4582-80b3-40ea248ca4c7" xmlns:ns3="ceaf67a6-89bb-45c5-98de-6952eee8fb06" targetNamespace="http://schemas.microsoft.com/office/2006/metadata/properties" ma:root="true" ma:fieldsID="00107df9cf5876db5740dd3438c12244" ns2:_="" ns3:_="">
    <xsd:import namespace="ff4319ef-f653-4582-80b3-40ea248ca4c7"/>
    <xsd:import namespace="ceaf67a6-89bb-45c5-98de-6952eee8fb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319ef-f653-4582-80b3-40ea248ca4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f9fe50-17a6-4b4a-ae5d-d25beabc99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f67a6-89bb-45c5-98de-6952eee8fb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f483d4d-1248-4815-aebb-1b5445156819}" ma:internalName="TaxCatchAll" ma:showField="CatchAllData" ma:web="ceaf67a6-89bb-45c5-98de-6952eee8fb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6D58FC-341F-4546-9B4A-BDAADDB50A8A}"/>
</file>

<file path=customXml/itemProps2.xml><?xml version="1.0" encoding="utf-8"?>
<ds:datastoreItem xmlns:ds="http://schemas.openxmlformats.org/officeDocument/2006/customXml" ds:itemID="{5D9B33FC-C5A6-46FE-86B3-98578CD52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X</cp:lastModifiedBy>
  <cp:revision/>
  <dcterms:created xsi:type="dcterms:W3CDTF">2006-01-24T15:28:35Z</dcterms:created>
  <dcterms:modified xsi:type="dcterms:W3CDTF">2025-02-24T12:23:37Z</dcterms:modified>
  <cp:category/>
  <cp:contentStatus/>
</cp:coreProperties>
</file>